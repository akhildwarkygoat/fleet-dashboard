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stLines" sheetId="2" state="visible" r:id="rId2"/>
    <sheet name="ByVehicle" sheetId="3" state="visible" r:id="rId3"/>
    <sheet name="ByActivity" sheetId="4" state="visible" r:id="rId4"/>
    <sheet name="FleetCoverage" sheetId="5" state="visible" r:id="rId5"/>
    <sheet name="RawSample" sheetId="6" state="visible" r:id="rId6"/>
  </sheets>
  <definedNames>
    <definedName name="_xlnm._FilterDatabase" localSheetId="1" hidden="1">'CostLines'!$A$1:$W$1055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-yyyy"/>
    <numFmt numFmtId="166" formatCode="#,##0.00;(#,##0.00);-"/>
    <numFmt numFmtId="167" formatCode="#,##0.##"/>
    <numFmt numFmtId="168" formatCode="0.0%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1F3864"/>
      <sz val="11"/>
    </font>
    <font>
      <name val="Arial"/>
      <b val="1"/>
      <sz val="10"/>
    </font>
    <font>
      <name val="Arial"/>
      <b val="1"/>
      <color rgb="000000FF"/>
      <sz val="10"/>
    </font>
    <font>
      <name val="Arial"/>
      <i val="1"/>
      <color rgb="007F7F7F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sz val="11"/>
    </font>
    <font>
      <name val="Courier New"/>
      <sz val="8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2" borderId="1" pivotButton="0" quotePrefix="0" xfId="0"/>
    <xf numFmtId="0" fontId="5" fillId="0" borderId="0" pivotButton="0" quotePrefix="0" xfId="0"/>
    <xf numFmtId="1" fontId="4" fillId="2" borderId="1" pivotButton="0" quotePrefix="0" xfId="0"/>
    <xf numFmtId="49" fontId="4" fillId="2" borderId="1" pivotButton="0" quotePrefix="0" xfId="0"/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horizontal="center" vertical="center" wrapText="1"/>
    </xf>
    <xf numFmtId="0" fontId="6" fillId="0" borderId="1" pivotButton="0" quotePrefix="0" xfId="0"/>
    <xf numFmtId="165" fontId="6" fillId="0" borderId="1" pivotButton="0" quotePrefix="0" xfId="0"/>
    <xf numFmtId="1" fontId="6" fillId="0" borderId="1" pivotButton="0" quotePrefix="0" xfId="0"/>
    <xf numFmtId="166" fontId="6" fillId="0" borderId="1" pivotButton="0" quotePrefix="0" xfId="0"/>
    <xf numFmtId="167" fontId="6" fillId="0" borderId="1" pivotButton="0" quotePrefix="0" xfId="0"/>
    <xf numFmtId="166" fontId="3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3" fontId="3" fillId="0" borderId="0" pivotButton="0" quotePrefix="0" xfId="0"/>
    <xf numFmtId="168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ERP vehicle project costing — dated cost lines</t>
        </is>
      </c>
    </row>
    <row r="3">
      <c r="A3" s="2" t="inlineStr">
        <is>
          <t>CONTROLS — edit the yellow cells; every sheet follows</t>
        </is>
      </c>
    </row>
    <row r="4">
      <c r="A4" s="3" t="inlineStr">
        <is>
          <t>As-of date</t>
        </is>
      </c>
      <c r="B4" s="4" t="n">
        <v>46234</v>
      </c>
      <c r="C4" s="5" t="inlineStr">
        <is>
          <t>drives the 'Active' flag on CostLines and the 'Active' column on ByVehicle</t>
        </is>
      </c>
    </row>
    <row r="5">
      <c r="A5" s="3" t="inlineStr">
        <is>
          <t>Calendar year</t>
        </is>
      </c>
      <c r="B5" s="6" t="n">
        <v>2026</v>
      </c>
      <c r="C5" s="5" t="inlineStr">
        <is>
          <t>drives the 'In calendar year' flag on CostLines</t>
        </is>
      </c>
    </row>
    <row r="6">
      <c r="A6" s="3" t="inlineStr">
        <is>
          <t>Financial year</t>
        </is>
      </c>
      <c r="B6" s="7" t="inlineStr">
        <is>
          <t>2026-27</t>
        </is>
      </c>
      <c r="C6" s="5" t="inlineStr">
        <is>
          <t>drives every FY column on ByVehicle. Financial years present: 2024-25, 2025-26, 2026-27</t>
        </is>
      </c>
    </row>
    <row r="9">
      <c r="A9" s="3" t="inlineStr">
        <is>
          <t>Source</t>
        </is>
      </c>
      <c r="B9" s="8" t="inlineStr">
        <is>
          <t>POST http://172.16.10.169:8089/api/general/VehicleEmpMapProjectDetails  (body {}, Content-Type: application/json)</t>
        </is>
      </c>
    </row>
    <row r="10">
      <c r="A10" s="3" t="inlineStr">
        <is>
          <t>Pulled</t>
        </is>
      </c>
      <c r="B10" s="8" t="inlineStr">
        <is>
          <t>1,054 rows, all Project_Type = VEHICLE</t>
        </is>
      </c>
    </row>
    <row r="11">
      <c r="A11" s="3" t="inlineStr">
        <is>
          <t>Vehicles</t>
        </is>
      </c>
      <c r="B11" s="8" t="inlineStr">
        <is>
          <t>64 distinct</t>
        </is>
      </c>
    </row>
    <row r="12">
      <c r="A12" s="3" t="inlineStr">
        <is>
          <t>Cost heads</t>
        </is>
      </c>
      <c r="B12" s="8" t="inlineStr">
        <is>
          <t>7 Proj_Activity_Name values / 33 Description values</t>
        </is>
      </c>
    </row>
    <row r="13">
      <c r="A13" s="3" t="inlineStr">
        <is>
          <t>Period covered</t>
        </is>
      </c>
      <c r="B13" s="8" t="inlineStr">
        <is>
          <t>01-04-2024 to 31-03-2027  (2024-25, 2025-26, 2026-27)</t>
        </is>
      </c>
    </row>
    <row r="14">
      <c r="A14" s="3" t="inlineStr">
        <is>
          <t>Total Pur_Amount</t>
        </is>
      </c>
      <c r="B14" s="8" t="inlineStr">
        <is>
          <t>Rs 28,831,202 across all years</t>
        </is>
      </c>
    </row>
    <row r="16">
      <c r="A16" s="2" t="inlineStr">
        <is>
          <t>WHY THIS FEED</t>
        </is>
      </c>
    </row>
    <row r="17">
      <c r="A17" s="3" t="inlineStr">
        <is>
          <t>It is dated</t>
        </is>
      </c>
      <c r="B17" s="8" t="inlineStr">
        <is>
          <t>The employee feed's cost lines carry no date, so no payment could be assigned to a year — the open question at the end of 'ERP vehicle costing.xlsx'. Here every line has From_Date/To_Date and a Period_Name, so a cost can be placed in a financial year and pro-rated to a day.</t>
        </is>
      </c>
    </row>
    <row r="19">
      <c r="A19" s="2" t="inlineStr">
        <is>
          <t>HOW THE ERP MODELS IT</t>
        </is>
      </c>
    </row>
    <row r="20">
      <c r="A20" s="3" t="inlineStr">
        <is>
          <t>Proj_Activity_Name</t>
        </is>
      </c>
      <c r="B20" s="8" t="inlineStr">
        <is>
          <t>The cost head: ADBLU, FC WORK, ROAD TAX, RTO EXPENSE, TYRE, VEHICLE INSURANCE, VEHICLE OUTSIDE SERVICES</t>
        </is>
      </c>
    </row>
    <row r="21">
      <c r="A21" s="3" t="inlineStr">
        <is>
          <t>Description</t>
        </is>
      </c>
      <c r="B21" s="8" t="inlineStr">
        <is>
          <t>A finer split of the same line — VEHICLE OUTSIDE SERVICES breaks into MAINTENANCE SERVICE, MAINTENANCE SERVICE - 2/3, GLASS STICKERS and so on. Equal to Proj_Activity_Name on 806 of 1,054 rows.</t>
        </is>
      </c>
    </row>
    <row r="22">
      <c r="A22" s="3" t="inlineStr">
        <is>
          <t>Period_Name</t>
        </is>
      </c>
      <c r="B22" s="8" t="inlineStr">
        <is>
          <t>YEARLY, QUARTER - I..IV, or a month name. The amount covers THAT period only, so lines are not comparable until they are put on the same footing — use the Days column to pro-rate.</t>
        </is>
      </c>
    </row>
    <row r="23">
      <c r="A23" s="3" t="inlineStr">
        <is>
          <t>Rate is a UNIT rate</t>
        </is>
      </c>
      <c r="B23" s="8" t="inlineStr">
        <is>
          <t>Rate is the rate per unit and Pur_Amount is rate x quantity — they are equal only where the quantity is 1. Pur_Amount is the amount to sum; Rate never is. On the 135 rows where they differ, ADBLU is Rs 60-61 per litre and TYRE is a per-tyre rate. Summing Rate instead of Pur_Amount would understate AdBlue alone by about 40x.</t>
        </is>
      </c>
    </row>
    <row r="24">
      <c r="A24" s="3" t="inlineStr">
        <is>
          <t>Quantity is derived</t>
        </is>
      </c>
      <c r="B24" s="8" t="inlineStr">
        <is>
          <t>The feed has no quantity field, so CostLines derives it as Pur_Amount / Rate. It comes out a whole number on 1,028 of the 1,029 priced rows — 45 litres, 6 tyres — which is what confirms the reading. The exception is TN57AC3636 RTO EXPENSE at 1.87x (Rs 7,500 rate, Rs 14,000 purchased); that one row is either a part-charge or an error, and is worth asking about.</t>
        </is>
      </c>
    </row>
    <row r="25">
      <c r="A25" s="3" t="inlineStr">
        <is>
          <t>Approved_Date</t>
        </is>
      </c>
      <c r="B25" s="8" t="inlineStr">
        <is>
          <t>Blank on 25 rows, and those are exactly the rows where Pur_Amount is 0 (Rs 1,287,922 of rates planned, none of it purchased). Approval is what turns a planned line into spend. Every FY2026-27 line is approved.</t>
        </is>
      </c>
    </row>
    <row r="26">
      <c r="A26" s="3" t="inlineStr">
        <is>
          <t>Grs_Amount</t>
        </is>
      </c>
      <c r="B26" s="8" t="inlineStr">
        <is>
          <t>Identical to Pur_Amount on all rows in this pull, so it is not carried into CostLines.</t>
        </is>
      </c>
    </row>
    <row r="27">
      <c r="A27" s="3" t="inlineStr">
        <is>
          <t>Employee / Testing</t>
        </is>
      </c>
      <c r="B27" s="8" t="inlineStr">
        <is>
          <t>Constant across the feed (VIVEK B / 'T') — the record's owner and a status flag, not per-vehicle data. Kept on CostLines verbatim but carries no information here.</t>
        </is>
      </c>
    </row>
    <row r="29">
      <c r="A29" s="2" t="inlineStr">
        <is>
          <t>WHAT IT DOES NOT CARRY</t>
        </is>
      </c>
    </row>
    <row r="30">
      <c r="A30" s="3" t="inlineStr">
        <is>
          <t>No diesel, no salary</t>
        </is>
      </c>
      <c r="B30" s="8" t="inlineStr">
        <is>
          <t>The cost heads are tax, insurance, tyres, servicing, RTO and FC work only. Fuel and driver salary — the two largest running costs — are in neither this feed nor the employee feed, so a per-bus running cost cannot be built from the ERP alone yet.</t>
        </is>
      </c>
    </row>
    <row r="31">
      <c r="A31" s="3" t="inlineStr">
        <is>
          <t>Rented buses have none</t>
        </is>
      </c>
      <c r="B31" s="8" t="inlineStr">
        <is>
          <t>39 of the 77 vehicles in the live fleet have no line here, and they are exactly the RENT VEHICLE entries. Every COMPANY VEHICLE is covered. See the FleetCoverage sheet — the hire charge for a rented bus is invoiced, not planned, so it lives somewhere else in the ERP.</t>
        </is>
      </c>
    </row>
    <row r="32">
      <c r="A32" s="3" t="inlineStr">
        <is>
          <t>ADBLU stops in 2024</t>
        </is>
      </c>
      <c r="B32" s="8" t="inlineStr">
        <is>
          <t>123 AdBlue lines exist and every one starts in FY2024-25. Either the head was retired or later AdBlue is being booked elsewhere; worth asking before treating a 2026 total as complete.</t>
        </is>
      </c>
    </row>
    <row r="34">
      <c r="A34" s="2" t="inlineStr">
        <is>
          <t>READ WITH CARE</t>
        </is>
      </c>
    </row>
    <row r="35">
      <c r="A35" s="3" t="inlineStr">
        <is>
          <t>Repeated lines are real</t>
        </is>
      </c>
      <c r="B35" s="8" t="inlineStr">
        <is>
          <t>174 rows repeat an existing (vehicle, head, period, from-date, amount) combination. Unlike the employee feed these are not a join artefact — a bus can genuinely take two tyre purchases in one period — but a duplicated entry would look identical, so large repeats deserve a check.</t>
        </is>
      </c>
    </row>
    <row r="36">
      <c r="A36" s="3" t="inlineStr">
        <is>
          <t>Not a full-year view</t>
        </is>
      </c>
      <c r="B36" s="8" t="inlineStr">
        <is>
          <t>A period that has not started yet has no row. FY totals for the current year grow as the year is planned out, so they are not comparable with a closed year until it closes.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6" customWidth="1" min="3" max="3"/>
    <col width="26" customWidth="1" min="4" max="4"/>
    <col width="14" customWidth="1" min="5" max="5"/>
    <col width="12" customWidth="1" min="6" max="6"/>
    <col width="12" customWidth="1" min="7" max="7"/>
    <col width="7" customWidth="1" min="8" max="8"/>
    <col width="10" customWidth="1" min="9" max="9"/>
    <col width="14" customWidth="1" min="10" max="10"/>
    <col width="12" customWidth="1" min="11" max="11"/>
    <col width="16" customWidth="1" min="12" max="12"/>
    <col width="11" customWidth="1" min="13" max="13"/>
    <col width="14" customWidth="1" min="14" max="14"/>
    <col width="10" customWidth="1" min="15" max="15"/>
    <col width="14" customWidth="1" min="16" max="16"/>
    <col width="12" customWidth="1" min="17" max="17"/>
    <col width="14" customWidth="1" min="18" max="18"/>
    <col width="12" customWidth="1" min="19" max="19"/>
    <col width="13" customWidth="1" min="20" max="20"/>
    <col width="13" customWidth="1" min="21" max="21"/>
    <col width="9" customWidth="1" min="22" max="22"/>
    <col width="14" customWidth="1" min="23" max="23"/>
  </cols>
  <sheetData>
    <row r="1">
      <c r="A1" s="9" t="inlineStr">
        <is>
          <t>Veh_Name</t>
        </is>
      </c>
      <c r="B1" s="9" t="inlineStr">
        <is>
          <t>Division</t>
        </is>
      </c>
      <c r="C1" s="9" t="inlineStr">
        <is>
          <t>Proj_Activity_Name</t>
        </is>
      </c>
      <c r="D1" s="9" t="inlineStr">
        <is>
          <t>Description</t>
        </is>
      </c>
      <c r="E1" s="9" t="inlineStr">
        <is>
          <t>Period_Name</t>
        </is>
      </c>
      <c r="F1" s="9" t="inlineStr">
        <is>
          <t>From_Date</t>
        </is>
      </c>
      <c r="G1" s="9" t="inlineStr">
        <is>
          <t>To_Date</t>
        </is>
      </c>
      <c r="H1" s="9" t="inlineStr">
        <is>
          <t>Days</t>
        </is>
      </c>
      <c r="I1" s="9" t="inlineStr">
        <is>
          <t>FY</t>
        </is>
      </c>
      <c r="J1" s="9" t="inlineStr">
        <is>
          <t>Rate (per unit)</t>
        </is>
      </c>
      <c r="K1" s="9" t="inlineStr">
        <is>
          <t>Qty (derived)</t>
        </is>
      </c>
      <c r="L1" s="9" t="inlineStr">
        <is>
          <t>Pur_Amount (actual)</t>
        </is>
      </c>
      <c r="M1" s="9" t="inlineStr">
        <is>
          <t>Per day</t>
        </is>
      </c>
      <c r="N1" s="9" t="inlineStr">
        <is>
          <t>Approved_Date</t>
        </is>
      </c>
      <c r="O1" s="9" t="inlineStr">
        <is>
          <t>Approved</t>
        </is>
      </c>
      <c r="P1" s="9" t="inlineStr">
        <is>
          <t>Active on as-of</t>
        </is>
      </c>
      <c r="Q1" s="9" t="inlineStr">
        <is>
          <t>In cal. year</t>
        </is>
      </c>
      <c r="R1" s="9" t="inlineStr">
        <is>
          <t>Order_No</t>
        </is>
      </c>
      <c r="S1" s="9" t="inlineStr">
        <is>
          <t>Order_Date</t>
        </is>
      </c>
      <c r="T1" s="9" t="inlineStr">
        <is>
          <t>Plan_Entry_No</t>
        </is>
      </c>
      <c r="U1" s="9" t="inlineStr">
        <is>
          <t>Project_Type</t>
        </is>
      </c>
      <c r="V1" s="9" t="inlineStr">
        <is>
          <t>Testing</t>
        </is>
      </c>
      <c r="W1" s="9" t="inlineStr">
        <is>
          <t>Employee</t>
        </is>
      </c>
    </row>
    <row r="2">
      <c r="A2" s="10" t="inlineStr">
        <is>
          <t>TN57AC3636</t>
        </is>
      </c>
      <c r="B2" s="10" t="inlineStr">
        <is>
          <t>SOCKS</t>
        </is>
      </c>
      <c r="C2" s="10" t="inlineStr">
        <is>
          <t>FC WORK</t>
        </is>
      </c>
      <c r="D2" s="10" t="inlineStr">
        <is>
          <t>FC WORK</t>
        </is>
      </c>
      <c r="E2" s="10" t="inlineStr">
        <is>
          <t>YEARLY</t>
        </is>
      </c>
      <c r="F2" s="11" t="n">
        <v>45383</v>
      </c>
      <c r="G2" s="11" t="n">
        <v>45747</v>
      </c>
      <c r="H2" s="12">
        <f>IF(OR($F2="",$G2=""),"",$G2-$F2+1)</f>
        <v/>
      </c>
      <c r="I2" s="10">
        <f>IF($F2="","",IF(MONTH($F2)&gt;=4,YEAR($F2)&amp;"-"&amp;TEXT(YEAR($F2)+1-2000,"00"),YEAR($F2)-1&amp;"-"&amp;TEXT(YEAR($F2)-2000,"00")))</f>
        <v/>
      </c>
      <c r="J2" s="13" t="n">
        <v>56950</v>
      </c>
      <c r="K2" s="14">
        <f>IFERROR($L2/$J2,"")</f>
        <v/>
      </c>
      <c r="L2" s="13" t="n">
        <v>56950</v>
      </c>
      <c r="M2" s="13">
        <f>IFERROR($L2/$H2,"")</f>
        <v/>
      </c>
      <c r="N2" s="11" t="n">
        <v>45653</v>
      </c>
      <c r="O2" s="10">
        <f>IF($N2="","No","Yes")</f>
        <v/>
      </c>
      <c r="P2" s="12">
        <f>IF(OR($F2="",$G2=""),0,IF(AND($F2&lt;=README!$B$4,README!$B$4&lt;=$G2),1,0))</f>
        <v/>
      </c>
      <c r="Q2" s="12">
        <f>IF(OR($F2="",$G2=""),0,IF(AND($F2&lt;=DATE(README!$B$5,12,31),$G2&gt;=DATE(README!$B$5,1,1)),1,0))</f>
        <v/>
      </c>
      <c r="R2" s="10" t="inlineStr">
        <is>
          <t>GUP-VEH0009</t>
        </is>
      </c>
      <c r="S2" s="11" t="n">
        <v>45475</v>
      </c>
      <c r="T2" s="10" t="inlineStr">
        <is>
          <t>546</t>
        </is>
      </c>
      <c r="U2" s="10" t="inlineStr">
        <is>
          <t>VEHICLE</t>
        </is>
      </c>
      <c r="V2" s="10" t="inlineStr">
        <is>
          <t>T</t>
        </is>
      </c>
      <c r="W2" s="10" t="inlineStr">
        <is>
          <t>VIVEK B</t>
        </is>
      </c>
    </row>
    <row r="3">
      <c r="A3" s="10" t="inlineStr">
        <is>
          <t>TN57AC3636</t>
        </is>
      </c>
      <c r="B3" s="10" t="inlineStr">
        <is>
          <t>SOCKS</t>
        </is>
      </c>
      <c r="C3" s="10" t="inlineStr">
        <is>
          <t>ROAD TAX</t>
        </is>
      </c>
      <c r="D3" s="10" t="inlineStr">
        <is>
          <t>ROAD TAX</t>
        </is>
      </c>
      <c r="E3" s="10" t="inlineStr">
        <is>
          <t>YEARLY</t>
        </is>
      </c>
      <c r="F3" s="11" t="n">
        <v>45383</v>
      </c>
      <c r="G3" s="11" t="n">
        <v>45747</v>
      </c>
      <c r="H3" s="12">
        <f>IF(OR($F3="",$G3=""),"",$G3-$F3+1)</f>
        <v/>
      </c>
      <c r="I3" s="10">
        <f>IF($F3="","",IF(MONTH($F3)&gt;=4,YEAR($F3)&amp;"-"&amp;TEXT(YEAR($F3)+1-2000,"00"),YEAR($F3)-1&amp;"-"&amp;TEXT(YEAR($F3)-2000,"00")))</f>
        <v/>
      </c>
      <c r="J3" s="13" t="n">
        <v>24846</v>
      </c>
      <c r="K3" s="14">
        <f>IFERROR($L3/$J3,"")</f>
        <v/>
      </c>
      <c r="L3" s="13" t="n">
        <v>24846</v>
      </c>
      <c r="M3" s="13">
        <f>IFERROR($L3/$H3,"")</f>
        <v/>
      </c>
      <c r="N3" s="11" t="n">
        <v>45569</v>
      </c>
      <c r="O3" s="10">
        <f>IF($N3="","No","Yes")</f>
        <v/>
      </c>
      <c r="P3" s="12">
        <f>IF(OR($F3="",$G3=""),0,IF(AND($F3&lt;=README!$B$4,README!$B$4&lt;=$G3),1,0))</f>
        <v/>
      </c>
      <c r="Q3" s="12">
        <f>IF(OR($F3="",$G3=""),0,IF(AND($F3&lt;=DATE(README!$B$5,12,31),$G3&gt;=DATE(README!$B$5,1,1)),1,0))</f>
        <v/>
      </c>
      <c r="R3" s="10" t="inlineStr">
        <is>
          <t>GUP-VEH0011</t>
        </is>
      </c>
      <c r="S3" s="11" t="n">
        <v>45477</v>
      </c>
      <c r="T3" s="10" t="inlineStr">
        <is>
          <t>548</t>
        </is>
      </c>
      <c r="U3" s="10" t="inlineStr">
        <is>
          <t>VEHICLE</t>
        </is>
      </c>
      <c r="V3" s="10" t="inlineStr">
        <is>
          <t>T</t>
        </is>
      </c>
      <c r="W3" s="10" t="inlineStr">
        <is>
          <t>VIVEK B</t>
        </is>
      </c>
    </row>
    <row r="4">
      <c r="A4" s="10" t="inlineStr">
        <is>
          <t>TN57AC3636</t>
        </is>
      </c>
      <c r="B4" s="10" t="inlineStr">
        <is>
          <t>SOCKS</t>
        </is>
      </c>
      <c r="C4" s="10" t="inlineStr">
        <is>
          <t>ROAD TAX</t>
        </is>
      </c>
      <c r="D4" s="10" t="inlineStr">
        <is>
          <t>ROAD TAX</t>
        </is>
      </c>
      <c r="E4" s="10" t="inlineStr">
        <is>
          <t>YEARLY</t>
        </is>
      </c>
      <c r="F4" s="11" t="n">
        <v>45383</v>
      </c>
      <c r="G4" s="11" t="n">
        <v>45747</v>
      </c>
      <c r="H4" s="12">
        <f>IF(OR($F4="",$G4=""),"",$G4-$F4+1)</f>
        <v/>
      </c>
      <c r="I4" s="10">
        <f>IF($F4="","",IF(MONTH($F4)&gt;=4,YEAR($F4)&amp;"-"&amp;TEXT(YEAR($F4)+1-2000,"00"),YEAR($F4)-1&amp;"-"&amp;TEXT(YEAR($F4)-2000,"00")))</f>
        <v/>
      </c>
      <c r="J4" s="13" t="n">
        <v>24846</v>
      </c>
      <c r="K4" s="14">
        <f>IFERROR($L4/$J4,"")</f>
        <v/>
      </c>
      <c r="L4" s="13" t="n">
        <v>24846</v>
      </c>
      <c r="M4" s="13">
        <f>IFERROR($L4/$H4,"")</f>
        <v/>
      </c>
      <c r="N4" s="11" t="n">
        <v>45649</v>
      </c>
      <c r="O4" s="10">
        <f>IF($N4="","No","Yes")</f>
        <v/>
      </c>
      <c r="P4" s="12">
        <f>IF(OR($F4="",$G4=""),0,IF(AND($F4&lt;=README!$B$4,README!$B$4&lt;=$G4),1,0))</f>
        <v/>
      </c>
      <c r="Q4" s="12">
        <f>IF(OR($F4="",$G4=""),0,IF(AND($F4&lt;=DATE(README!$B$5,12,31),$G4&gt;=DATE(README!$B$5,1,1)),1,0))</f>
        <v/>
      </c>
      <c r="R4" s="10" t="inlineStr">
        <is>
          <t>GUP-VEH0011</t>
        </is>
      </c>
      <c r="S4" s="11" t="n">
        <v>45477</v>
      </c>
      <c r="T4" s="10" t="inlineStr">
        <is>
          <t>548</t>
        </is>
      </c>
      <c r="U4" s="10" t="inlineStr">
        <is>
          <t>VEHICLE</t>
        </is>
      </c>
      <c r="V4" s="10" t="inlineStr">
        <is>
          <t>T</t>
        </is>
      </c>
      <c r="W4" s="10" t="inlineStr">
        <is>
          <t>VIVEK B</t>
        </is>
      </c>
    </row>
    <row r="5">
      <c r="A5" s="10" t="inlineStr">
        <is>
          <t>TN57AC3636</t>
        </is>
      </c>
      <c r="B5" s="10" t="inlineStr">
        <is>
          <t>SOCKS</t>
        </is>
      </c>
      <c r="C5" s="10" t="inlineStr">
        <is>
          <t>ROAD TAX</t>
        </is>
      </c>
      <c r="D5" s="10" t="inlineStr">
        <is>
          <t>GREEN TAX</t>
        </is>
      </c>
      <c r="E5" s="10" t="inlineStr">
        <is>
          <t>YEARLY</t>
        </is>
      </c>
      <c r="F5" s="11" t="n">
        <v>45383</v>
      </c>
      <c r="G5" s="11" t="n">
        <v>45747</v>
      </c>
      <c r="H5" s="12">
        <f>IF(OR($F5="",$G5=""),"",$G5-$F5+1)</f>
        <v/>
      </c>
      <c r="I5" s="10">
        <f>IF($F5="","",IF(MONTH($F5)&gt;=4,YEAR($F5)&amp;"-"&amp;TEXT(YEAR($F5)+1-2000,"00"),YEAR($F5)-1&amp;"-"&amp;TEXT(YEAR($F5)-2000,"00")))</f>
        <v/>
      </c>
      <c r="J5" s="13" t="n">
        <v>190</v>
      </c>
      <c r="K5" s="14">
        <f>IFERROR($L5/$J5,"")</f>
        <v/>
      </c>
      <c r="L5" s="13" t="n">
        <v>190</v>
      </c>
      <c r="M5" s="13">
        <f>IFERROR($L5/$H5,"")</f>
        <v/>
      </c>
      <c r="N5" s="11" t="n">
        <v>45649</v>
      </c>
      <c r="O5" s="10">
        <f>IF($N5="","No","Yes")</f>
        <v/>
      </c>
      <c r="P5" s="12">
        <f>IF(OR($F5="",$G5=""),0,IF(AND($F5&lt;=README!$B$4,README!$B$4&lt;=$G5),1,0))</f>
        <v/>
      </c>
      <c r="Q5" s="12">
        <f>IF(OR($F5="",$G5=""),0,IF(AND($F5&lt;=DATE(README!$B$5,12,31),$G5&gt;=DATE(README!$B$5,1,1)),1,0))</f>
        <v/>
      </c>
      <c r="R5" s="10" t="inlineStr">
        <is>
          <t>GUP-VEH0011</t>
        </is>
      </c>
      <c r="S5" s="11" t="n">
        <v>45477</v>
      </c>
      <c r="T5" s="10" t="inlineStr">
        <is>
          <t>548</t>
        </is>
      </c>
      <c r="U5" s="10" t="inlineStr">
        <is>
          <t>VEHICLE</t>
        </is>
      </c>
      <c r="V5" s="10" t="inlineStr">
        <is>
          <t>T</t>
        </is>
      </c>
      <c r="W5" s="10" t="inlineStr">
        <is>
          <t>VIVEK B</t>
        </is>
      </c>
    </row>
    <row r="6">
      <c r="A6" s="10" t="inlineStr">
        <is>
          <t>TN57AC3636</t>
        </is>
      </c>
      <c r="B6" s="10" t="inlineStr">
        <is>
          <t>SOCKS</t>
        </is>
      </c>
      <c r="C6" s="10" t="inlineStr">
        <is>
          <t>ROAD TAX</t>
        </is>
      </c>
      <c r="D6" s="10" t="inlineStr">
        <is>
          <t>GREEN TAX</t>
        </is>
      </c>
      <c r="E6" s="10" t="inlineStr">
        <is>
          <t>YEARLY</t>
        </is>
      </c>
      <c r="F6" s="11" t="n">
        <v>45383</v>
      </c>
      <c r="G6" s="11" t="n">
        <v>45747</v>
      </c>
      <c r="H6" s="12">
        <f>IF(OR($F6="",$G6=""),"",$G6-$F6+1)</f>
        <v/>
      </c>
      <c r="I6" s="10">
        <f>IF($F6="","",IF(MONTH($F6)&gt;=4,YEAR($F6)&amp;"-"&amp;TEXT(YEAR($F6)+1-2000,"00"),YEAR($F6)-1&amp;"-"&amp;TEXT(YEAR($F6)-2000,"00")))</f>
        <v/>
      </c>
      <c r="J6" s="13" t="n">
        <v>190</v>
      </c>
      <c r="K6" s="14">
        <f>IFERROR($L6/$J6,"")</f>
        <v/>
      </c>
      <c r="L6" s="13" t="n">
        <v>190</v>
      </c>
      <c r="M6" s="13">
        <f>IFERROR($L6/$H6,"")</f>
        <v/>
      </c>
      <c r="N6" s="11" t="n">
        <v>45569</v>
      </c>
      <c r="O6" s="10">
        <f>IF($N6="","No","Yes")</f>
        <v/>
      </c>
      <c r="P6" s="12">
        <f>IF(OR($F6="",$G6=""),0,IF(AND($F6&lt;=README!$B$4,README!$B$4&lt;=$G6),1,0))</f>
        <v/>
      </c>
      <c r="Q6" s="12">
        <f>IF(OR($F6="",$G6=""),0,IF(AND($F6&lt;=DATE(README!$B$5,12,31),$G6&gt;=DATE(README!$B$5,1,1)),1,0))</f>
        <v/>
      </c>
      <c r="R6" s="10" t="inlineStr">
        <is>
          <t>GUP-VEH0011</t>
        </is>
      </c>
      <c r="S6" s="11" t="n">
        <v>45477</v>
      </c>
      <c r="T6" s="10" t="inlineStr">
        <is>
          <t>548</t>
        </is>
      </c>
      <c r="U6" s="10" t="inlineStr">
        <is>
          <t>VEHICLE</t>
        </is>
      </c>
      <c r="V6" s="10" t="inlineStr">
        <is>
          <t>T</t>
        </is>
      </c>
      <c r="W6" s="10" t="inlineStr">
        <is>
          <t>VIVEK B</t>
        </is>
      </c>
    </row>
    <row r="7">
      <c r="A7" s="10" t="inlineStr">
        <is>
          <t>TN57AC3636</t>
        </is>
      </c>
      <c r="B7" s="10" t="inlineStr">
        <is>
          <t>SOCKS</t>
        </is>
      </c>
      <c r="C7" s="10" t="inlineStr">
        <is>
          <t>ROAD TAX</t>
        </is>
      </c>
      <c r="D7" s="10" t="inlineStr">
        <is>
          <t>GREEN TAX</t>
        </is>
      </c>
      <c r="E7" s="10" t="inlineStr">
        <is>
          <t>YEARLY</t>
        </is>
      </c>
      <c r="F7" s="11" t="n">
        <v>45383</v>
      </c>
      <c r="G7" s="11" t="n">
        <v>45747</v>
      </c>
      <c r="H7" s="12">
        <f>IF(OR($F7="",$G7=""),"",$G7-$F7+1)</f>
        <v/>
      </c>
      <c r="I7" s="10">
        <f>IF($F7="","",IF(MONTH($F7)&gt;=4,YEAR($F7)&amp;"-"&amp;TEXT(YEAR($F7)+1-2000,"00"),YEAR($F7)-1&amp;"-"&amp;TEXT(YEAR($F7)-2000,"00")))</f>
        <v/>
      </c>
      <c r="J7" s="13" t="n">
        <v>190</v>
      </c>
      <c r="K7" s="14">
        <f>IFERROR($L7/$J7,"")</f>
        <v/>
      </c>
      <c r="L7" s="13" t="n">
        <v>190</v>
      </c>
      <c r="M7" s="13">
        <f>IFERROR($L7/$H7,"")</f>
        <v/>
      </c>
      <c r="N7" s="11" t="n">
        <v>45481</v>
      </c>
      <c r="O7" s="10">
        <f>IF($N7="","No","Yes")</f>
        <v/>
      </c>
      <c r="P7" s="12">
        <f>IF(OR($F7="",$G7=""),0,IF(AND($F7&lt;=README!$B$4,README!$B$4&lt;=$G7),1,0))</f>
        <v/>
      </c>
      <c r="Q7" s="12">
        <f>IF(OR($F7="",$G7=""),0,IF(AND($F7&lt;=DATE(README!$B$5,12,31),$G7&gt;=DATE(README!$B$5,1,1)),1,0))</f>
        <v/>
      </c>
      <c r="R7" s="10" t="inlineStr">
        <is>
          <t>GUP-VEH0011</t>
        </is>
      </c>
      <c r="S7" s="11" t="n">
        <v>45477</v>
      </c>
      <c r="T7" s="10" t="inlineStr">
        <is>
          <t>548</t>
        </is>
      </c>
      <c r="U7" s="10" t="inlineStr">
        <is>
          <t>VEHICLE</t>
        </is>
      </c>
      <c r="V7" s="10" t="inlineStr">
        <is>
          <t>T</t>
        </is>
      </c>
      <c r="W7" s="10" t="inlineStr">
        <is>
          <t>VIVEK B</t>
        </is>
      </c>
    </row>
    <row r="8">
      <c r="A8" s="10" t="inlineStr">
        <is>
          <t>TN57AC3636</t>
        </is>
      </c>
      <c r="B8" s="10" t="inlineStr">
        <is>
          <t>SOCKS</t>
        </is>
      </c>
      <c r="C8" s="10" t="inlineStr">
        <is>
          <t>ROAD TAX</t>
        </is>
      </c>
      <c r="D8" s="10" t="inlineStr">
        <is>
          <t>ROAD TAX</t>
        </is>
      </c>
      <c r="E8" s="10" t="inlineStr">
        <is>
          <t>YEARLY</t>
        </is>
      </c>
      <c r="F8" s="11" t="n">
        <v>45383</v>
      </c>
      <c r="G8" s="11" t="n">
        <v>45747</v>
      </c>
      <c r="H8" s="12">
        <f>IF(OR($F8="",$G8=""),"",$G8-$F8+1)</f>
        <v/>
      </c>
      <c r="I8" s="10">
        <f>IF($F8="","",IF(MONTH($F8)&gt;=4,YEAR($F8)&amp;"-"&amp;TEXT(YEAR($F8)+1-2000,"00"),YEAR($F8)-1&amp;"-"&amp;TEXT(YEAR($F8)-2000,"00")))</f>
        <v/>
      </c>
      <c r="J8" s="13" t="n">
        <v>24846</v>
      </c>
      <c r="K8" s="14">
        <f>IFERROR($L8/$J8,"")</f>
        <v/>
      </c>
      <c r="L8" s="13" t="n">
        <v>24846</v>
      </c>
      <c r="M8" s="13">
        <f>IFERROR($L8/$H8,"")</f>
        <v/>
      </c>
      <c r="N8" s="11" t="n">
        <v>45481</v>
      </c>
      <c r="O8" s="10">
        <f>IF($N8="","No","Yes")</f>
        <v/>
      </c>
      <c r="P8" s="12">
        <f>IF(OR($F8="",$G8=""),0,IF(AND($F8&lt;=README!$B$4,README!$B$4&lt;=$G8),1,0))</f>
        <v/>
      </c>
      <c r="Q8" s="12">
        <f>IF(OR($F8="",$G8=""),0,IF(AND($F8&lt;=DATE(README!$B$5,12,31),$G8&gt;=DATE(README!$B$5,1,1)),1,0))</f>
        <v/>
      </c>
      <c r="R8" s="10" t="inlineStr">
        <is>
          <t>GUP-VEH0011</t>
        </is>
      </c>
      <c r="S8" s="11" t="n">
        <v>45477</v>
      </c>
      <c r="T8" s="10" t="inlineStr">
        <is>
          <t>548</t>
        </is>
      </c>
      <c r="U8" s="10" t="inlineStr">
        <is>
          <t>VEHICLE</t>
        </is>
      </c>
      <c r="V8" s="10" t="inlineStr">
        <is>
          <t>T</t>
        </is>
      </c>
      <c r="W8" s="10" t="inlineStr">
        <is>
          <t>VIVEK B</t>
        </is>
      </c>
    </row>
    <row r="9">
      <c r="A9" s="10" t="inlineStr">
        <is>
          <t>TN57AC3636</t>
        </is>
      </c>
      <c r="B9" s="10" t="inlineStr">
        <is>
          <t>SOCKS</t>
        </is>
      </c>
      <c r="C9" s="10" t="inlineStr">
        <is>
          <t>RTO EXPENSE</t>
        </is>
      </c>
      <c r="D9" s="10" t="inlineStr">
        <is>
          <t>RTO EXPENSE</t>
        </is>
      </c>
      <c r="E9" s="10" t="inlineStr">
        <is>
          <t>YEARLY</t>
        </is>
      </c>
      <c r="F9" s="11" t="n">
        <v>45383</v>
      </c>
      <c r="G9" s="11" t="n">
        <v>45747</v>
      </c>
      <c r="H9" s="12">
        <f>IF(OR($F9="",$G9=""),"",$G9-$F9+1)</f>
        <v/>
      </c>
      <c r="I9" s="10">
        <f>IF($F9="","",IF(MONTH($F9)&gt;=4,YEAR($F9)&amp;"-"&amp;TEXT(YEAR($F9)+1-2000,"00"),YEAR($F9)-1&amp;"-"&amp;TEXT(YEAR($F9)-2000,"00")))</f>
        <v/>
      </c>
      <c r="J9" s="13" t="n">
        <v>7500</v>
      </c>
      <c r="K9" s="14">
        <f>IFERROR($L9/$J9,"")</f>
        <v/>
      </c>
      <c r="L9" s="13" t="n">
        <v>7500</v>
      </c>
      <c r="M9" s="13">
        <f>IFERROR($L9/$H9,"")</f>
        <v/>
      </c>
      <c r="N9" s="11" t="n">
        <v>45638</v>
      </c>
      <c r="O9" s="10">
        <f>IF($N9="","No","Yes")</f>
        <v/>
      </c>
      <c r="P9" s="12">
        <f>IF(OR($F9="",$G9=""),0,IF(AND($F9&lt;=README!$B$4,README!$B$4&lt;=$G9),1,0))</f>
        <v/>
      </c>
      <c r="Q9" s="12">
        <f>IF(OR($F9="",$G9=""),0,IF(AND($F9&lt;=DATE(README!$B$5,12,31),$G9&gt;=DATE(README!$B$5,1,1)),1,0))</f>
        <v/>
      </c>
      <c r="R9" s="10" t="inlineStr">
        <is>
          <t>GUP-VEH0010</t>
        </is>
      </c>
      <c r="S9" s="11" t="n">
        <v>45475</v>
      </c>
      <c r="T9" s="10" t="inlineStr">
        <is>
          <t>547</t>
        </is>
      </c>
      <c r="U9" s="10" t="inlineStr">
        <is>
          <t>VEHICLE</t>
        </is>
      </c>
      <c r="V9" s="10" t="inlineStr">
        <is>
          <t>T</t>
        </is>
      </c>
      <c r="W9" s="10" t="inlineStr">
        <is>
          <t>VIVEK B</t>
        </is>
      </c>
    </row>
    <row r="10">
      <c r="A10" s="10" t="inlineStr">
        <is>
          <t>TN57AC3636</t>
        </is>
      </c>
      <c r="B10" s="10" t="inlineStr">
        <is>
          <t>SOCKS</t>
        </is>
      </c>
      <c r="C10" s="10" t="inlineStr">
        <is>
          <t>TYRE</t>
        </is>
      </c>
      <c r="D10" s="10" t="inlineStr">
        <is>
          <t>TYRE</t>
        </is>
      </c>
      <c r="E10" s="10" t="inlineStr">
        <is>
          <t>YEARLY</t>
        </is>
      </c>
      <c r="F10" s="11" t="n">
        <v>45383</v>
      </c>
      <c r="G10" s="11" t="n">
        <v>45747</v>
      </c>
      <c r="H10" s="12">
        <f>IF(OR($F10="",$G10=""),"",$G10-$F10+1)</f>
        <v/>
      </c>
      <c r="I10" s="10">
        <f>IF($F10="","",IF(MONTH($F10)&gt;=4,YEAR($F10)&amp;"-"&amp;TEXT(YEAR($F10)+1-2000,"00"),YEAR($F10)-1&amp;"-"&amp;TEXT(YEAR($F10)-2000,"00")))</f>
        <v/>
      </c>
      <c r="J10" s="13" t="n">
        <v>19200</v>
      </c>
      <c r="K10" s="14">
        <f>IFERROR($L10/$J10,"")</f>
        <v/>
      </c>
      <c r="L10" s="13" t="n">
        <v>19200</v>
      </c>
      <c r="M10" s="13">
        <f>IFERROR($L10/$H10,"")</f>
        <v/>
      </c>
      <c r="N10" s="11" t="n">
        <v>45443</v>
      </c>
      <c r="O10" s="10">
        <f>IF($N10="","No","Yes")</f>
        <v/>
      </c>
      <c r="P10" s="12">
        <f>IF(OR($F10="",$G10=""),0,IF(AND($F10&lt;=README!$B$4,README!$B$4&lt;=$G10),1,0))</f>
        <v/>
      </c>
      <c r="Q10" s="12">
        <f>IF(OR($F10="",$G10=""),0,IF(AND($F10&lt;=DATE(README!$B$5,12,31),$G10&gt;=DATE(README!$B$5,1,1)),1,0))</f>
        <v/>
      </c>
      <c r="R10" s="10" t="inlineStr">
        <is>
          <t>GUP-VEH0006</t>
        </is>
      </c>
      <c r="S10" s="11" t="n">
        <v>45442</v>
      </c>
      <c r="T10" s="10" t="inlineStr">
        <is>
          <t>522</t>
        </is>
      </c>
      <c r="U10" s="10" t="inlineStr">
        <is>
          <t>VEHICLE</t>
        </is>
      </c>
      <c r="V10" s="10" t="inlineStr">
        <is>
          <t>T</t>
        </is>
      </c>
      <c r="W10" s="10" t="inlineStr">
        <is>
          <t>VIVEK B</t>
        </is>
      </c>
    </row>
    <row r="11">
      <c r="A11" s="10" t="inlineStr">
        <is>
          <t>TN57AC3636</t>
        </is>
      </c>
      <c r="B11" s="10" t="inlineStr">
        <is>
          <t>SOCKS</t>
        </is>
      </c>
      <c r="C11" s="10" t="inlineStr">
        <is>
          <t>VEHICLE INSURANCE</t>
        </is>
      </c>
      <c r="D11" s="10" t="inlineStr">
        <is>
          <t>VEHICLE INSURANCE</t>
        </is>
      </c>
      <c r="E11" s="10" t="inlineStr">
        <is>
          <t>YEARLY</t>
        </is>
      </c>
      <c r="F11" s="11" t="n">
        <v>45383</v>
      </c>
      <c r="G11" s="11" t="n">
        <v>45747</v>
      </c>
      <c r="H11" s="12">
        <f>IF(OR($F11="",$G11=""),"",$G11-$F11+1)</f>
        <v/>
      </c>
      <c r="I11" s="10">
        <f>IF($F11="","",IF(MONTH($F11)&gt;=4,YEAR($F11)&amp;"-"&amp;TEXT(YEAR($F11)+1-2000,"00"),YEAR($F11)-1&amp;"-"&amp;TEXT(YEAR($F11)-2000,"00")))</f>
        <v/>
      </c>
      <c r="J11" s="13" t="n">
        <v>59316</v>
      </c>
      <c r="K11" s="14">
        <f>IFERROR($L11/$J11,"")</f>
        <v/>
      </c>
      <c r="L11" s="13" t="n">
        <v>59316</v>
      </c>
      <c r="M11" s="13">
        <f>IFERROR($L11/$H11,"")</f>
        <v/>
      </c>
      <c r="N11" s="11" t="n">
        <v>45632</v>
      </c>
      <c r="O11" s="10">
        <f>IF($N11="","No","Yes")</f>
        <v/>
      </c>
      <c r="P11" s="12">
        <f>IF(OR($F11="",$G11=""),0,IF(AND($F11&lt;=README!$B$4,README!$B$4&lt;=$G11),1,0))</f>
        <v/>
      </c>
      <c r="Q11" s="12">
        <f>IF(OR($F11="",$G11=""),0,IF(AND($F11&lt;=DATE(README!$B$5,12,31),$G11&gt;=DATE(README!$B$5,1,1)),1,0))</f>
        <v/>
      </c>
      <c r="R11" s="10" t="inlineStr">
        <is>
          <t>GUP-VEH0013</t>
        </is>
      </c>
      <c r="S11" s="11" t="n">
        <v>45478</v>
      </c>
      <c r="T11" s="10" t="inlineStr">
        <is>
          <t>550</t>
        </is>
      </c>
      <c r="U11" s="10" t="inlineStr">
        <is>
          <t>VEHICLE</t>
        </is>
      </c>
      <c r="V11" s="10" t="inlineStr">
        <is>
          <t>T</t>
        </is>
      </c>
      <c r="W11" s="10" t="inlineStr">
        <is>
          <t>VIVEK B</t>
        </is>
      </c>
    </row>
    <row r="12">
      <c r="A12" s="10" t="inlineStr">
        <is>
          <t>TN57AC3636</t>
        </is>
      </c>
      <c r="B12" s="10" t="inlineStr">
        <is>
          <t>SOCKS</t>
        </is>
      </c>
      <c r="C12" s="10" t="inlineStr">
        <is>
          <t>FC WORK</t>
        </is>
      </c>
      <c r="D12" s="10" t="inlineStr">
        <is>
          <t>FC WORK</t>
        </is>
      </c>
      <c r="E12" s="10" t="inlineStr">
        <is>
          <t>YEARLY</t>
        </is>
      </c>
      <c r="F12" s="11" t="n">
        <v>45748</v>
      </c>
      <c r="G12" s="11" t="n">
        <v>46112</v>
      </c>
      <c r="H12" s="12">
        <f>IF(OR($F12="",$G12=""),"",$G12-$F12+1)</f>
        <v/>
      </c>
      <c r="I12" s="10">
        <f>IF($F12="","",IF(MONTH($F12)&gt;=4,YEAR($F12)&amp;"-"&amp;TEXT(YEAR($F12)+1-2000,"00"),YEAR($F12)-1&amp;"-"&amp;TEXT(YEAR($F12)-2000,"00")))</f>
        <v/>
      </c>
      <c r="J12" s="13" t="n">
        <v>40020</v>
      </c>
      <c r="K12" s="14">
        <f>IFERROR($L12/$J12,"")</f>
        <v/>
      </c>
      <c r="L12" s="13" t="n">
        <v>40020</v>
      </c>
      <c r="M12" s="13">
        <f>IFERROR($L12/$H12,"")</f>
        <v/>
      </c>
      <c r="N12" s="11" t="n">
        <v>46028</v>
      </c>
      <c r="O12" s="10">
        <f>IF($N12="","No","Yes")</f>
        <v/>
      </c>
      <c r="P12" s="12">
        <f>IF(OR($F12="",$G12=""),0,IF(AND($F12&lt;=README!$B$4,README!$B$4&lt;=$G12),1,0))</f>
        <v/>
      </c>
      <c r="Q12" s="12">
        <f>IF(OR($F12="",$G12=""),0,IF(AND($F12&lt;=DATE(README!$B$5,12,31),$G12&gt;=DATE(README!$B$5,1,1)),1,0))</f>
        <v/>
      </c>
      <c r="R12" s="10" t="inlineStr">
        <is>
          <t>GUP-VEH0021</t>
        </is>
      </c>
      <c r="S12" s="11" t="n">
        <v>45832</v>
      </c>
      <c r="T12" s="10" t="inlineStr">
        <is>
          <t>654</t>
        </is>
      </c>
      <c r="U12" s="10" t="inlineStr">
        <is>
          <t>VEHICLE</t>
        </is>
      </c>
      <c r="V12" s="10" t="inlineStr">
        <is>
          <t>T</t>
        </is>
      </c>
      <c r="W12" s="10" t="inlineStr">
        <is>
          <t>VIVEK B</t>
        </is>
      </c>
    </row>
    <row r="13">
      <c r="A13" s="10" t="inlineStr">
        <is>
          <t>TN57AC3636</t>
        </is>
      </c>
      <c r="B13" s="10" t="inlineStr">
        <is>
          <t>SOCKS</t>
        </is>
      </c>
      <c r="C13" s="10" t="inlineStr">
        <is>
          <t>ROAD TAX</t>
        </is>
      </c>
      <c r="D13" s="10" t="inlineStr">
        <is>
          <t>GREEN TAX</t>
        </is>
      </c>
      <c r="E13" s="10" t="inlineStr">
        <is>
          <t>QUARTER - I</t>
        </is>
      </c>
      <c r="F13" s="11" t="n">
        <v>45748</v>
      </c>
      <c r="G13" s="11" t="n">
        <v>45838</v>
      </c>
      <c r="H13" s="12">
        <f>IF(OR($F13="",$G13=""),"",$G13-$F13+1)</f>
        <v/>
      </c>
      <c r="I13" s="10">
        <f>IF($F13="","",IF(MONTH($F13)&gt;=4,YEAR($F13)&amp;"-"&amp;TEXT(YEAR($F13)+1-2000,"00"),YEAR($F13)-1&amp;"-"&amp;TEXT(YEAR($F13)-2000,"00")))</f>
        <v/>
      </c>
      <c r="J13" s="13" t="n">
        <v>190</v>
      </c>
      <c r="K13" s="14">
        <f>IFERROR($L13/$J13,"")</f>
        <v/>
      </c>
      <c r="L13" s="13" t="n">
        <v>190</v>
      </c>
      <c r="M13" s="13">
        <f>IFERROR($L13/$H13,"")</f>
        <v/>
      </c>
      <c r="N13" s="11" t="n">
        <v>46030</v>
      </c>
      <c r="O13" s="10">
        <f>IF($N13="","No","Yes")</f>
        <v/>
      </c>
      <c r="P13" s="12">
        <f>IF(OR($F13="",$G13=""),0,IF(AND($F13&lt;=README!$B$4,README!$B$4&lt;=$G13),1,0))</f>
        <v/>
      </c>
      <c r="Q13" s="12">
        <f>IF(OR($F13="",$G13=""),0,IF(AND($F13&lt;=DATE(README!$B$5,12,31),$G13&gt;=DATE(README!$B$5,1,1)),1,0))</f>
        <v/>
      </c>
      <c r="R13" s="10" t="inlineStr">
        <is>
          <t>GUP-VEH0014</t>
        </is>
      </c>
      <c r="S13" s="11" t="n">
        <v>45748</v>
      </c>
      <c r="T13" s="10" t="inlineStr">
        <is>
          <t>609</t>
        </is>
      </c>
      <c r="U13" s="10" t="inlineStr">
        <is>
          <t>VEHICLE</t>
        </is>
      </c>
      <c r="V13" s="10" t="inlineStr">
        <is>
          <t>T</t>
        </is>
      </c>
      <c r="W13" s="10" t="inlineStr">
        <is>
          <t>VIVEK B</t>
        </is>
      </c>
    </row>
    <row r="14">
      <c r="A14" s="10" t="inlineStr">
        <is>
          <t>TN57AC3636</t>
        </is>
      </c>
      <c r="B14" s="10" t="inlineStr">
        <is>
          <t>SOCKS</t>
        </is>
      </c>
      <c r="C14" s="10" t="inlineStr">
        <is>
          <t>ROAD TAX</t>
        </is>
      </c>
      <c r="D14" s="10" t="inlineStr">
        <is>
          <t>ROAD TAX</t>
        </is>
      </c>
      <c r="E14" s="10" t="inlineStr">
        <is>
          <t>QUARTER - I</t>
        </is>
      </c>
      <c r="F14" s="11" t="n">
        <v>45748</v>
      </c>
      <c r="G14" s="11" t="n">
        <v>45838</v>
      </c>
      <c r="H14" s="12">
        <f>IF(OR($F14="",$G14=""),"",$G14-$F14+1)</f>
        <v/>
      </c>
      <c r="I14" s="10">
        <f>IF($F14="","",IF(MONTH($F14)&gt;=4,YEAR($F14)&amp;"-"&amp;TEXT(YEAR($F14)+1-2000,"00"),YEAR($F14)-1&amp;"-"&amp;TEXT(YEAR($F14)-2000,"00")))</f>
        <v/>
      </c>
      <c r="J14" s="13" t="n">
        <v>24846</v>
      </c>
      <c r="K14" s="14">
        <f>IFERROR($L14/$J14,"")</f>
        <v/>
      </c>
      <c r="L14" s="13" t="n">
        <v>24846</v>
      </c>
      <c r="M14" s="13">
        <f>IFERROR($L14/$H14,"")</f>
        <v/>
      </c>
      <c r="N14" s="11" t="n">
        <v>46030</v>
      </c>
      <c r="O14" s="10">
        <f>IF($N14="","No","Yes")</f>
        <v/>
      </c>
      <c r="P14" s="12">
        <f>IF(OR($F14="",$G14=""),0,IF(AND($F14&lt;=README!$B$4,README!$B$4&lt;=$G14),1,0))</f>
        <v/>
      </c>
      <c r="Q14" s="12">
        <f>IF(OR($F14="",$G14=""),0,IF(AND($F14&lt;=DATE(README!$B$5,12,31),$G14&gt;=DATE(README!$B$5,1,1)),1,0))</f>
        <v/>
      </c>
      <c r="R14" s="10" t="inlineStr">
        <is>
          <t>GUP-VEH0014</t>
        </is>
      </c>
      <c r="S14" s="11" t="n">
        <v>45748</v>
      </c>
      <c r="T14" s="10" t="inlineStr">
        <is>
          <t>609</t>
        </is>
      </c>
      <c r="U14" s="10" t="inlineStr">
        <is>
          <t>VEHICLE</t>
        </is>
      </c>
      <c r="V14" s="10" t="inlineStr">
        <is>
          <t>T</t>
        </is>
      </c>
      <c r="W14" s="10" t="inlineStr">
        <is>
          <t>VIVEK B</t>
        </is>
      </c>
    </row>
    <row r="15">
      <c r="A15" s="10" t="inlineStr">
        <is>
          <t>TN57AC3636</t>
        </is>
      </c>
      <c r="B15" s="10" t="inlineStr">
        <is>
          <t>SOCKS</t>
        </is>
      </c>
      <c r="C15" s="10" t="inlineStr">
        <is>
          <t>RTO EXPENSE</t>
        </is>
      </c>
      <c r="D15" s="10" t="inlineStr">
        <is>
          <t>GREEN TAX</t>
        </is>
      </c>
      <c r="E15" s="10" t="inlineStr">
        <is>
          <t>YEARLY</t>
        </is>
      </c>
      <c r="F15" s="11" t="n">
        <v>45748</v>
      </c>
      <c r="G15" s="11" t="n">
        <v>46112</v>
      </c>
      <c r="H15" s="12">
        <f>IF(OR($F15="",$G15=""),"",$G15-$F15+1)</f>
        <v/>
      </c>
      <c r="I15" s="10">
        <f>IF($F15="","",IF(MONTH($F15)&gt;=4,YEAR($F15)&amp;"-"&amp;TEXT(YEAR($F15)+1-2000,"00"),YEAR($F15)-1&amp;"-"&amp;TEXT(YEAR($F15)-2000,"00")))</f>
        <v/>
      </c>
      <c r="J15" s="13" t="n">
        <v>758</v>
      </c>
      <c r="K15" s="14">
        <f>IFERROR($L15/$J15,"")</f>
        <v/>
      </c>
      <c r="L15" s="13" t="n">
        <v>758</v>
      </c>
      <c r="M15" s="13">
        <f>IFERROR($L15/$H15,"")</f>
        <v/>
      </c>
      <c r="N15" s="11" t="n">
        <v>46020</v>
      </c>
      <c r="O15" s="10">
        <f>IF($N15="","No","Yes")</f>
        <v/>
      </c>
      <c r="P15" s="12">
        <f>IF(OR($F15="",$G15=""),0,IF(AND($F15&lt;=README!$B$4,README!$B$4&lt;=$G15),1,0))</f>
        <v/>
      </c>
      <c r="Q15" s="12">
        <f>IF(OR($F15="",$G15=""),0,IF(AND($F15&lt;=DATE(README!$B$5,12,31),$G15&gt;=DATE(README!$B$5,1,1)),1,0))</f>
        <v/>
      </c>
      <c r="R15" s="10" t="inlineStr">
        <is>
          <t>GUP-VEH0022</t>
        </is>
      </c>
      <c r="S15" s="11" t="n">
        <v>45834</v>
      </c>
      <c r="T15" s="10" t="inlineStr">
        <is>
          <t>655</t>
        </is>
      </c>
      <c r="U15" s="10" t="inlineStr">
        <is>
          <t>VEHICLE</t>
        </is>
      </c>
      <c r="V15" s="10" t="inlineStr">
        <is>
          <t>T</t>
        </is>
      </c>
      <c r="W15" s="10" t="inlineStr">
        <is>
          <t>VIVEK B</t>
        </is>
      </c>
    </row>
    <row r="16">
      <c r="A16" s="10" t="inlineStr">
        <is>
          <t>TN57AC3636</t>
        </is>
      </c>
      <c r="B16" s="10" t="inlineStr">
        <is>
          <t>SOCKS</t>
        </is>
      </c>
      <c r="C16" s="10" t="inlineStr">
        <is>
          <t>VEHICLE INSURANCE</t>
        </is>
      </c>
      <c r="D16" s="10" t="inlineStr">
        <is>
          <t>VEHICLE INSURANCE</t>
        </is>
      </c>
      <c r="E16" s="10" t="inlineStr">
        <is>
          <t>YEARLY</t>
        </is>
      </c>
      <c r="F16" s="11" t="n">
        <v>45748</v>
      </c>
      <c r="G16" s="11" t="n">
        <v>46112</v>
      </c>
      <c r="H16" s="12">
        <f>IF(OR($F16="",$G16=""),"",$G16-$F16+1)</f>
        <v/>
      </c>
      <c r="I16" s="10">
        <f>IF($F16="","",IF(MONTH($F16)&gt;=4,YEAR($F16)&amp;"-"&amp;TEXT(YEAR($F16)+1-2000,"00"),YEAR($F16)-1&amp;"-"&amp;TEXT(YEAR($F16)-2000,"00")))</f>
        <v/>
      </c>
      <c r="J16" s="13" t="n">
        <v>58723</v>
      </c>
      <c r="K16" s="14">
        <f>IFERROR($L16/$J16,"")</f>
        <v/>
      </c>
      <c r="L16" s="13" t="n">
        <v>58723</v>
      </c>
      <c r="M16" s="13">
        <f>IFERROR($L16/$H16,"")</f>
        <v/>
      </c>
      <c r="N16" s="11" t="n">
        <v>45994</v>
      </c>
      <c r="O16" s="10">
        <f>IF($N16="","No","Yes")</f>
        <v/>
      </c>
      <c r="P16" s="12">
        <f>IF(OR($F16="",$G16=""),0,IF(AND($F16&lt;=README!$B$4,README!$B$4&lt;=$G16),1,0))</f>
        <v/>
      </c>
      <c r="Q16" s="12">
        <f>IF(OR($F16="",$G16=""),0,IF(AND($F16&lt;=DATE(README!$B$5,12,31),$G16&gt;=DATE(README!$B$5,1,1)),1,0))</f>
        <v/>
      </c>
      <c r="R16" s="10" t="inlineStr">
        <is>
          <t>GUP-VEH0020</t>
        </is>
      </c>
      <c r="S16" s="11" t="n">
        <v>45799</v>
      </c>
      <c r="T16" s="10" t="inlineStr">
        <is>
          <t>645</t>
        </is>
      </c>
      <c r="U16" s="10" t="inlineStr">
        <is>
          <t>VEHICLE</t>
        </is>
      </c>
      <c r="V16" s="10" t="inlineStr">
        <is>
          <t>T</t>
        </is>
      </c>
      <c r="W16" s="10" t="inlineStr">
        <is>
          <t>VIVEK B</t>
        </is>
      </c>
    </row>
    <row r="17">
      <c r="A17" s="10" t="inlineStr">
        <is>
          <t>TN57AC3636</t>
        </is>
      </c>
      <c r="B17" s="10" t="inlineStr">
        <is>
          <t>SOCKS</t>
        </is>
      </c>
      <c r="C17" s="10" t="inlineStr">
        <is>
          <t>ROAD TAX</t>
        </is>
      </c>
      <c r="D17" s="10" t="inlineStr">
        <is>
          <t>ROAD TAX</t>
        </is>
      </c>
      <c r="E17" s="10" t="inlineStr">
        <is>
          <t>QUARTER - II</t>
        </is>
      </c>
      <c r="F17" s="11" t="n">
        <v>45839</v>
      </c>
      <c r="G17" s="11" t="n">
        <v>45930</v>
      </c>
      <c r="H17" s="12">
        <f>IF(OR($F17="",$G17=""),"",$G17-$F17+1)</f>
        <v/>
      </c>
      <c r="I17" s="10">
        <f>IF($F17="","",IF(MONTH($F17)&gt;=4,YEAR($F17)&amp;"-"&amp;TEXT(YEAR($F17)+1-2000,"00"),YEAR($F17)-1&amp;"-"&amp;TEXT(YEAR($F17)-2000,"00")))</f>
        <v/>
      </c>
      <c r="J17" s="13" t="n">
        <v>24846</v>
      </c>
      <c r="K17" s="14">
        <f>IFERROR($L17/$J17,"")</f>
        <v/>
      </c>
      <c r="L17" s="13" t="n">
        <v>24846</v>
      </c>
      <c r="M17" s="13">
        <f>IFERROR($L17/$H17,"")</f>
        <v/>
      </c>
      <c r="N17" s="11" t="n">
        <v>46030</v>
      </c>
      <c r="O17" s="10">
        <f>IF($N17="","No","Yes")</f>
        <v/>
      </c>
      <c r="P17" s="12">
        <f>IF(OR($F17="",$G17=""),0,IF(AND($F17&lt;=README!$B$4,README!$B$4&lt;=$G17),1,0))</f>
        <v/>
      </c>
      <c r="Q17" s="12">
        <f>IF(OR($F17="",$G17=""),0,IF(AND($F17&lt;=DATE(README!$B$5,12,31),$G17&gt;=DATE(README!$B$5,1,1)),1,0))</f>
        <v/>
      </c>
      <c r="R17" s="10" t="inlineStr">
        <is>
          <t>GUP-VEH0014</t>
        </is>
      </c>
      <c r="S17" s="11" t="n">
        <v>45748</v>
      </c>
      <c r="T17" s="10" t="inlineStr">
        <is>
          <t>609</t>
        </is>
      </c>
      <c r="U17" s="10" t="inlineStr">
        <is>
          <t>VEHICLE</t>
        </is>
      </c>
      <c r="V17" s="10" t="inlineStr">
        <is>
          <t>T</t>
        </is>
      </c>
      <c r="W17" s="10" t="inlineStr">
        <is>
          <t>VIVEK B</t>
        </is>
      </c>
    </row>
    <row r="18">
      <c r="A18" s="10" t="inlineStr">
        <is>
          <t>TN57AC3636</t>
        </is>
      </c>
      <c r="B18" s="10" t="inlineStr">
        <is>
          <t>SOCKS</t>
        </is>
      </c>
      <c r="C18" s="10" t="inlineStr">
        <is>
          <t>ROAD TAX</t>
        </is>
      </c>
      <c r="D18" s="10" t="inlineStr">
        <is>
          <t>ROAD TAX</t>
        </is>
      </c>
      <c r="E18" s="10" t="inlineStr">
        <is>
          <t>QUARTER - III</t>
        </is>
      </c>
      <c r="F18" s="11" t="n">
        <v>45931</v>
      </c>
      <c r="G18" s="11" t="n">
        <v>46022</v>
      </c>
      <c r="H18" s="12">
        <f>IF(OR($F18="",$G18=""),"",$G18-$F18+1)</f>
        <v/>
      </c>
      <c r="I18" s="10">
        <f>IF($F18="","",IF(MONTH($F18)&gt;=4,YEAR($F18)&amp;"-"&amp;TEXT(YEAR($F18)+1-2000,"00"),YEAR($F18)-1&amp;"-"&amp;TEXT(YEAR($F18)-2000,"00")))</f>
        <v/>
      </c>
      <c r="J18" s="13" t="n">
        <v>24856</v>
      </c>
      <c r="K18" s="14">
        <f>IFERROR($L18/$J18,"")</f>
        <v/>
      </c>
      <c r="L18" s="13" t="n">
        <v>24856</v>
      </c>
      <c r="M18" s="13">
        <f>IFERROR($L18/$H18,"")</f>
        <v/>
      </c>
      <c r="N18" s="11" t="n">
        <v>46030</v>
      </c>
      <c r="O18" s="10">
        <f>IF($N18="","No","Yes")</f>
        <v/>
      </c>
      <c r="P18" s="12">
        <f>IF(OR($F18="",$G18=""),0,IF(AND($F18&lt;=README!$B$4,README!$B$4&lt;=$G18),1,0))</f>
        <v/>
      </c>
      <c r="Q18" s="12">
        <f>IF(OR($F18="",$G18=""),0,IF(AND($F18&lt;=DATE(README!$B$5,12,31),$G18&gt;=DATE(README!$B$5,1,1)),1,0))</f>
        <v/>
      </c>
      <c r="R18" s="10" t="inlineStr">
        <is>
          <t>GUP-VEH0014</t>
        </is>
      </c>
      <c r="S18" s="11" t="n">
        <v>45748</v>
      </c>
      <c r="T18" s="10" t="inlineStr">
        <is>
          <t>609</t>
        </is>
      </c>
      <c r="U18" s="10" t="inlineStr">
        <is>
          <t>VEHICLE</t>
        </is>
      </c>
      <c r="V18" s="10" t="inlineStr">
        <is>
          <t>T</t>
        </is>
      </c>
      <c r="W18" s="10" t="inlineStr">
        <is>
          <t>VIVEK B</t>
        </is>
      </c>
    </row>
    <row r="19">
      <c r="A19" s="10" t="inlineStr">
        <is>
          <t>TN57AC3636</t>
        </is>
      </c>
      <c r="B19" s="10" t="inlineStr">
        <is>
          <t>SOCKS</t>
        </is>
      </c>
      <c r="C19" s="10" t="inlineStr">
        <is>
          <t>RTO EXPENSE</t>
        </is>
      </c>
      <c r="D19" s="10" t="inlineStr">
        <is>
          <t>RTO EXPENSE</t>
        </is>
      </c>
      <c r="E19" s="10" t="inlineStr">
        <is>
          <t>DECEMBER</t>
        </is>
      </c>
      <c r="F19" s="11" t="n">
        <v>45992</v>
      </c>
      <c r="G19" s="11" t="n">
        <v>46022</v>
      </c>
      <c r="H19" s="12">
        <f>IF(OR($F19="",$G19=""),"",$G19-$F19+1)</f>
        <v/>
      </c>
      <c r="I19" s="10">
        <f>IF($F19="","",IF(MONTH($F19)&gt;=4,YEAR($F19)&amp;"-"&amp;TEXT(YEAR($F19)+1-2000,"00"),YEAR($F19)-1&amp;"-"&amp;TEXT(YEAR($F19)-2000,"00")))</f>
        <v/>
      </c>
      <c r="J19" s="13" t="n">
        <v>7500</v>
      </c>
      <c r="K19" s="14">
        <f>IFERROR($L19/$J19,"")</f>
        <v/>
      </c>
      <c r="L19" s="13" t="n">
        <v>14000</v>
      </c>
      <c r="M19" s="13">
        <f>IFERROR($L19/$H19,"")</f>
        <v/>
      </c>
      <c r="N19" s="11" t="n">
        <v>46020</v>
      </c>
      <c r="O19" s="10">
        <f>IF($N19="","No","Yes")</f>
        <v/>
      </c>
      <c r="P19" s="12">
        <f>IF(OR($F19="",$G19=""),0,IF(AND($F19&lt;=README!$B$4,README!$B$4&lt;=$G19),1,0))</f>
        <v/>
      </c>
      <c r="Q19" s="12">
        <f>IF(OR($F19="",$G19=""),0,IF(AND($F19&lt;=DATE(README!$B$5,12,31),$G19&gt;=DATE(README!$B$5,1,1)),1,0))</f>
        <v/>
      </c>
      <c r="R19" s="10" t="inlineStr">
        <is>
          <t>GUP-VEH0022</t>
        </is>
      </c>
      <c r="S19" s="11" t="n">
        <v>45834</v>
      </c>
      <c r="T19" s="10" t="inlineStr">
        <is>
          <t>655</t>
        </is>
      </c>
      <c r="U19" s="10" t="inlineStr">
        <is>
          <t>VEHICLE</t>
        </is>
      </c>
      <c r="V19" s="10" t="inlineStr">
        <is>
          <t>T</t>
        </is>
      </c>
      <c r="W19" s="10" t="inlineStr">
        <is>
          <t>VIVEK B</t>
        </is>
      </c>
    </row>
    <row r="20">
      <c r="A20" s="10" t="inlineStr">
        <is>
          <t>TN57AC3636</t>
        </is>
      </c>
      <c r="B20" s="10" t="inlineStr">
        <is>
          <t>SOCKS</t>
        </is>
      </c>
      <c r="C20" s="10" t="inlineStr">
        <is>
          <t>ROAD TAX</t>
        </is>
      </c>
      <c r="D20" s="10" t="inlineStr">
        <is>
          <t>ROAD TAX</t>
        </is>
      </c>
      <c r="E20" s="10" t="inlineStr">
        <is>
          <t>QUARTER - IV</t>
        </is>
      </c>
      <c r="F20" s="11" t="n">
        <v>46023</v>
      </c>
      <c r="G20" s="11" t="n">
        <v>46112</v>
      </c>
      <c r="H20" s="12">
        <f>IF(OR($F20="",$G20=""),"",$G20-$F20+1)</f>
        <v/>
      </c>
      <c r="I20" s="10">
        <f>IF($F20="","",IF(MONTH($F20)&gt;=4,YEAR($F20)&amp;"-"&amp;TEXT(YEAR($F20)+1-2000,"00"),YEAR($F20)-1&amp;"-"&amp;TEXT(YEAR($F20)-2000,"00")))</f>
        <v/>
      </c>
      <c r="J20" s="13" t="n">
        <v>24856</v>
      </c>
      <c r="K20" s="14">
        <f>IFERROR($L20/$J20,"")</f>
        <v/>
      </c>
      <c r="L20" s="13" t="n">
        <v>24856</v>
      </c>
      <c r="M20" s="13">
        <f>IFERROR($L20/$H20,"")</f>
        <v/>
      </c>
      <c r="N20" s="11" t="n">
        <v>46030</v>
      </c>
      <c r="O20" s="10">
        <f>IF($N20="","No","Yes")</f>
        <v/>
      </c>
      <c r="P20" s="12">
        <f>IF(OR($F20="",$G20=""),0,IF(AND($F20&lt;=README!$B$4,README!$B$4&lt;=$G20),1,0))</f>
        <v/>
      </c>
      <c r="Q20" s="12">
        <f>IF(OR($F20="",$G20=""),0,IF(AND($F20&lt;=DATE(README!$B$5,12,31),$G20&gt;=DATE(README!$B$5,1,1)),1,0))</f>
        <v/>
      </c>
      <c r="R20" s="10" t="inlineStr">
        <is>
          <t>GUP-VEH0014</t>
        </is>
      </c>
      <c r="S20" s="11" t="n">
        <v>45748</v>
      </c>
      <c r="T20" s="10" t="inlineStr">
        <is>
          <t>609</t>
        </is>
      </c>
      <c r="U20" s="10" t="inlineStr">
        <is>
          <t>VEHICLE</t>
        </is>
      </c>
      <c r="V20" s="10" t="inlineStr">
        <is>
          <t>T</t>
        </is>
      </c>
      <c r="W20" s="10" t="inlineStr">
        <is>
          <t>VIVEK B</t>
        </is>
      </c>
    </row>
    <row r="21">
      <c r="A21" s="10" t="inlineStr">
        <is>
          <t>TN57AC3636</t>
        </is>
      </c>
      <c r="B21" s="10" t="inlineStr">
        <is>
          <t>SOCKS</t>
        </is>
      </c>
      <c r="C21" s="10" t="inlineStr">
        <is>
          <t>TYRE</t>
        </is>
      </c>
      <c r="D21" s="10" t="inlineStr">
        <is>
          <t>TYRE</t>
        </is>
      </c>
      <c r="E21" s="10" t="inlineStr">
        <is>
          <t>FEBRUARY</t>
        </is>
      </c>
      <c r="F21" s="11" t="n">
        <v>46054</v>
      </c>
      <c r="G21" s="11" t="n">
        <v>46081</v>
      </c>
      <c r="H21" s="12">
        <f>IF(OR($F21="",$G21=""),"",$G21-$F21+1)</f>
        <v/>
      </c>
      <c r="I21" s="10">
        <f>IF($F21="","",IF(MONTH($F21)&gt;=4,YEAR($F21)&amp;"-"&amp;TEXT(YEAR($F21)+1-2000,"00"),YEAR($F21)-1&amp;"-"&amp;TEXT(YEAR($F21)-2000,"00")))</f>
        <v/>
      </c>
      <c r="J21" s="13" t="n">
        <v>19200</v>
      </c>
      <c r="K21" s="14">
        <f>IFERROR($L21/$J21,"")</f>
        <v/>
      </c>
      <c r="L21" s="13" t="n">
        <v>19200</v>
      </c>
      <c r="M21" s="13">
        <f>IFERROR($L21/$H21,"")</f>
        <v/>
      </c>
      <c r="N21" s="11" t="n">
        <v>46072</v>
      </c>
      <c r="O21" s="10">
        <f>IF($N21="","No","Yes")</f>
        <v/>
      </c>
      <c r="P21" s="12">
        <f>IF(OR($F21="",$G21=""),0,IF(AND($F21&lt;=README!$B$4,README!$B$4&lt;=$G21),1,0))</f>
        <v/>
      </c>
      <c r="Q21" s="12">
        <f>IF(OR($F21="",$G21=""),0,IF(AND($F21&lt;=DATE(README!$B$5,12,31),$G21&gt;=DATE(README!$B$5,1,1)),1,0))</f>
        <v/>
      </c>
      <c r="R21" s="10" t="inlineStr">
        <is>
          <t>GUP-VEH0025</t>
        </is>
      </c>
      <c r="S21" s="11" t="n">
        <v>45957</v>
      </c>
      <c r="T21" s="10" t="inlineStr">
        <is>
          <t>726</t>
        </is>
      </c>
      <c r="U21" s="10" t="inlineStr">
        <is>
          <t>VEHICLE</t>
        </is>
      </c>
      <c r="V21" s="10" t="inlineStr">
        <is>
          <t>T</t>
        </is>
      </c>
      <c r="W21" s="10" t="inlineStr">
        <is>
          <t>VIVEK B</t>
        </is>
      </c>
    </row>
    <row r="22">
      <c r="A22" s="10" t="inlineStr">
        <is>
          <t>TN57AC3636</t>
        </is>
      </c>
      <c r="B22" s="10" t="inlineStr">
        <is>
          <t>SOCKS</t>
        </is>
      </c>
      <c r="C22" s="10" t="inlineStr">
        <is>
          <t>ROAD TAX</t>
        </is>
      </c>
      <c r="D22" s="10" t="inlineStr">
        <is>
          <t>ROAD TAX</t>
        </is>
      </c>
      <c r="E22" s="10" t="inlineStr">
        <is>
          <t>QUARTER - I</t>
        </is>
      </c>
      <c r="F22" s="11" t="n">
        <v>46113</v>
      </c>
      <c r="G22" s="11" t="n">
        <v>46203</v>
      </c>
      <c r="H22" s="12">
        <f>IF(OR($F22="",$G22=""),"",$G22-$F22+1)</f>
        <v/>
      </c>
      <c r="I22" s="10">
        <f>IF($F22="","",IF(MONTH($F22)&gt;=4,YEAR($F22)&amp;"-"&amp;TEXT(YEAR($F22)+1-2000,"00"),YEAR($F22)-1&amp;"-"&amp;TEXT(YEAR($F22)-2000,"00")))</f>
        <v/>
      </c>
      <c r="J22" s="13" t="n">
        <v>24856</v>
      </c>
      <c r="K22" s="14">
        <f>IFERROR($L22/$J22,"")</f>
        <v/>
      </c>
      <c r="L22" s="13" t="n">
        <v>24856</v>
      </c>
      <c r="M22" s="13">
        <f>IFERROR($L22/$H22,"")</f>
        <v/>
      </c>
      <c r="N22" s="11" t="n">
        <v>46088</v>
      </c>
      <c r="O22" s="10">
        <f>IF($N22="","No","Yes")</f>
        <v/>
      </c>
      <c r="P22" s="12">
        <f>IF(OR($F22="",$G22=""),0,IF(AND($F22&lt;=README!$B$4,README!$B$4&lt;=$G22),1,0))</f>
        <v/>
      </c>
      <c r="Q22" s="12">
        <f>IF(OR($F22="",$G22=""),0,IF(AND($F22&lt;=DATE(README!$B$5,12,31),$G22&gt;=DATE(README!$B$5,1,1)),1,0))</f>
        <v/>
      </c>
      <c r="R22" s="10" t="inlineStr">
        <is>
          <t>GUP-VEH0030</t>
        </is>
      </c>
      <c r="S22" s="11" t="n">
        <v>46113</v>
      </c>
      <c r="T22" s="10" t="inlineStr">
        <is>
          <t>796</t>
        </is>
      </c>
      <c r="U22" s="10" t="inlineStr">
        <is>
          <t>VEHICLE</t>
        </is>
      </c>
      <c r="V22" s="10" t="inlineStr">
        <is>
          <t>T</t>
        </is>
      </c>
      <c r="W22" s="10" t="inlineStr">
        <is>
          <t>VIVEK B</t>
        </is>
      </c>
    </row>
    <row r="23">
      <c r="A23" s="10" t="inlineStr">
        <is>
          <t>TN57AC3636</t>
        </is>
      </c>
      <c r="B23" s="10" t="inlineStr">
        <is>
          <t>SOCKS</t>
        </is>
      </c>
      <c r="C23" s="10" t="inlineStr">
        <is>
          <t>RTO EXPENSE</t>
        </is>
      </c>
      <c r="D23" s="10" t="inlineStr">
        <is>
          <t>PERMIT RENEWAL 5 YEAR</t>
        </is>
      </c>
      <c r="E23" s="10" t="inlineStr">
        <is>
          <t>APRIL</t>
        </is>
      </c>
      <c r="F23" s="11" t="n">
        <v>46113</v>
      </c>
      <c r="G23" s="11" t="n">
        <v>46142</v>
      </c>
      <c r="H23" s="12">
        <f>IF(OR($F23="",$G23=""),"",$G23-$F23+1)</f>
        <v/>
      </c>
      <c r="I23" s="10">
        <f>IF($F23="","",IF(MONTH($F23)&gt;=4,YEAR($F23)&amp;"-"&amp;TEXT(YEAR($F23)+1-2000,"00"),YEAR($F23)-1&amp;"-"&amp;TEXT(YEAR($F23)-2000,"00")))</f>
        <v/>
      </c>
      <c r="J23" s="13" t="n">
        <v>6500</v>
      </c>
      <c r="K23" s="14">
        <f>IFERROR($L23/$J23,"")</f>
        <v/>
      </c>
      <c r="L23" s="13" t="n">
        <v>6500</v>
      </c>
      <c r="M23" s="13">
        <f>IFERROR($L23/$H23,"")</f>
        <v/>
      </c>
      <c r="N23" s="11" t="n">
        <v>46121</v>
      </c>
      <c r="O23" s="10">
        <f>IF($N23="","No","Yes")</f>
        <v/>
      </c>
      <c r="P23" s="12">
        <f>IF(OR($F23="",$G23=""),0,IF(AND($F23&lt;=README!$B$4,README!$B$4&lt;=$G23),1,0))</f>
        <v/>
      </c>
      <c r="Q23" s="12">
        <f>IF(OR($F23="",$G23=""),0,IF(AND($F23&lt;=DATE(README!$B$5,12,31),$G23&gt;=DATE(README!$B$5,1,1)),1,0))</f>
        <v/>
      </c>
      <c r="R23" s="10" t="inlineStr">
        <is>
          <t>GUP-VEH0033</t>
        </is>
      </c>
      <c r="S23" s="11" t="n">
        <v>46118</v>
      </c>
      <c r="T23" s="10" t="inlineStr">
        <is>
          <t>814</t>
        </is>
      </c>
      <c r="U23" s="10" t="inlineStr">
        <is>
          <t>VEHICLE</t>
        </is>
      </c>
      <c r="V23" s="10" t="inlineStr">
        <is>
          <t>T</t>
        </is>
      </c>
      <c r="W23" s="10" t="inlineStr">
        <is>
          <t>VIVEK B</t>
        </is>
      </c>
    </row>
    <row r="24">
      <c r="A24" s="10" t="inlineStr">
        <is>
          <t>TN57AC3636</t>
        </is>
      </c>
      <c r="B24" s="10" t="inlineStr">
        <is>
          <t>SOCKS</t>
        </is>
      </c>
      <c r="C24" s="10" t="inlineStr">
        <is>
          <t>ROAD TAX</t>
        </is>
      </c>
      <c r="D24" s="10" t="inlineStr">
        <is>
          <t>ROAD TAX</t>
        </is>
      </c>
      <c r="E24" s="10" t="inlineStr">
        <is>
          <t>QUARTER - II</t>
        </is>
      </c>
      <c r="F24" s="11" t="n">
        <v>46204</v>
      </c>
      <c r="G24" s="11" t="n">
        <v>46295</v>
      </c>
      <c r="H24" s="12">
        <f>IF(OR($F24="",$G24=""),"",$G24-$F24+1)</f>
        <v/>
      </c>
      <c r="I24" s="10">
        <f>IF($F24="","",IF(MONTH($F24)&gt;=4,YEAR($F24)&amp;"-"&amp;TEXT(YEAR($F24)+1-2000,"00"),YEAR($F24)-1&amp;"-"&amp;TEXT(YEAR($F24)-2000,"00")))</f>
        <v/>
      </c>
      <c r="J24" s="13" t="n">
        <v>24856</v>
      </c>
      <c r="K24" s="14">
        <f>IFERROR($L24/$J24,"")</f>
        <v/>
      </c>
      <c r="L24" s="13" t="n">
        <v>24856</v>
      </c>
      <c r="M24" s="13">
        <f>IFERROR($L24/$H24,"")</f>
        <v/>
      </c>
      <c r="N24" s="11" t="n">
        <v>46196</v>
      </c>
      <c r="O24" s="10">
        <f>IF($N24="","No","Yes")</f>
        <v/>
      </c>
      <c r="P24" s="12">
        <f>IF(OR($F24="",$G24=""),0,IF(AND($F24&lt;=README!$B$4,README!$B$4&lt;=$G24),1,0))</f>
        <v/>
      </c>
      <c r="Q24" s="12">
        <f>IF(OR($F24="",$G24=""),0,IF(AND($F24&lt;=DATE(README!$B$5,12,31),$G24&gt;=DATE(README!$B$5,1,1)),1,0))</f>
        <v/>
      </c>
      <c r="R24" s="10" t="inlineStr">
        <is>
          <t>GUP-VEH0030</t>
        </is>
      </c>
      <c r="S24" s="11" t="n">
        <v>46113</v>
      </c>
      <c r="T24" s="10" t="inlineStr">
        <is>
          <t>796</t>
        </is>
      </c>
      <c r="U24" s="10" t="inlineStr">
        <is>
          <t>VEHICLE</t>
        </is>
      </c>
      <c r="V24" s="10" t="inlineStr">
        <is>
          <t>T</t>
        </is>
      </c>
      <c r="W24" s="10" t="inlineStr">
        <is>
          <t>VIVEK B</t>
        </is>
      </c>
    </row>
    <row r="25">
      <c r="A25" s="10" t="inlineStr">
        <is>
          <t>TN57AE3636</t>
        </is>
      </c>
      <c r="B25" s="10" t="inlineStr">
        <is>
          <t>SOCKS</t>
        </is>
      </c>
      <c r="C25" s="10" t="inlineStr">
        <is>
          <t>FC WORK</t>
        </is>
      </c>
      <c r="D25" s="10" t="inlineStr">
        <is>
          <t>FC WORK</t>
        </is>
      </c>
      <c r="E25" s="10" t="inlineStr">
        <is>
          <t>YEARLY</t>
        </is>
      </c>
      <c r="F25" s="11" t="n">
        <v>45383</v>
      </c>
      <c r="G25" s="11" t="n">
        <v>45747</v>
      </c>
      <c r="H25" s="12">
        <f>IF(OR($F25="",$G25=""),"",$G25-$F25+1)</f>
        <v/>
      </c>
      <c r="I25" s="10">
        <f>IF($F25="","",IF(MONTH($F25)&gt;=4,YEAR($F25)&amp;"-"&amp;TEXT(YEAR($F25)+1-2000,"00"),YEAR($F25)-1&amp;"-"&amp;TEXT(YEAR($F25)-2000,"00")))</f>
        <v/>
      </c>
      <c r="J25" s="13" t="n">
        <v>128500</v>
      </c>
      <c r="K25" s="14">
        <f>IFERROR($L25/$J25,"")</f>
        <v/>
      </c>
      <c r="L25" s="13" t="n">
        <v>128500</v>
      </c>
      <c r="M25" s="13">
        <f>IFERROR($L25/$H25,"")</f>
        <v/>
      </c>
      <c r="N25" s="11" t="n">
        <v>45520</v>
      </c>
      <c r="O25" s="10">
        <f>IF($N25="","No","Yes")</f>
        <v/>
      </c>
      <c r="P25" s="12">
        <f>IF(OR($F25="",$G25=""),0,IF(AND($F25&lt;=README!$B$4,README!$B$4&lt;=$G25),1,0))</f>
        <v/>
      </c>
      <c r="Q25" s="12">
        <f>IF(OR($F25="",$G25=""),0,IF(AND($F25&lt;=DATE(README!$B$5,12,31),$G25&gt;=DATE(README!$B$5,1,1)),1,0))</f>
        <v/>
      </c>
      <c r="R25" s="10" t="inlineStr">
        <is>
          <t>GUP-VEH0009</t>
        </is>
      </c>
      <c r="S25" s="11" t="n">
        <v>45475</v>
      </c>
      <c r="T25" s="10" t="inlineStr">
        <is>
          <t>546</t>
        </is>
      </c>
      <c r="U25" s="10" t="inlineStr">
        <is>
          <t>VEHICLE</t>
        </is>
      </c>
      <c r="V25" s="10" t="inlineStr">
        <is>
          <t>T</t>
        </is>
      </c>
      <c r="W25" s="10" t="inlineStr">
        <is>
          <t>VIVEK B</t>
        </is>
      </c>
    </row>
    <row r="26">
      <c r="A26" s="10" t="inlineStr">
        <is>
          <t>TN57AE3636</t>
        </is>
      </c>
      <c r="B26" s="10" t="inlineStr">
        <is>
          <t>SOCKS</t>
        </is>
      </c>
      <c r="C26" s="10" t="inlineStr">
        <is>
          <t>ROAD TAX</t>
        </is>
      </c>
      <c r="D26" s="10" t="inlineStr">
        <is>
          <t>ROAD TAX</t>
        </is>
      </c>
      <c r="E26" s="10" t="inlineStr">
        <is>
          <t>YEARLY</t>
        </is>
      </c>
      <c r="F26" s="11" t="n">
        <v>45383</v>
      </c>
      <c r="G26" s="11" t="n">
        <v>45747</v>
      </c>
      <c r="H26" s="12">
        <f>IF(OR($F26="",$G26=""),"",$G26-$F26+1)</f>
        <v/>
      </c>
      <c r="I26" s="10">
        <f>IF($F26="","",IF(MONTH($F26)&gt;=4,YEAR($F26)&amp;"-"&amp;TEXT(YEAR($F26)+1-2000,"00"),YEAR($F26)-1&amp;"-"&amp;TEXT(YEAR($F26)-2000,"00")))</f>
        <v/>
      </c>
      <c r="J26" s="13" t="n">
        <v>24846</v>
      </c>
      <c r="K26" s="14">
        <f>IFERROR($L26/$J26,"")</f>
        <v/>
      </c>
      <c r="L26" s="13" t="n">
        <v>24846</v>
      </c>
      <c r="M26" s="13">
        <f>IFERROR($L26/$H26,"")</f>
        <v/>
      </c>
      <c r="N26" s="11" t="n">
        <v>45649</v>
      </c>
      <c r="O26" s="10">
        <f>IF($N26="","No","Yes")</f>
        <v/>
      </c>
      <c r="P26" s="12">
        <f>IF(OR($F26="",$G26=""),0,IF(AND($F26&lt;=README!$B$4,README!$B$4&lt;=$G26),1,0))</f>
        <v/>
      </c>
      <c r="Q26" s="12">
        <f>IF(OR($F26="",$G26=""),0,IF(AND($F26&lt;=DATE(README!$B$5,12,31),$G26&gt;=DATE(README!$B$5,1,1)),1,0))</f>
        <v/>
      </c>
      <c r="R26" s="10" t="inlineStr">
        <is>
          <t>GUP-VEH0011</t>
        </is>
      </c>
      <c r="S26" s="11" t="n">
        <v>45477</v>
      </c>
      <c r="T26" s="10" t="inlineStr">
        <is>
          <t>548</t>
        </is>
      </c>
      <c r="U26" s="10" t="inlineStr">
        <is>
          <t>VEHICLE</t>
        </is>
      </c>
      <c r="V26" s="10" t="inlineStr">
        <is>
          <t>T</t>
        </is>
      </c>
      <c r="W26" s="10" t="inlineStr">
        <is>
          <t>VIVEK B</t>
        </is>
      </c>
    </row>
    <row r="27">
      <c r="A27" s="10" t="inlineStr">
        <is>
          <t>TN57AE3636</t>
        </is>
      </c>
      <c r="B27" s="10" t="inlineStr">
        <is>
          <t>SOCKS</t>
        </is>
      </c>
      <c r="C27" s="10" t="inlineStr">
        <is>
          <t>ROAD TAX</t>
        </is>
      </c>
      <c r="D27" s="10" t="inlineStr">
        <is>
          <t>GREEN TAX</t>
        </is>
      </c>
      <c r="E27" s="10" t="inlineStr">
        <is>
          <t>YEARLY</t>
        </is>
      </c>
      <c r="F27" s="11" t="n">
        <v>45383</v>
      </c>
      <c r="G27" s="11" t="n">
        <v>45747</v>
      </c>
      <c r="H27" s="12">
        <f>IF(OR($F27="",$G27=""),"",$G27-$F27+1)</f>
        <v/>
      </c>
      <c r="I27" s="10">
        <f>IF($F27="","",IF(MONTH($F27)&gt;=4,YEAR($F27)&amp;"-"&amp;TEXT(YEAR($F27)+1-2000,"00"),YEAR($F27)-1&amp;"-"&amp;TEXT(YEAR($F27)-2000,"00")))</f>
        <v/>
      </c>
      <c r="J27" s="13" t="n">
        <v>190</v>
      </c>
      <c r="K27" s="14">
        <f>IFERROR($L27/$J27,"")</f>
        <v/>
      </c>
      <c r="L27" s="13" t="n">
        <v>190</v>
      </c>
      <c r="M27" s="13">
        <f>IFERROR($L27/$H27,"")</f>
        <v/>
      </c>
      <c r="N27" s="11" t="n">
        <v>45649</v>
      </c>
      <c r="O27" s="10">
        <f>IF($N27="","No","Yes")</f>
        <v/>
      </c>
      <c r="P27" s="12">
        <f>IF(OR($F27="",$G27=""),0,IF(AND($F27&lt;=README!$B$4,README!$B$4&lt;=$G27),1,0))</f>
        <v/>
      </c>
      <c r="Q27" s="12">
        <f>IF(OR($F27="",$G27=""),0,IF(AND($F27&lt;=DATE(README!$B$5,12,31),$G27&gt;=DATE(README!$B$5,1,1)),1,0))</f>
        <v/>
      </c>
      <c r="R27" s="10" t="inlineStr">
        <is>
          <t>GUP-VEH0011</t>
        </is>
      </c>
      <c r="S27" s="11" t="n">
        <v>45477</v>
      </c>
      <c r="T27" s="10" t="inlineStr">
        <is>
          <t>548</t>
        </is>
      </c>
      <c r="U27" s="10" t="inlineStr">
        <is>
          <t>VEHICLE</t>
        </is>
      </c>
      <c r="V27" s="10" t="inlineStr">
        <is>
          <t>T</t>
        </is>
      </c>
      <c r="W27" s="10" t="inlineStr">
        <is>
          <t>VIVEK B</t>
        </is>
      </c>
    </row>
    <row r="28">
      <c r="A28" s="10" t="inlineStr">
        <is>
          <t>TN57AE3636</t>
        </is>
      </c>
      <c r="B28" s="10" t="inlineStr">
        <is>
          <t>SOCKS</t>
        </is>
      </c>
      <c r="C28" s="10" t="inlineStr">
        <is>
          <t>ROAD TAX</t>
        </is>
      </c>
      <c r="D28" s="10" t="inlineStr">
        <is>
          <t>ROAD TAX</t>
        </is>
      </c>
      <c r="E28" s="10" t="inlineStr">
        <is>
          <t>YEARLY</t>
        </is>
      </c>
      <c r="F28" s="11" t="n">
        <v>45383</v>
      </c>
      <c r="G28" s="11" t="n">
        <v>45747</v>
      </c>
      <c r="H28" s="12">
        <f>IF(OR($F28="",$G28=""),"",$G28-$F28+1)</f>
        <v/>
      </c>
      <c r="I28" s="10">
        <f>IF($F28="","",IF(MONTH($F28)&gt;=4,YEAR($F28)&amp;"-"&amp;TEXT(YEAR($F28)+1-2000,"00"),YEAR($F28)-1&amp;"-"&amp;TEXT(YEAR($F28)-2000,"00")))</f>
        <v/>
      </c>
      <c r="J28" s="13" t="n">
        <v>24846</v>
      </c>
      <c r="K28" s="14">
        <f>IFERROR($L28/$J28,"")</f>
        <v/>
      </c>
      <c r="L28" s="13" t="n">
        <v>24846</v>
      </c>
      <c r="M28" s="13">
        <f>IFERROR($L28/$H28,"")</f>
        <v/>
      </c>
      <c r="N28" s="11" t="n">
        <v>45569</v>
      </c>
      <c r="O28" s="10">
        <f>IF($N28="","No","Yes")</f>
        <v/>
      </c>
      <c r="P28" s="12">
        <f>IF(OR($F28="",$G28=""),0,IF(AND($F28&lt;=README!$B$4,README!$B$4&lt;=$G28),1,0))</f>
        <v/>
      </c>
      <c r="Q28" s="12">
        <f>IF(OR($F28="",$G28=""),0,IF(AND($F28&lt;=DATE(README!$B$5,12,31),$G28&gt;=DATE(README!$B$5,1,1)),1,0))</f>
        <v/>
      </c>
      <c r="R28" s="10" t="inlineStr">
        <is>
          <t>GUP-VEH0011</t>
        </is>
      </c>
      <c r="S28" s="11" t="n">
        <v>45477</v>
      </c>
      <c r="T28" s="10" t="inlineStr">
        <is>
          <t>548</t>
        </is>
      </c>
      <c r="U28" s="10" t="inlineStr">
        <is>
          <t>VEHICLE</t>
        </is>
      </c>
      <c r="V28" s="10" t="inlineStr">
        <is>
          <t>T</t>
        </is>
      </c>
      <c r="W28" s="10" t="inlineStr">
        <is>
          <t>VIVEK B</t>
        </is>
      </c>
    </row>
    <row r="29">
      <c r="A29" s="10" t="inlineStr">
        <is>
          <t>TN57AE3636</t>
        </is>
      </c>
      <c r="B29" s="10" t="inlineStr">
        <is>
          <t>SOCKS</t>
        </is>
      </c>
      <c r="C29" s="10" t="inlineStr">
        <is>
          <t>ROAD TAX</t>
        </is>
      </c>
      <c r="D29" s="10" t="inlineStr">
        <is>
          <t>GREEN TAX</t>
        </is>
      </c>
      <c r="E29" s="10" t="inlineStr">
        <is>
          <t>YEARLY</t>
        </is>
      </c>
      <c r="F29" s="11" t="n">
        <v>45383</v>
      </c>
      <c r="G29" s="11" t="n">
        <v>45747</v>
      </c>
      <c r="H29" s="12">
        <f>IF(OR($F29="",$G29=""),"",$G29-$F29+1)</f>
        <v/>
      </c>
      <c r="I29" s="10">
        <f>IF($F29="","",IF(MONTH($F29)&gt;=4,YEAR($F29)&amp;"-"&amp;TEXT(YEAR($F29)+1-2000,"00"),YEAR($F29)-1&amp;"-"&amp;TEXT(YEAR($F29)-2000,"00")))</f>
        <v/>
      </c>
      <c r="J29" s="13" t="n">
        <v>190</v>
      </c>
      <c r="K29" s="14">
        <f>IFERROR($L29/$J29,"")</f>
        <v/>
      </c>
      <c r="L29" s="13" t="n">
        <v>190</v>
      </c>
      <c r="M29" s="13">
        <f>IFERROR($L29/$H29,"")</f>
        <v/>
      </c>
      <c r="N29" s="11" t="n">
        <v>45481</v>
      </c>
      <c r="O29" s="10">
        <f>IF($N29="","No","Yes")</f>
        <v/>
      </c>
      <c r="P29" s="12">
        <f>IF(OR($F29="",$G29=""),0,IF(AND($F29&lt;=README!$B$4,README!$B$4&lt;=$G29),1,0))</f>
        <v/>
      </c>
      <c r="Q29" s="12">
        <f>IF(OR($F29="",$G29=""),0,IF(AND($F29&lt;=DATE(README!$B$5,12,31),$G29&gt;=DATE(README!$B$5,1,1)),1,0))</f>
        <v/>
      </c>
      <c r="R29" s="10" t="inlineStr">
        <is>
          <t>GUP-VEH0011</t>
        </is>
      </c>
      <c r="S29" s="11" t="n">
        <v>45477</v>
      </c>
      <c r="T29" s="10" t="inlineStr">
        <is>
          <t>548</t>
        </is>
      </c>
      <c r="U29" s="10" t="inlineStr">
        <is>
          <t>VEHICLE</t>
        </is>
      </c>
      <c r="V29" s="10" t="inlineStr">
        <is>
          <t>T</t>
        </is>
      </c>
      <c r="W29" s="10" t="inlineStr">
        <is>
          <t>VIVEK B</t>
        </is>
      </c>
    </row>
    <row r="30">
      <c r="A30" s="10" t="inlineStr">
        <is>
          <t>TN57AE3636</t>
        </is>
      </c>
      <c r="B30" s="10" t="inlineStr">
        <is>
          <t>SOCKS</t>
        </is>
      </c>
      <c r="C30" s="10" t="inlineStr">
        <is>
          <t>ROAD TAX</t>
        </is>
      </c>
      <c r="D30" s="10" t="inlineStr">
        <is>
          <t>ROAD TAX</t>
        </is>
      </c>
      <c r="E30" s="10" t="inlineStr">
        <is>
          <t>YEARLY</t>
        </is>
      </c>
      <c r="F30" s="11" t="n">
        <v>45383</v>
      </c>
      <c r="G30" s="11" t="n">
        <v>45747</v>
      </c>
      <c r="H30" s="12">
        <f>IF(OR($F30="",$G30=""),"",$G30-$F30+1)</f>
        <v/>
      </c>
      <c r="I30" s="10">
        <f>IF($F30="","",IF(MONTH($F30)&gt;=4,YEAR($F30)&amp;"-"&amp;TEXT(YEAR($F30)+1-2000,"00"),YEAR($F30)-1&amp;"-"&amp;TEXT(YEAR($F30)-2000,"00")))</f>
        <v/>
      </c>
      <c r="J30" s="13" t="n">
        <v>24846</v>
      </c>
      <c r="K30" s="14">
        <f>IFERROR($L30/$J30,"")</f>
        <v/>
      </c>
      <c r="L30" s="13" t="n">
        <v>24846</v>
      </c>
      <c r="M30" s="13">
        <f>IFERROR($L30/$H30,"")</f>
        <v/>
      </c>
      <c r="N30" s="11" t="n">
        <v>45481</v>
      </c>
      <c r="O30" s="10">
        <f>IF($N30="","No","Yes")</f>
        <v/>
      </c>
      <c r="P30" s="12">
        <f>IF(OR($F30="",$G30=""),0,IF(AND($F30&lt;=README!$B$4,README!$B$4&lt;=$G30),1,0))</f>
        <v/>
      </c>
      <c r="Q30" s="12">
        <f>IF(OR($F30="",$G30=""),0,IF(AND($F30&lt;=DATE(README!$B$5,12,31),$G30&gt;=DATE(README!$B$5,1,1)),1,0))</f>
        <v/>
      </c>
      <c r="R30" s="10" t="inlineStr">
        <is>
          <t>GUP-VEH0011</t>
        </is>
      </c>
      <c r="S30" s="11" t="n">
        <v>45477</v>
      </c>
      <c r="T30" s="10" t="inlineStr">
        <is>
          <t>548</t>
        </is>
      </c>
      <c r="U30" s="10" t="inlineStr">
        <is>
          <t>VEHICLE</t>
        </is>
      </c>
      <c r="V30" s="10" t="inlineStr">
        <is>
          <t>T</t>
        </is>
      </c>
      <c r="W30" s="10" t="inlineStr">
        <is>
          <t>VIVEK B</t>
        </is>
      </c>
    </row>
    <row r="31">
      <c r="A31" s="10" t="inlineStr">
        <is>
          <t>TN57AE3636</t>
        </is>
      </c>
      <c r="B31" s="10" t="inlineStr">
        <is>
          <t>SOCKS</t>
        </is>
      </c>
      <c r="C31" s="10" t="inlineStr">
        <is>
          <t>RTO EXPENSE</t>
        </is>
      </c>
      <c r="D31" s="10" t="inlineStr">
        <is>
          <t>RTO EXPENSE</t>
        </is>
      </c>
      <c r="E31" s="10" t="inlineStr">
        <is>
          <t>YEARLY</t>
        </is>
      </c>
      <c r="F31" s="11" t="n">
        <v>45383</v>
      </c>
      <c r="G31" s="11" t="n">
        <v>45747</v>
      </c>
      <c r="H31" s="12">
        <f>IF(OR($F31="",$G31=""),"",$G31-$F31+1)</f>
        <v/>
      </c>
      <c r="I31" s="10">
        <f>IF($F31="","",IF(MONTH($F31)&gt;=4,YEAR($F31)&amp;"-"&amp;TEXT(YEAR($F31)+1-2000,"00"),YEAR($F31)-1&amp;"-"&amp;TEXT(YEAR($F31)-2000,"00")))</f>
        <v/>
      </c>
      <c r="J31" s="13" t="n">
        <v>7500</v>
      </c>
      <c r="K31" s="14">
        <f>IFERROR($L31/$J31,"")</f>
        <v/>
      </c>
      <c r="L31" s="13" t="n">
        <v>7500</v>
      </c>
      <c r="M31" s="13">
        <f>IFERROR($L31/$H31,"")</f>
        <v/>
      </c>
      <c r="N31" s="11" t="n">
        <v>45481</v>
      </c>
      <c r="O31" s="10">
        <f>IF($N31="","No","Yes")</f>
        <v/>
      </c>
      <c r="P31" s="12">
        <f>IF(OR($F31="",$G31=""),0,IF(AND($F31&lt;=README!$B$4,README!$B$4&lt;=$G31),1,0))</f>
        <v/>
      </c>
      <c r="Q31" s="12">
        <f>IF(OR($F31="",$G31=""),0,IF(AND($F31&lt;=DATE(README!$B$5,12,31),$G31&gt;=DATE(README!$B$5,1,1)),1,0))</f>
        <v/>
      </c>
      <c r="R31" s="10" t="inlineStr">
        <is>
          <t>GUP-VEH0010</t>
        </is>
      </c>
      <c r="S31" s="11" t="n">
        <v>45475</v>
      </c>
      <c r="T31" s="10" t="inlineStr">
        <is>
          <t>547</t>
        </is>
      </c>
      <c r="U31" s="10" t="inlineStr">
        <is>
          <t>VEHICLE</t>
        </is>
      </c>
      <c r="V31" s="10" t="inlineStr">
        <is>
          <t>T</t>
        </is>
      </c>
      <c r="W31" s="10" t="inlineStr">
        <is>
          <t>VIVEK B</t>
        </is>
      </c>
    </row>
    <row r="32">
      <c r="A32" s="10" t="inlineStr">
        <is>
          <t>TN57AE3636</t>
        </is>
      </c>
      <c r="B32" s="10" t="inlineStr">
        <is>
          <t>SOCKS</t>
        </is>
      </c>
      <c r="C32" s="10" t="inlineStr">
        <is>
          <t>TYRE</t>
        </is>
      </c>
      <c r="D32" s="10" t="inlineStr">
        <is>
          <t>TYRE</t>
        </is>
      </c>
      <c r="E32" s="10" t="inlineStr">
        <is>
          <t>YEARLY</t>
        </is>
      </c>
      <c r="F32" s="11" t="n">
        <v>45383</v>
      </c>
      <c r="G32" s="11" t="n">
        <v>45747</v>
      </c>
      <c r="H32" s="12">
        <f>IF(OR($F32="",$G32=""),"",$G32-$F32+1)</f>
        <v/>
      </c>
      <c r="I32" s="10">
        <f>IF($F32="","",IF(MONTH($F32)&gt;=4,YEAR($F32)&amp;"-"&amp;TEXT(YEAR($F32)+1-2000,"00"),YEAR($F32)-1&amp;"-"&amp;TEXT(YEAR($F32)-2000,"00")))</f>
        <v/>
      </c>
      <c r="J32" s="13" t="n">
        <v>19200</v>
      </c>
      <c r="K32" s="14">
        <f>IFERROR($L32/$J32,"")</f>
        <v/>
      </c>
      <c r="L32" s="13" t="n">
        <v>19200</v>
      </c>
      <c r="M32" s="13">
        <f>IFERROR($L32/$H32,"")</f>
        <v/>
      </c>
      <c r="N32" s="11" t="n">
        <v>45443</v>
      </c>
      <c r="O32" s="10">
        <f>IF($N32="","No","Yes")</f>
        <v/>
      </c>
      <c r="P32" s="12">
        <f>IF(OR($F32="",$G32=""),0,IF(AND($F32&lt;=README!$B$4,README!$B$4&lt;=$G32),1,0))</f>
        <v/>
      </c>
      <c r="Q32" s="12">
        <f>IF(OR($F32="",$G32=""),0,IF(AND($F32&lt;=DATE(README!$B$5,12,31),$G32&gt;=DATE(README!$B$5,1,1)),1,0))</f>
        <v/>
      </c>
      <c r="R32" s="10" t="inlineStr">
        <is>
          <t>GUP-VEH0006</t>
        </is>
      </c>
      <c r="S32" s="11" t="n">
        <v>45442</v>
      </c>
      <c r="T32" s="10" t="inlineStr">
        <is>
          <t>522</t>
        </is>
      </c>
      <c r="U32" s="10" t="inlineStr">
        <is>
          <t>VEHICLE</t>
        </is>
      </c>
      <c r="V32" s="10" t="inlineStr">
        <is>
          <t>T</t>
        </is>
      </c>
      <c r="W32" s="10" t="inlineStr">
        <is>
          <t>VIVEK B</t>
        </is>
      </c>
    </row>
    <row r="33">
      <c r="A33" s="10" t="inlineStr">
        <is>
          <t>TN57AE3636</t>
        </is>
      </c>
      <c r="B33" s="10" t="inlineStr">
        <is>
          <t>SOCKS</t>
        </is>
      </c>
      <c r="C33" s="10" t="inlineStr">
        <is>
          <t>VEHICLE INSURANCE</t>
        </is>
      </c>
      <c r="D33" s="10" t="inlineStr">
        <is>
          <t>VEHICLE INSURANCE</t>
        </is>
      </c>
      <c r="E33" s="10" t="inlineStr">
        <is>
          <t>YEARLY</t>
        </is>
      </c>
      <c r="F33" s="11" t="n">
        <v>45383</v>
      </c>
      <c r="G33" s="11" t="n">
        <v>45747</v>
      </c>
      <c r="H33" s="12">
        <f>IF(OR($F33="",$G33=""),"",$G33-$F33+1)</f>
        <v/>
      </c>
      <c r="I33" s="10">
        <f>IF($F33="","",IF(MONTH($F33)&gt;=4,YEAR($F33)&amp;"-"&amp;TEXT(YEAR($F33)+1-2000,"00"),YEAR($F33)-1&amp;"-"&amp;TEXT(YEAR($F33)-2000,"00")))</f>
        <v/>
      </c>
      <c r="J33" s="13" t="n">
        <v>59159</v>
      </c>
      <c r="K33" s="14">
        <f>IFERROR($L33/$J33,"")</f>
        <v/>
      </c>
      <c r="L33" s="13" t="n">
        <v>59159</v>
      </c>
      <c r="M33" s="13">
        <f>IFERROR($L33/$H33,"")</f>
        <v/>
      </c>
      <c r="N33" s="11" t="n">
        <v>45632</v>
      </c>
      <c r="O33" s="10">
        <f>IF($N33="","No","Yes")</f>
        <v/>
      </c>
      <c r="P33" s="12">
        <f>IF(OR($F33="",$G33=""),0,IF(AND($F33&lt;=README!$B$4,README!$B$4&lt;=$G33),1,0))</f>
        <v/>
      </c>
      <c r="Q33" s="12">
        <f>IF(OR($F33="",$G33=""),0,IF(AND($F33&lt;=DATE(README!$B$5,12,31),$G33&gt;=DATE(README!$B$5,1,1)),1,0))</f>
        <v/>
      </c>
      <c r="R33" s="10" t="inlineStr">
        <is>
          <t>GUP-VEH0013</t>
        </is>
      </c>
      <c r="S33" s="11" t="n">
        <v>45478</v>
      </c>
      <c r="T33" s="10" t="inlineStr">
        <is>
          <t>550</t>
        </is>
      </c>
      <c r="U33" s="10" t="inlineStr">
        <is>
          <t>VEHICLE</t>
        </is>
      </c>
      <c r="V33" s="10" t="inlineStr">
        <is>
          <t>T</t>
        </is>
      </c>
      <c r="W33" s="10" t="inlineStr">
        <is>
          <t>VIVEK B</t>
        </is>
      </c>
    </row>
    <row r="34">
      <c r="A34" s="10" t="inlineStr">
        <is>
          <t>TN57AE3636</t>
        </is>
      </c>
      <c r="B34" s="10" t="inlineStr">
        <is>
          <t>SOCKS</t>
        </is>
      </c>
      <c r="C34" s="10" t="inlineStr">
        <is>
          <t>FC WORK</t>
        </is>
      </c>
      <c r="D34" s="10" t="inlineStr">
        <is>
          <t>FC WORK</t>
        </is>
      </c>
      <c r="E34" s="10" t="inlineStr">
        <is>
          <t>YEARLY</t>
        </is>
      </c>
      <c r="F34" s="11" t="n">
        <v>45748</v>
      </c>
      <c r="G34" s="11" t="n">
        <v>46112</v>
      </c>
      <c r="H34" s="12">
        <f>IF(OR($F34="",$G34=""),"",$G34-$F34+1)</f>
        <v/>
      </c>
      <c r="I34" s="10">
        <f>IF($F34="","",IF(MONTH($F34)&gt;=4,YEAR($F34)&amp;"-"&amp;TEXT(YEAR($F34)+1-2000,"00"),YEAR($F34)-1&amp;"-"&amp;TEXT(YEAR($F34)-2000,"00")))</f>
        <v/>
      </c>
      <c r="J34" s="13" t="n">
        <v>78588</v>
      </c>
      <c r="K34" s="14">
        <f>IFERROR($L34/$J34,"")</f>
        <v/>
      </c>
      <c r="L34" s="13" t="n">
        <v>78588</v>
      </c>
      <c r="M34" s="13">
        <f>IFERROR($L34/$H34,"")</f>
        <v/>
      </c>
      <c r="N34" s="11" t="n">
        <v>45832</v>
      </c>
      <c r="O34" s="10">
        <f>IF($N34="","No","Yes")</f>
        <v/>
      </c>
      <c r="P34" s="12">
        <f>IF(OR($F34="",$G34=""),0,IF(AND($F34&lt;=README!$B$4,README!$B$4&lt;=$G34),1,0))</f>
        <v/>
      </c>
      <c r="Q34" s="12">
        <f>IF(OR($F34="",$G34=""),0,IF(AND($F34&lt;=DATE(README!$B$5,12,31),$G34&gt;=DATE(README!$B$5,1,1)),1,0))</f>
        <v/>
      </c>
      <c r="R34" s="10" t="inlineStr">
        <is>
          <t>GUP-VEH0021</t>
        </is>
      </c>
      <c r="S34" s="11" t="n">
        <v>45832</v>
      </c>
      <c r="T34" s="10" t="inlineStr">
        <is>
          <t>654</t>
        </is>
      </c>
      <c r="U34" s="10" t="inlineStr">
        <is>
          <t>VEHICLE</t>
        </is>
      </c>
      <c r="V34" s="10" t="inlineStr">
        <is>
          <t>T</t>
        </is>
      </c>
      <c r="W34" s="10" t="inlineStr">
        <is>
          <t>VIVEK B</t>
        </is>
      </c>
    </row>
    <row r="35">
      <c r="A35" s="10" t="inlineStr">
        <is>
          <t>TN57AE3636</t>
        </is>
      </c>
      <c r="B35" s="10" t="inlineStr">
        <is>
          <t>SOCKS</t>
        </is>
      </c>
      <c r="C35" s="10" t="inlineStr">
        <is>
          <t>ROAD TAX</t>
        </is>
      </c>
      <c r="D35" s="10" t="inlineStr">
        <is>
          <t>GREEN TAX</t>
        </is>
      </c>
      <c r="E35" s="10" t="inlineStr">
        <is>
          <t>QUARTER - I</t>
        </is>
      </c>
      <c r="F35" s="11" t="n">
        <v>45748</v>
      </c>
      <c r="G35" s="11" t="n">
        <v>45838</v>
      </c>
      <c r="H35" s="12">
        <f>IF(OR($F35="",$G35=""),"",$G35-$F35+1)</f>
        <v/>
      </c>
      <c r="I35" s="10">
        <f>IF($F35="","",IF(MONTH($F35)&gt;=4,YEAR($F35)&amp;"-"&amp;TEXT(YEAR($F35)+1-2000,"00"),YEAR($F35)-1&amp;"-"&amp;TEXT(YEAR($F35)-2000,"00")))</f>
        <v/>
      </c>
      <c r="J35" s="13" t="n">
        <v>190</v>
      </c>
      <c r="K35" s="14">
        <f>IFERROR($L35/$J35,"")</f>
        <v/>
      </c>
      <c r="L35" s="13" t="n">
        <v>190</v>
      </c>
      <c r="M35" s="13">
        <f>IFERROR($L35/$H35,"")</f>
        <v/>
      </c>
      <c r="N35" s="11" t="n">
        <v>46030</v>
      </c>
      <c r="O35" s="10">
        <f>IF($N35="","No","Yes")</f>
        <v/>
      </c>
      <c r="P35" s="12">
        <f>IF(OR($F35="",$G35=""),0,IF(AND($F35&lt;=README!$B$4,README!$B$4&lt;=$G35),1,0))</f>
        <v/>
      </c>
      <c r="Q35" s="12">
        <f>IF(OR($F35="",$G35=""),0,IF(AND($F35&lt;=DATE(README!$B$5,12,31),$G35&gt;=DATE(README!$B$5,1,1)),1,0))</f>
        <v/>
      </c>
      <c r="R35" s="10" t="inlineStr">
        <is>
          <t>GUP-VEH0014</t>
        </is>
      </c>
      <c r="S35" s="11" t="n">
        <v>45748</v>
      </c>
      <c r="T35" s="10" t="inlineStr">
        <is>
          <t>609</t>
        </is>
      </c>
      <c r="U35" s="10" t="inlineStr">
        <is>
          <t>VEHICLE</t>
        </is>
      </c>
      <c r="V35" s="10" t="inlineStr">
        <is>
          <t>T</t>
        </is>
      </c>
      <c r="W35" s="10" t="inlineStr">
        <is>
          <t>VIVEK B</t>
        </is>
      </c>
    </row>
    <row r="36">
      <c r="A36" s="10" t="inlineStr">
        <is>
          <t>TN57AE3636</t>
        </is>
      </c>
      <c r="B36" s="10" t="inlineStr">
        <is>
          <t>SOCKS</t>
        </is>
      </c>
      <c r="C36" s="10" t="inlineStr">
        <is>
          <t>ROAD TAX</t>
        </is>
      </c>
      <c r="D36" s="10" t="inlineStr">
        <is>
          <t>ROAD TAX</t>
        </is>
      </c>
      <c r="E36" s="10" t="inlineStr">
        <is>
          <t>QUARTER - I</t>
        </is>
      </c>
      <c r="F36" s="11" t="n">
        <v>45748</v>
      </c>
      <c r="G36" s="11" t="n">
        <v>45838</v>
      </c>
      <c r="H36" s="12">
        <f>IF(OR($F36="",$G36=""),"",$G36-$F36+1)</f>
        <v/>
      </c>
      <c r="I36" s="10">
        <f>IF($F36="","",IF(MONTH($F36)&gt;=4,YEAR($F36)&amp;"-"&amp;TEXT(YEAR($F36)+1-2000,"00"),YEAR($F36)-1&amp;"-"&amp;TEXT(YEAR($F36)-2000,"00")))</f>
        <v/>
      </c>
      <c r="J36" s="13" t="n">
        <v>24846</v>
      </c>
      <c r="K36" s="14">
        <f>IFERROR($L36/$J36,"")</f>
        <v/>
      </c>
      <c r="L36" s="13" t="n">
        <v>24846</v>
      </c>
      <c r="M36" s="13">
        <f>IFERROR($L36/$H36,"")</f>
        <v/>
      </c>
      <c r="N36" s="11" t="n">
        <v>46030</v>
      </c>
      <c r="O36" s="10">
        <f>IF($N36="","No","Yes")</f>
        <v/>
      </c>
      <c r="P36" s="12">
        <f>IF(OR($F36="",$G36=""),0,IF(AND($F36&lt;=README!$B$4,README!$B$4&lt;=$G36),1,0))</f>
        <v/>
      </c>
      <c r="Q36" s="12">
        <f>IF(OR($F36="",$G36=""),0,IF(AND($F36&lt;=DATE(README!$B$5,12,31),$G36&gt;=DATE(README!$B$5,1,1)),1,0))</f>
        <v/>
      </c>
      <c r="R36" s="10" t="inlineStr">
        <is>
          <t>GUP-VEH0014</t>
        </is>
      </c>
      <c r="S36" s="11" t="n">
        <v>45748</v>
      </c>
      <c r="T36" s="10" t="inlineStr">
        <is>
          <t>609</t>
        </is>
      </c>
      <c r="U36" s="10" t="inlineStr">
        <is>
          <t>VEHICLE</t>
        </is>
      </c>
      <c r="V36" s="10" t="inlineStr">
        <is>
          <t>T</t>
        </is>
      </c>
      <c r="W36" s="10" t="inlineStr">
        <is>
          <t>VIVEK B</t>
        </is>
      </c>
    </row>
    <row r="37">
      <c r="A37" s="10" t="inlineStr">
        <is>
          <t>TN57AE3636</t>
        </is>
      </c>
      <c r="B37" s="10" t="inlineStr">
        <is>
          <t>SOCKS</t>
        </is>
      </c>
      <c r="C37" s="10" t="inlineStr">
        <is>
          <t>RTO EXPENSE</t>
        </is>
      </c>
      <c r="D37" s="10" t="inlineStr">
        <is>
          <t>RTO EXPENSE</t>
        </is>
      </c>
      <c r="E37" s="10" t="inlineStr">
        <is>
          <t>YEARLY</t>
        </is>
      </c>
      <c r="F37" s="11" t="n">
        <v>45748</v>
      </c>
      <c r="G37" s="11" t="n">
        <v>46112</v>
      </c>
      <c r="H37" s="12">
        <f>IF(OR($F37="",$G37=""),"",$G37-$F37+1)</f>
        <v/>
      </c>
      <c r="I37" s="10">
        <f>IF($F37="","",IF(MONTH($F37)&gt;=4,YEAR($F37)&amp;"-"&amp;TEXT(YEAR($F37)+1-2000,"00"),YEAR($F37)-1&amp;"-"&amp;TEXT(YEAR($F37)-2000,"00")))</f>
        <v/>
      </c>
      <c r="J37" s="13" t="n">
        <v>7500</v>
      </c>
      <c r="K37" s="14">
        <f>IFERROR($L37/$J37,"")</f>
        <v/>
      </c>
      <c r="L37" s="13" t="n">
        <v>7500</v>
      </c>
      <c r="M37" s="13">
        <f>IFERROR($L37/$H37,"")</f>
        <v/>
      </c>
      <c r="N37" s="11" t="n">
        <v>45834</v>
      </c>
      <c r="O37" s="10">
        <f>IF($N37="","No","Yes")</f>
        <v/>
      </c>
      <c r="P37" s="12">
        <f>IF(OR($F37="",$G37=""),0,IF(AND($F37&lt;=README!$B$4,README!$B$4&lt;=$G37),1,0))</f>
        <v/>
      </c>
      <c r="Q37" s="12">
        <f>IF(OR($F37="",$G37=""),0,IF(AND($F37&lt;=DATE(README!$B$5,12,31),$G37&gt;=DATE(README!$B$5,1,1)),1,0))</f>
        <v/>
      </c>
      <c r="R37" s="10" t="inlineStr">
        <is>
          <t>GUP-VEH0022</t>
        </is>
      </c>
      <c r="S37" s="11" t="n">
        <v>45834</v>
      </c>
      <c r="T37" s="10" t="inlineStr">
        <is>
          <t>655</t>
        </is>
      </c>
      <c r="U37" s="10" t="inlineStr">
        <is>
          <t>VEHICLE</t>
        </is>
      </c>
      <c r="V37" s="10" t="inlineStr">
        <is>
          <t>T</t>
        </is>
      </c>
      <c r="W37" s="10" t="inlineStr">
        <is>
          <t>VIVEK B</t>
        </is>
      </c>
    </row>
    <row r="38">
      <c r="A38" s="10" t="inlineStr">
        <is>
          <t>TN57AE3636</t>
        </is>
      </c>
      <c r="B38" s="10" t="inlineStr">
        <is>
          <t>SOCKS</t>
        </is>
      </c>
      <c r="C38" s="10" t="inlineStr">
        <is>
          <t>VEHICLE INSURANCE</t>
        </is>
      </c>
      <c r="D38" s="10" t="inlineStr">
        <is>
          <t>VEHICLE INSURANCE</t>
        </is>
      </c>
      <c r="E38" s="10" t="inlineStr">
        <is>
          <t>YEARLY</t>
        </is>
      </c>
      <c r="F38" s="11" t="n">
        <v>45748</v>
      </c>
      <c r="G38" s="11" t="n">
        <v>46112</v>
      </c>
      <c r="H38" s="12">
        <f>IF(OR($F38="",$G38=""),"",$G38-$F38+1)</f>
        <v/>
      </c>
      <c r="I38" s="10">
        <f>IF($F38="","",IF(MONTH($F38)&gt;=4,YEAR($F38)&amp;"-"&amp;TEXT(YEAR($F38)+1-2000,"00"),YEAR($F38)-1&amp;"-"&amp;TEXT(YEAR($F38)-2000,"00")))</f>
        <v/>
      </c>
      <c r="J38" s="13" t="n">
        <v>58681</v>
      </c>
      <c r="K38" s="14">
        <f>IFERROR($L38/$J38,"")</f>
        <v/>
      </c>
      <c r="L38" s="13" t="n">
        <v>58681</v>
      </c>
      <c r="M38" s="13">
        <f>IFERROR($L38/$H38,"")</f>
        <v/>
      </c>
      <c r="N38" s="11" t="n">
        <v>45994</v>
      </c>
      <c r="O38" s="10">
        <f>IF($N38="","No","Yes")</f>
        <v/>
      </c>
      <c r="P38" s="12">
        <f>IF(OR($F38="",$G38=""),0,IF(AND($F38&lt;=README!$B$4,README!$B$4&lt;=$G38),1,0))</f>
        <v/>
      </c>
      <c r="Q38" s="12">
        <f>IF(OR($F38="",$G38=""),0,IF(AND($F38&lt;=DATE(README!$B$5,12,31),$G38&gt;=DATE(README!$B$5,1,1)),1,0))</f>
        <v/>
      </c>
      <c r="R38" s="10" t="inlineStr">
        <is>
          <t>GUP-VEH0020</t>
        </is>
      </c>
      <c r="S38" s="11" t="n">
        <v>45799</v>
      </c>
      <c r="T38" s="10" t="inlineStr">
        <is>
          <t>645</t>
        </is>
      </c>
      <c r="U38" s="10" t="inlineStr">
        <is>
          <t>VEHICLE</t>
        </is>
      </c>
      <c r="V38" s="10" t="inlineStr">
        <is>
          <t>T</t>
        </is>
      </c>
      <c r="W38" s="10" t="inlineStr">
        <is>
          <t>VIVEK B</t>
        </is>
      </c>
    </row>
    <row r="39">
      <c r="A39" s="10" t="inlineStr">
        <is>
          <t>TN57AE3636</t>
        </is>
      </c>
      <c r="B39" s="10" t="inlineStr">
        <is>
          <t>SOCKS</t>
        </is>
      </c>
      <c r="C39" s="10" t="inlineStr">
        <is>
          <t>ROAD TAX</t>
        </is>
      </c>
      <c r="D39" s="10" t="inlineStr">
        <is>
          <t>ROAD TAX</t>
        </is>
      </c>
      <c r="E39" s="10" t="inlineStr">
        <is>
          <t>QUARTER - II</t>
        </is>
      </c>
      <c r="F39" s="11" t="n">
        <v>45839</v>
      </c>
      <c r="G39" s="11" t="n">
        <v>45930</v>
      </c>
      <c r="H39" s="12">
        <f>IF(OR($F39="",$G39=""),"",$G39-$F39+1)</f>
        <v/>
      </c>
      <c r="I39" s="10">
        <f>IF($F39="","",IF(MONTH($F39)&gt;=4,YEAR($F39)&amp;"-"&amp;TEXT(YEAR($F39)+1-2000,"00"),YEAR($F39)-1&amp;"-"&amp;TEXT(YEAR($F39)-2000,"00")))</f>
        <v/>
      </c>
      <c r="J39" s="13" t="n">
        <v>24846</v>
      </c>
      <c r="K39" s="14">
        <f>IFERROR($L39/$J39,"")</f>
        <v/>
      </c>
      <c r="L39" s="13" t="n">
        <v>24846</v>
      </c>
      <c r="M39" s="13">
        <f>IFERROR($L39/$H39,"")</f>
        <v/>
      </c>
      <c r="N39" s="11" t="n">
        <v>46030</v>
      </c>
      <c r="O39" s="10">
        <f>IF($N39="","No","Yes")</f>
        <v/>
      </c>
      <c r="P39" s="12">
        <f>IF(OR($F39="",$G39=""),0,IF(AND($F39&lt;=README!$B$4,README!$B$4&lt;=$G39),1,0))</f>
        <v/>
      </c>
      <c r="Q39" s="12">
        <f>IF(OR($F39="",$G39=""),0,IF(AND($F39&lt;=DATE(README!$B$5,12,31),$G39&gt;=DATE(README!$B$5,1,1)),1,0))</f>
        <v/>
      </c>
      <c r="R39" s="10" t="inlineStr">
        <is>
          <t>GUP-VEH0014</t>
        </is>
      </c>
      <c r="S39" s="11" t="n">
        <v>45748</v>
      </c>
      <c r="T39" s="10" t="inlineStr">
        <is>
          <t>609</t>
        </is>
      </c>
      <c r="U39" s="10" t="inlineStr">
        <is>
          <t>VEHICLE</t>
        </is>
      </c>
      <c r="V39" s="10" t="inlineStr">
        <is>
          <t>T</t>
        </is>
      </c>
      <c r="W39" s="10" t="inlineStr">
        <is>
          <t>VIVEK B</t>
        </is>
      </c>
    </row>
    <row r="40">
      <c r="A40" s="10" t="inlineStr">
        <is>
          <t>TN57AE3636</t>
        </is>
      </c>
      <c r="B40" s="10" t="inlineStr">
        <is>
          <t>SOCKS</t>
        </is>
      </c>
      <c r="C40" s="10" t="inlineStr">
        <is>
          <t>ROAD TAX</t>
        </is>
      </c>
      <c r="D40" s="10" t="inlineStr">
        <is>
          <t>ROAD TAX</t>
        </is>
      </c>
      <c r="E40" s="10" t="inlineStr">
        <is>
          <t>QUARTER - III</t>
        </is>
      </c>
      <c r="F40" s="11" t="n">
        <v>45931</v>
      </c>
      <c r="G40" s="11" t="n">
        <v>46022</v>
      </c>
      <c r="H40" s="12">
        <f>IF(OR($F40="",$G40=""),"",$G40-$F40+1)</f>
        <v/>
      </c>
      <c r="I40" s="10">
        <f>IF($F40="","",IF(MONTH($F40)&gt;=4,YEAR($F40)&amp;"-"&amp;TEXT(YEAR($F40)+1-2000,"00"),YEAR($F40)-1&amp;"-"&amp;TEXT(YEAR($F40)-2000,"00")))</f>
        <v/>
      </c>
      <c r="J40" s="13" t="n">
        <v>24856</v>
      </c>
      <c r="K40" s="14">
        <f>IFERROR($L40/$J40,"")</f>
        <v/>
      </c>
      <c r="L40" s="13" t="n">
        <v>24856</v>
      </c>
      <c r="M40" s="13">
        <f>IFERROR($L40/$H40,"")</f>
        <v/>
      </c>
      <c r="N40" s="11" t="n">
        <v>46030</v>
      </c>
      <c r="O40" s="10">
        <f>IF($N40="","No","Yes")</f>
        <v/>
      </c>
      <c r="P40" s="12">
        <f>IF(OR($F40="",$G40=""),0,IF(AND($F40&lt;=README!$B$4,README!$B$4&lt;=$G40),1,0))</f>
        <v/>
      </c>
      <c r="Q40" s="12">
        <f>IF(OR($F40="",$G40=""),0,IF(AND($F40&lt;=DATE(README!$B$5,12,31),$G40&gt;=DATE(README!$B$5,1,1)),1,0))</f>
        <v/>
      </c>
      <c r="R40" s="10" t="inlineStr">
        <is>
          <t>GUP-VEH0014</t>
        </is>
      </c>
      <c r="S40" s="11" t="n">
        <v>45748</v>
      </c>
      <c r="T40" s="10" t="inlineStr">
        <is>
          <t>609</t>
        </is>
      </c>
      <c r="U40" s="10" t="inlineStr">
        <is>
          <t>VEHICLE</t>
        </is>
      </c>
      <c r="V40" s="10" t="inlineStr">
        <is>
          <t>T</t>
        </is>
      </c>
      <c r="W40" s="10" t="inlineStr">
        <is>
          <t>VIVEK B</t>
        </is>
      </c>
    </row>
    <row r="41">
      <c r="A41" s="10" t="inlineStr">
        <is>
          <t>TN57AE3636</t>
        </is>
      </c>
      <c r="B41" s="10" t="inlineStr">
        <is>
          <t>SOCKS</t>
        </is>
      </c>
      <c r="C41" s="10" t="inlineStr">
        <is>
          <t>RTO EXPENSE</t>
        </is>
      </c>
      <c r="D41" s="10" t="inlineStr">
        <is>
          <t>POLICE STATION - VEHICLE</t>
        </is>
      </c>
      <c r="E41" s="10" t="inlineStr">
        <is>
          <t>NOVEMBER</t>
        </is>
      </c>
      <c r="F41" s="11" t="n">
        <v>45962</v>
      </c>
      <c r="G41" s="11" t="n">
        <v>45991</v>
      </c>
      <c r="H41" s="12">
        <f>IF(OR($F41="",$G41=""),"",$G41-$F41+1)</f>
        <v/>
      </c>
      <c r="I41" s="10">
        <f>IF($F41="","",IF(MONTH($F41)&gt;=4,YEAR($F41)&amp;"-"&amp;TEXT(YEAR($F41)+1-2000,"00"),YEAR($F41)-1&amp;"-"&amp;TEXT(YEAR($F41)-2000,"00")))</f>
        <v/>
      </c>
      <c r="J41" s="13" t="n">
        <v>2500</v>
      </c>
      <c r="K41" s="14">
        <f>IFERROR($L41/$J41,"")</f>
        <v/>
      </c>
      <c r="L41" s="13" t="n">
        <v>2500</v>
      </c>
      <c r="M41" s="13">
        <f>IFERROR($L41/$H41,"")</f>
        <v/>
      </c>
      <c r="N41" s="11" t="n">
        <v>45990</v>
      </c>
      <c r="O41" s="10">
        <f>IF($N41="","No","Yes")</f>
        <v/>
      </c>
      <c r="P41" s="12">
        <f>IF(OR($F41="",$G41=""),0,IF(AND($F41&lt;=README!$B$4,README!$B$4&lt;=$G41),1,0))</f>
        <v/>
      </c>
      <c r="Q41" s="12">
        <f>IF(OR($F41="",$G41=""),0,IF(AND($F41&lt;=DATE(README!$B$5,12,31),$G41&gt;=DATE(README!$B$5,1,1)),1,0))</f>
        <v/>
      </c>
      <c r="R41" s="10" t="inlineStr">
        <is>
          <t>GUP-VEH0022</t>
        </is>
      </c>
      <c r="S41" s="11" t="n">
        <v>45834</v>
      </c>
      <c r="T41" s="10" t="inlineStr">
        <is>
          <t>655</t>
        </is>
      </c>
      <c r="U41" s="10" t="inlineStr">
        <is>
          <t>VEHICLE</t>
        </is>
      </c>
      <c r="V41" s="10" t="inlineStr">
        <is>
          <t>T</t>
        </is>
      </c>
      <c r="W41" s="10" t="inlineStr">
        <is>
          <t>VIVEK B</t>
        </is>
      </c>
    </row>
    <row r="42">
      <c r="A42" s="10" t="inlineStr">
        <is>
          <t>TN57AE3636</t>
        </is>
      </c>
      <c r="B42" s="10" t="inlineStr">
        <is>
          <t>GENERAL</t>
        </is>
      </c>
      <c r="C42" s="10" t="inlineStr">
        <is>
          <t>VEHICLE OUTSIDE SERVICES</t>
        </is>
      </c>
      <c r="D42" s="10" t="inlineStr">
        <is>
          <t>ALTERNATOR WORK</t>
        </is>
      </c>
      <c r="E42" s="10" t="inlineStr">
        <is>
          <t>NOVEMBER</t>
        </is>
      </c>
      <c r="F42" s="11" t="n">
        <v>45962</v>
      </c>
      <c r="G42" s="11" t="n">
        <v>45991</v>
      </c>
      <c r="H42" s="12">
        <f>IF(OR($F42="",$G42=""),"",$G42-$F42+1)</f>
        <v/>
      </c>
      <c r="I42" s="10">
        <f>IF($F42="","",IF(MONTH($F42)&gt;=4,YEAR($F42)&amp;"-"&amp;TEXT(YEAR($F42)+1-2000,"00"),YEAR($F42)-1&amp;"-"&amp;TEXT(YEAR($F42)-2000,"00")))</f>
        <v/>
      </c>
      <c r="J42" s="13" t="n">
        <v>1675</v>
      </c>
      <c r="K42" s="14">
        <f>IFERROR($L42/$J42,"")</f>
        <v/>
      </c>
      <c r="L42" s="13" t="n">
        <v>1675</v>
      </c>
      <c r="M42" s="13">
        <f>IFERROR($L42/$H42,"")</f>
        <v/>
      </c>
      <c r="N42" s="11" t="n">
        <v>45975</v>
      </c>
      <c r="O42" s="10">
        <f>IF($N42="","No","Yes")</f>
        <v/>
      </c>
      <c r="P42" s="12">
        <f>IF(OR($F42="",$G42=""),0,IF(AND($F42&lt;=README!$B$4,README!$B$4&lt;=$G42),1,0))</f>
        <v/>
      </c>
      <c r="Q42" s="12">
        <f>IF(OR($F42="",$G42=""),0,IF(AND($F42&lt;=DATE(README!$B$5,12,31),$G42&gt;=DATE(README!$B$5,1,1)),1,0))</f>
        <v/>
      </c>
      <c r="R42" s="10" t="inlineStr">
        <is>
          <t>GUP-VEH0019</t>
        </is>
      </c>
      <c r="S42" s="11" t="n">
        <v>45777</v>
      </c>
      <c r="T42" s="10" t="inlineStr">
        <is>
          <t>638</t>
        </is>
      </c>
      <c r="U42" s="10" t="inlineStr">
        <is>
          <t>VEHICLE</t>
        </is>
      </c>
      <c r="V42" s="10" t="inlineStr">
        <is>
          <t>T</t>
        </is>
      </c>
      <c r="W42" s="10" t="inlineStr">
        <is>
          <t>VIVEK B</t>
        </is>
      </c>
    </row>
    <row r="43">
      <c r="A43" s="10" t="inlineStr">
        <is>
          <t>TN57AE3636</t>
        </is>
      </c>
      <c r="B43" s="10" t="inlineStr">
        <is>
          <t>SOCKS</t>
        </is>
      </c>
      <c r="C43" s="10" t="inlineStr">
        <is>
          <t>ROAD TAX</t>
        </is>
      </c>
      <c r="D43" s="10" t="inlineStr">
        <is>
          <t>ROAD TAX</t>
        </is>
      </c>
      <c r="E43" s="10" t="inlineStr">
        <is>
          <t>QUARTER - IV</t>
        </is>
      </c>
      <c r="F43" s="11" t="n">
        <v>46023</v>
      </c>
      <c r="G43" s="11" t="n">
        <v>46112</v>
      </c>
      <c r="H43" s="12">
        <f>IF(OR($F43="",$G43=""),"",$G43-$F43+1)</f>
        <v/>
      </c>
      <c r="I43" s="10">
        <f>IF($F43="","",IF(MONTH($F43)&gt;=4,YEAR($F43)&amp;"-"&amp;TEXT(YEAR($F43)+1-2000,"00"),YEAR($F43)-1&amp;"-"&amp;TEXT(YEAR($F43)-2000,"00")))</f>
        <v/>
      </c>
      <c r="J43" s="13" t="n">
        <v>24856</v>
      </c>
      <c r="K43" s="14">
        <f>IFERROR($L43/$J43,"")</f>
        <v/>
      </c>
      <c r="L43" s="13" t="n">
        <v>24856</v>
      </c>
      <c r="M43" s="13">
        <f>IFERROR($L43/$H43,"")</f>
        <v/>
      </c>
      <c r="N43" s="11" t="n">
        <v>46030</v>
      </c>
      <c r="O43" s="10">
        <f>IF($N43="","No","Yes")</f>
        <v/>
      </c>
      <c r="P43" s="12">
        <f>IF(OR($F43="",$G43=""),0,IF(AND($F43&lt;=README!$B$4,README!$B$4&lt;=$G43),1,0))</f>
        <v/>
      </c>
      <c r="Q43" s="12">
        <f>IF(OR($F43="",$G43=""),0,IF(AND($F43&lt;=DATE(README!$B$5,12,31),$G43&gt;=DATE(README!$B$5,1,1)),1,0))</f>
        <v/>
      </c>
      <c r="R43" s="10" t="inlineStr">
        <is>
          <t>GUP-VEH0014</t>
        </is>
      </c>
      <c r="S43" s="11" t="n">
        <v>45748</v>
      </c>
      <c r="T43" s="10" t="inlineStr">
        <is>
          <t>609</t>
        </is>
      </c>
      <c r="U43" s="10" t="inlineStr">
        <is>
          <t>VEHICLE</t>
        </is>
      </c>
      <c r="V43" s="10" t="inlineStr">
        <is>
          <t>T</t>
        </is>
      </c>
      <c r="W43" s="10" t="inlineStr">
        <is>
          <t>VIVEK B</t>
        </is>
      </c>
    </row>
    <row r="44">
      <c r="A44" s="10" t="inlineStr">
        <is>
          <t>TN57AE3636</t>
        </is>
      </c>
      <c r="B44" s="10" t="inlineStr">
        <is>
          <t>SOCKS</t>
        </is>
      </c>
      <c r="C44" s="10" t="inlineStr">
        <is>
          <t>TYRE</t>
        </is>
      </c>
      <c r="D44" s="10" t="inlineStr">
        <is>
          <t>TYRE</t>
        </is>
      </c>
      <c r="E44" s="10" t="inlineStr">
        <is>
          <t>FEBRUARY</t>
        </is>
      </c>
      <c r="F44" s="11" t="n">
        <v>46054</v>
      </c>
      <c r="G44" s="11" t="n">
        <v>46081</v>
      </c>
      <c r="H44" s="12">
        <f>IF(OR($F44="",$G44=""),"",$G44-$F44+1)</f>
        <v/>
      </c>
      <c r="I44" s="10">
        <f>IF($F44="","",IF(MONTH($F44)&gt;=4,YEAR($F44)&amp;"-"&amp;TEXT(YEAR($F44)+1-2000,"00"),YEAR($F44)-1&amp;"-"&amp;TEXT(YEAR($F44)-2000,"00")))</f>
        <v/>
      </c>
      <c r="J44" s="13" t="n">
        <v>19200</v>
      </c>
      <c r="K44" s="14">
        <f>IFERROR($L44/$J44,"")</f>
        <v/>
      </c>
      <c r="L44" s="13" t="n">
        <v>19200</v>
      </c>
      <c r="M44" s="13">
        <f>IFERROR($L44/$H44,"")</f>
        <v/>
      </c>
      <c r="N44" s="11" t="n">
        <v>46072</v>
      </c>
      <c r="O44" s="10">
        <f>IF($N44="","No","Yes")</f>
        <v/>
      </c>
      <c r="P44" s="12">
        <f>IF(OR($F44="",$G44=""),0,IF(AND($F44&lt;=README!$B$4,README!$B$4&lt;=$G44),1,0))</f>
        <v/>
      </c>
      <c r="Q44" s="12">
        <f>IF(OR($F44="",$G44=""),0,IF(AND($F44&lt;=DATE(README!$B$5,12,31),$G44&gt;=DATE(README!$B$5,1,1)),1,0))</f>
        <v/>
      </c>
      <c r="R44" s="10" t="inlineStr">
        <is>
          <t>GUP-VEH0025</t>
        </is>
      </c>
      <c r="S44" s="11" t="n">
        <v>45957</v>
      </c>
      <c r="T44" s="10" t="inlineStr">
        <is>
          <t>726</t>
        </is>
      </c>
      <c r="U44" s="10" t="inlineStr">
        <is>
          <t>VEHICLE</t>
        </is>
      </c>
      <c r="V44" s="10" t="inlineStr">
        <is>
          <t>T</t>
        </is>
      </c>
      <c r="W44" s="10" t="inlineStr">
        <is>
          <t>VIVEK B</t>
        </is>
      </c>
    </row>
    <row r="45">
      <c r="A45" s="10" t="inlineStr">
        <is>
          <t>TN57AE3636</t>
        </is>
      </c>
      <c r="B45" s="10" t="inlineStr">
        <is>
          <t>SOCKS</t>
        </is>
      </c>
      <c r="C45" s="10" t="inlineStr">
        <is>
          <t>ROAD TAX</t>
        </is>
      </c>
      <c r="D45" s="10" t="inlineStr">
        <is>
          <t>ROAD TAX</t>
        </is>
      </c>
      <c r="E45" s="10" t="inlineStr">
        <is>
          <t>QUARTER - I</t>
        </is>
      </c>
      <c r="F45" s="11" t="n">
        <v>46113</v>
      </c>
      <c r="G45" s="11" t="n">
        <v>46203</v>
      </c>
      <c r="H45" s="12">
        <f>IF(OR($F45="",$G45=""),"",$G45-$F45+1)</f>
        <v/>
      </c>
      <c r="I45" s="10">
        <f>IF($F45="","",IF(MONTH($F45)&gt;=4,YEAR($F45)&amp;"-"&amp;TEXT(YEAR($F45)+1-2000,"00"),YEAR($F45)-1&amp;"-"&amp;TEXT(YEAR($F45)-2000,"00")))</f>
        <v/>
      </c>
      <c r="J45" s="13" t="n">
        <v>24856</v>
      </c>
      <c r="K45" s="14">
        <f>IFERROR($L45/$J45,"")</f>
        <v/>
      </c>
      <c r="L45" s="13" t="n">
        <v>24856</v>
      </c>
      <c r="M45" s="13">
        <f>IFERROR($L45/$H45,"")</f>
        <v/>
      </c>
      <c r="N45" s="11" t="n">
        <v>46088</v>
      </c>
      <c r="O45" s="10">
        <f>IF($N45="","No","Yes")</f>
        <v/>
      </c>
      <c r="P45" s="12">
        <f>IF(OR($F45="",$G45=""),0,IF(AND($F45&lt;=README!$B$4,README!$B$4&lt;=$G45),1,0))</f>
        <v/>
      </c>
      <c r="Q45" s="12">
        <f>IF(OR($F45="",$G45=""),0,IF(AND($F45&lt;=DATE(README!$B$5,12,31),$G45&gt;=DATE(README!$B$5,1,1)),1,0))</f>
        <v/>
      </c>
      <c r="R45" s="10" t="inlineStr">
        <is>
          <t>GUP-VEH0030</t>
        </is>
      </c>
      <c r="S45" s="11" t="n">
        <v>46113</v>
      </c>
      <c r="T45" s="10" t="inlineStr">
        <is>
          <t>796</t>
        </is>
      </c>
      <c r="U45" s="10" t="inlineStr">
        <is>
          <t>VEHICLE</t>
        </is>
      </c>
      <c r="V45" s="10" t="inlineStr">
        <is>
          <t>T</t>
        </is>
      </c>
      <c r="W45" s="10" t="inlineStr">
        <is>
          <t>VIVEK B</t>
        </is>
      </c>
    </row>
    <row r="46">
      <c r="A46" s="10" t="inlineStr">
        <is>
          <t>TN57AE3636</t>
        </is>
      </c>
      <c r="B46" s="10" t="inlineStr">
        <is>
          <t>SOCKS</t>
        </is>
      </c>
      <c r="C46" s="10" t="inlineStr">
        <is>
          <t>RTO EXPENSE</t>
        </is>
      </c>
      <c r="D46" s="10" t="inlineStr">
        <is>
          <t>RTO EXPENSES - FC</t>
        </is>
      </c>
      <c r="E46" s="10" t="inlineStr">
        <is>
          <t>YEARLY</t>
        </is>
      </c>
      <c r="F46" s="11" t="n">
        <v>46113</v>
      </c>
      <c r="G46" s="11" t="n">
        <v>46477</v>
      </c>
      <c r="H46" s="12">
        <f>IF(OR($F46="",$G46=""),"",$G46-$F46+1)</f>
        <v/>
      </c>
      <c r="I46" s="10">
        <f>IF($F46="","",IF(MONTH($F46)&gt;=4,YEAR($F46)&amp;"-"&amp;TEXT(YEAR($F46)+1-2000,"00"),YEAR($F46)-1&amp;"-"&amp;TEXT(YEAR($F46)-2000,"00")))</f>
        <v/>
      </c>
      <c r="J46" s="13" t="n">
        <v>7500</v>
      </c>
      <c r="K46" s="14">
        <f>IFERROR($L46/$J46,"")</f>
        <v/>
      </c>
      <c r="L46" s="13" t="n">
        <v>7500</v>
      </c>
      <c r="M46" s="13">
        <f>IFERROR($L46/$H46,"")</f>
        <v/>
      </c>
      <c r="N46" s="11" t="n">
        <v>46191</v>
      </c>
      <c r="O46" s="10">
        <f>IF($N46="","No","Yes")</f>
        <v/>
      </c>
      <c r="P46" s="12">
        <f>IF(OR($F46="",$G46=""),0,IF(AND($F46&lt;=README!$B$4,README!$B$4&lt;=$G46),1,0))</f>
        <v/>
      </c>
      <c r="Q46" s="12">
        <f>IF(OR($F46="",$G46=""),0,IF(AND($F46&lt;=DATE(README!$B$5,12,31),$G46&gt;=DATE(README!$B$5,1,1)),1,0))</f>
        <v/>
      </c>
      <c r="R46" s="10" t="inlineStr">
        <is>
          <t>GUP-VEH0033</t>
        </is>
      </c>
      <c r="S46" s="11" t="n">
        <v>46118</v>
      </c>
      <c r="T46" s="10" t="inlineStr">
        <is>
          <t>814</t>
        </is>
      </c>
      <c r="U46" s="10" t="inlineStr">
        <is>
          <t>VEHICLE</t>
        </is>
      </c>
      <c r="V46" s="10" t="inlineStr">
        <is>
          <t>T</t>
        </is>
      </c>
      <c r="W46" s="10" t="inlineStr">
        <is>
          <t>VIVEK B</t>
        </is>
      </c>
    </row>
    <row r="47">
      <c r="A47" s="10" t="inlineStr">
        <is>
          <t>TN57AE3636</t>
        </is>
      </c>
      <c r="B47" s="10" t="inlineStr">
        <is>
          <t>SOCKS</t>
        </is>
      </c>
      <c r="C47" s="10" t="inlineStr">
        <is>
          <t>ROAD TAX</t>
        </is>
      </c>
      <c r="D47" s="10" t="inlineStr">
        <is>
          <t>ROAD TAX</t>
        </is>
      </c>
      <c r="E47" s="10" t="inlineStr">
        <is>
          <t>QUARTER - II</t>
        </is>
      </c>
      <c r="F47" s="11" t="n">
        <v>46204</v>
      </c>
      <c r="G47" s="11" t="n">
        <v>46295</v>
      </c>
      <c r="H47" s="12">
        <f>IF(OR($F47="",$G47=""),"",$G47-$F47+1)</f>
        <v/>
      </c>
      <c r="I47" s="10">
        <f>IF($F47="","",IF(MONTH($F47)&gt;=4,YEAR($F47)&amp;"-"&amp;TEXT(YEAR($F47)+1-2000,"00"),YEAR($F47)-1&amp;"-"&amp;TEXT(YEAR($F47)-2000,"00")))</f>
        <v/>
      </c>
      <c r="J47" s="13" t="n">
        <v>24856</v>
      </c>
      <c r="K47" s="14">
        <f>IFERROR($L47/$J47,"")</f>
        <v/>
      </c>
      <c r="L47" s="13" t="n">
        <v>24856</v>
      </c>
      <c r="M47" s="13">
        <f>IFERROR($L47/$H47,"")</f>
        <v/>
      </c>
      <c r="N47" s="11" t="n">
        <v>46196</v>
      </c>
      <c r="O47" s="10">
        <f>IF($N47="","No","Yes")</f>
        <v/>
      </c>
      <c r="P47" s="12">
        <f>IF(OR($F47="",$G47=""),0,IF(AND($F47&lt;=README!$B$4,README!$B$4&lt;=$G47),1,0))</f>
        <v/>
      </c>
      <c r="Q47" s="12">
        <f>IF(OR($F47="",$G47=""),0,IF(AND($F47&lt;=DATE(README!$B$5,12,31),$G47&gt;=DATE(README!$B$5,1,1)),1,0))</f>
        <v/>
      </c>
      <c r="R47" s="10" t="inlineStr">
        <is>
          <t>GUP-VEH0030</t>
        </is>
      </c>
      <c r="S47" s="11" t="n">
        <v>46113</v>
      </c>
      <c r="T47" s="10" t="inlineStr">
        <is>
          <t>796</t>
        </is>
      </c>
      <c r="U47" s="10" t="inlineStr">
        <is>
          <t>VEHICLE</t>
        </is>
      </c>
      <c r="V47" s="10" t="inlineStr">
        <is>
          <t>T</t>
        </is>
      </c>
      <c r="W47" s="10" t="inlineStr">
        <is>
          <t>VIVEK B</t>
        </is>
      </c>
    </row>
    <row r="48">
      <c r="A48" s="10" t="inlineStr">
        <is>
          <t>TN57AE9806</t>
        </is>
      </c>
      <c r="B48" s="10" t="inlineStr">
        <is>
          <t>SOCKS</t>
        </is>
      </c>
      <c r="C48" s="10" t="inlineStr">
        <is>
          <t>FC WORK</t>
        </is>
      </c>
      <c r="D48" s="10" t="inlineStr">
        <is>
          <t>FC WORK</t>
        </is>
      </c>
      <c r="E48" s="10" t="inlineStr">
        <is>
          <t>YEARLY</t>
        </is>
      </c>
      <c r="F48" s="11" t="n">
        <v>45383</v>
      </c>
      <c r="G48" s="11" t="n">
        <v>45747</v>
      </c>
      <c r="H48" s="12">
        <f>IF(OR($F48="",$G48=""),"",$G48-$F48+1)</f>
        <v/>
      </c>
      <c r="I48" s="10">
        <f>IF($F48="","",IF(MONTH($F48)&gt;=4,YEAR($F48)&amp;"-"&amp;TEXT(YEAR($F48)+1-2000,"00"),YEAR($F48)-1&amp;"-"&amp;TEXT(YEAR($F48)-2000,"00")))</f>
        <v/>
      </c>
      <c r="J48" s="13" t="n">
        <v>15000</v>
      </c>
      <c r="K48" s="14">
        <f>IFERROR($L48/$J48,"")</f>
        <v/>
      </c>
      <c r="L48" s="13" t="n">
        <v>15000</v>
      </c>
      <c r="M48" s="13">
        <f>IFERROR($L48/$H48,"")</f>
        <v/>
      </c>
      <c r="N48" s="11" t="n">
        <v>45723</v>
      </c>
      <c r="O48" s="10">
        <f>IF($N48="","No","Yes")</f>
        <v/>
      </c>
      <c r="P48" s="12">
        <f>IF(OR($F48="",$G48=""),0,IF(AND($F48&lt;=README!$B$4,README!$B$4&lt;=$G48),1,0))</f>
        <v/>
      </c>
      <c r="Q48" s="12">
        <f>IF(OR($F48="",$G48=""),0,IF(AND($F48&lt;=DATE(README!$B$5,12,31),$G48&gt;=DATE(README!$B$5,1,1)),1,0))</f>
        <v/>
      </c>
      <c r="R48" s="10" t="inlineStr">
        <is>
          <t>GUP-VEH0009</t>
        </is>
      </c>
      <c r="S48" s="11" t="n">
        <v>45475</v>
      </c>
      <c r="T48" s="10" t="inlineStr">
        <is>
          <t>546</t>
        </is>
      </c>
      <c r="U48" s="10" t="inlineStr">
        <is>
          <t>VEHICLE</t>
        </is>
      </c>
      <c r="V48" s="10" t="inlineStr">
        <is>
          <t>T</t>
        </is>
      </c>
      <c r="W48" s="10" t="inlineStr">
        <is>
          <t>VIVEK B</t>
        </is>
      </c>
    </row>
    <row r="49">
      <c r="A49" s="10" t="inlineStr">
        <is>
          <t>TN57AE9806</t>
        </is>
      </c>
      <c r="B49" s="10" t="inlineStr">
        <is>
          <t>SOCKS</t>
        </is>
      </c>
      <c r="C49" s="10" t="inlineStr">
        <is>
          <t>RTO EXPENSE</t>
        </is>
      </c>
      <c r="D49" s="10" t="inlineStr">
        <is>
          <t>RTO EXPENSE</t>
        </is>
      </c>
      <c r="E49" s="10" t="inlineStr">
        <is>
          <t>YEARLY</t>
        </is>
      </c>
      <c r="F49" s="11" t="n">
        <v>45383</v>
      </c>
      <c r="G49" s="11" t="n">
        <v>45747</v>
      </c>
      <c r="H49" s="12">
        <f>IF(OR($F49="",$G49=""),"",$G49-$F49+1)</f>
        <v/>
      </c>
      <c r="I49" s="10">
        <f>IF($F49="","",IF(MONTH($F49)&gt;=4,YEAR($F49)&amp;"-"&amp;TEXT(YEAR($F49)+1-2000,"00"),YEAR($F49)-1&amp;"-"&amp;TEXT(YEAR($F49)-2000,"00")))</f>
        <v/>
      </c>
      <c r="J49" s="13" t="n">
        <v>4500</v>
      </c>
      <c r="K49" s="14">
        <f>IFERROR($L49/$J49,"")</f>
        <v/>
      </c>
      <c r="L49" s="13" t="n">
        <v>4500</v>
      </c>
      <c r="M49" s="13">
        <f>IFERROR($L49/$H49,"")</f>
        <v/>
      </c>
      <c r="N49" s="11" t="n">
        <v>45573</v>
      </c>
      <c r="O49" s="10">
        <f>IF($N49="","No","Yes")</f>
        <v/>
      </c>
      <c r="P49" s="12">
        <f>IF(OR($F49="",$G49=""),0,IF(AND($F49&lt;=README!$B$4,README!$B$4&lt;=$G49),1,0))</f>
        <v/>
      </c>
      <c r="Q49" s="12">
        <f>IF(OR($F49="",$G49=""),0,IF(AND($F49&lt;=DATE(README!$B$5,12,31),$G49&gt;=DATE(README!$B$5,1,1)),1,0))</f>
        <v/>
      </c>
      <c r="R49" s="10" t="inlineStr">
        <is>
          <t>GUP-VEH0010</t>
        </is>
      </c>
      <c r="S49" s="11" t="n">
        <v>45475</v>
      </c>
      <c r="T49" s="10" t="inlineStr">
        <is>
          <t>547</t>
        </is>
      </c>
      <c r="U49" s="10" t="inlineStr">
        <is>
          <t>VEHICLE</t>
        </is>
      </c>
      <c r="V49" s="10" t="inlineStr">
        <is>
          <t>T</t>
        </is>
      </c>
      <c r="W49" s="10" t="inlineStr">
        <is>
          <t>VIVEK B</t>
        </is>
      </c>
    </row>
    <row r="50">
      <c r="A50" s="10" t="inlineStr">
        <is>
          <t>TN57AE9806</t>
        </is>
      </c>
      <c r="B50" s="10" t="inlineStr">
        <is>
          <t>SOCKS</t>
        </is>
      </c>
      <c r="C50" s="10" t="inlineStr">
        <is>
          <t>TYRE</t>
        </is>
      </c>
      <c r="D50" s="10" t="inlineStr">
        <is>
          <t>TYRE</t>
        </is>
      </c>
      <c r="E50" s="10" t="inlineStr">
        <is>
          <t>YEARLY</t>
        </is>
      </c>
      <c r="F50" s="11" t="n">
        <v>45383</v>
      </c>
      <c r="G50" s="11" t="n">
        <v>45747</v>
      </c>
      <c r="H50" s="12">
        <f>IF(OR($F50="",$G50=""),"",$G50-$F50+1)</f>
        <v/>
      </c>
      <c r="I50" s="10">
        <f>IF($F50="","",IF(MONTH($F50)&gt;=4,YEAR($F50)&amp;"-"&amp;TEXT(YEAR($F50)+1-2000,"00"),YEAR($F50)-1&amp;"-"&amp;TEXT(YEAR($F50)-2000,"00")))</f>
        <v/>
      </c>
      <c r="J50" s="13" t="n">
        <v>5000</v>
      </c>
      <c r="K50" s="14">
        <f>IFERROR($L50/$J50,"")</f>
        <v/>
      </c>
      <c r="L50" s="13" t="n">
        <v>5000</v>
      </c>
      <c r="M50" s="13">
        <f>IFERROR($L50/$H50,"")</f>
        <v/>
      </c>
      <c r="N50" s="11" t="n">
        <v>45554</v>
      </c>
      <c r="O50" s="10">
        <f>IF($N50="","No","Yes")</f>
        <v/>
      </c>
      <c r="P50" s="12">
        <f>IF(OR($F50="",$G50=""),0,IF(AND($F50&lt;=README!$B$4,README!$B$4&lt;=$G50),1,0))</f>
        <v/>
      </c>
      <c r="Q50" s="12">
        <f>IF(OR($F50="",$G50=""),0,IF(AND($F50&lt;=DATE(README!$B$5,12,31),$G50&gt;=DATE(README!$B$5,1,1)),1,0))</f>
        <v/>
      </c>
      <c r="R50" s="10" t="inlineStr">
        <is>
          <t>GUP-VEH0006</t>
        </is>
      </c>
      <c r="S50" s="11" t="n">
        <v>45442</v>
      </c>
      <c r="T50" s="10" t="inlineStr">
        <is>
          <t>522</t>
        </is>
      </c>
      <c r="U50" s="10" t="inlineStr">
        <is>
          <t>VEHICLE</t>
        </is>
      </c>
      <c r="V50" s="10" t="inlineStr">
        <is>
          <t>T</t>
        </is>
      </c>
      <c r="W50" s="10" t="inlineStr">
        <is>
          <t>VIVEK B</t>
        </is>
      </c>
    </row>
    <row r="51">
      <c r="A51" s="10" t="inlineStr">
        <is>
          <t>TN57AE9806</t>
        </is>
      </c>
      <c r="B51" s="10" t="inlineStr">
        <is>
          <t>SOCKS</t>
        </is>
      </c>
      <c r="C51" s="10" t="inlineStr">
        <is>
          <t>VEHICLE INSURANCE</t>
        </is>
      </c>
      <c r="D51" s="10" t="inlineStr">
        <is>
          <t>VEHICLE INSURANCE</t>
        </is>
      </c>
      <c r="E51" s="10" t="inlineStr">
        <is>
          <t>YEARLY</t>
        </is>
      </c>
      <c r="F51" s="11" t="n">
        <v>45383</v>
      </c>
      <c r="G51" s="11" t="n">
        <v>45747</v>
      </c>
      <c r="H51" s="12">
        <f>IF(OR($F51="",$G51=""),"",$G51-$F51+1)</f>
        <v/>
      </c>
      <c r="I51" s="10">
        <f>IF($F51="","",IF(MONTH($F51)&gt;=4,YEAR($F51)&amp;"-"&amp;TEXT(YEAR($F51)+1-2000,"00"),YEAR($F51)-1&amp;"-"&amp;TEXT(YEAR($F51)-2000,"00")))</f>
        <v/>
      </c>
      <c r="J51" s="13" t="n">
        <v>18216</v>
      </c>
      <c r="K51" s="14">
        <f>IFERROR($L51/$J51,"")</f>
        <v/>
      </c>
      <c r="L51" s="13" t="n">
        <v>18216</v>
      </c>
      <c r="M51" s="13">
        <f>IFERROR($L51/$H51,"")</f>
        <v/>
      </c>
      <c r="N51" s="11" t="n">
        <v>45510</v>
      </c>
      <c r="O51" s="10">
        <f>IF($N51="","No","Yes")</f>
        <v/>
      </c>
      <c r="P51" s="12">
        <f>IF(OR($F51="",$G51=""),0,IF(AND($F51&lt;=README!$B$4,README!$B$4&lt;=$G51),1,0))</f>
        <v/>
      </c>
      <c r="Q51" s="12">
        <f>IF(OR($F51="",$G51=""),0,IF(AND($F51&lt;=DATE(README!$B$5,12,31),$G51&gt;=DATE(README!$B$5,1,1)),1,0))</f>
        <v/>
      </c>
      <c r="R51" s="10" t="inlineStr">
        <is>
          <t>GUP-VEH0013</t>
        </is>
      </c>
      <c r="S51" s="11" t="n">
        <v>45478</v>
      </c>
      <c r="T51" s="10" t="inlineStr">
        <is>
          <t>550</t>
        </is>
      </c>
      <c r="U51" s="10" t="inlineStr">
        <is>
          <t>VEHICLE</t>
        </is>
      </c>
      <c r="V51" s="10" t="inlineStr">
        <is>
          <t>T</t>
        </is>
      </c>
      <c r="W51" s="10" t="inlineStr">
        <is>
          <t>VIVEK B</t>
        </is>
      </c>
    </row>
    <row r="52">
      <c r="A52" s="10" t="inlineStr">
        <is>
          <t>TN57AE9806</t>
        </is>
      </c>
      <c r="B52" s="10" t="inlineStr">
        <is>
          <t>SOCKS</t>
        </is>
      </c>
      <c r="C52" s="10" t="inlineStr">
        <is>
          <t>VEHICLE OUTSIDE SERVICES</t>
        </is>
      </c>
      <c r="D52" s="10" t="inlineStr">
        <is>
          <t xml:space="preserve">MAINTENANCE SERVICE </t>
        </is>
      </c>
      <c r="E52" s="10" t="inlineStr">
        <is>
          <t>YEARLY</t>
        </is>
      </c>
      <c r="F52" s="11" t="n">
        <v>45383</v>
      </c>
      <c r="G52" s="11" t="n">
        <v>45747</v>
      </c>
      <c r="H52" s="12">
        <f>IF(OR($F52="",$G52=""),"",$G52-$F52+1)</f>
        <v/>
      </c>
      <c r="I52" s="10">
        <f>IF($F52="","",IF(MONTH($F52)&gt;=4,YEAR($F52)&amp;"-"&amp;TEXT(YEAR($F52)+1-2000,"00"),YEAR($F52)-1&amp;"-"&amp;TEXT(YEAR($F52)-2000,"00")))</f>
        <v/>
      </c>
      <c r="J52" s="13" t="n">
        <v>6220</v>
      </c>
      <c r="K52" s="14">
        <f>IFERROR($L52/$J52,"")</f>
        <v/>
      </c>
      <c r="L52" s="13" t="n">
        <v>6220</v>
      </c>
      <c r="M52" s="13">
        <f>IFERROR($L52/$H52,"")</f>
        <v/>
      </c>
      <c r="N52" s="11" t="n">
        <v>45749</v>
      </c>
      <c r="O52" s="10">
        <f>IF($N52="","No","Yes")</f>
        <v/>
      </c>
      <c r="P52" s="12">
        <f>IF(OR($F52="",$G52=""),0,IF(AND($F52&lt;=README!$B$4,README!$B$4&lt;=$G52),1,0))</f>
        <v/>
      </c>
      <c r="Q52" s="12">
        <f>IF(OR($F52="",$G52=""),0,IF(AND($F52&lt;=DATE(README!$B$5,12,31),$G52&gt;=DATE(README!$B$5,1,1)),1,0))</f>
        <v/>
      </c>
      <c r="R52" s="10" t="inlineStr">
        <is>
          <t>GUP-VEH0012</t>
        </is>
      </c>
      <c r="S52" s="11" t="n">
        <v>45477</v>
      </c>
      <c r="T52" s="10" t="inlineStr">
        <is>
          <t>549</t>
        </is>
      </c>
      <c r="U52" s="10" t="inlineStr">
        <is>
          <t>VEHICLE</t>
        </is>
      </c>
      <c r="V52" s="10" t="inlineStr">
        <is>
          <t>T</t>
        </is>
      </c>
      <c r="W52" s="10" t="inlineStr">
        <is>
          <t>VIVEK B</t>
        </is>
      </c>
    </row>
    <row r="53">
      <c r="A53" s="10" t="inlineStr">
        <is>
          <t>TN57AE9806</t>
        </is>
      </c>
      <c r="B53" s="10" t="inlineStr">
        <is>
          <t>SOCKS</t>
        </is>
      </c>
      <c r="C53" s="10" t="inlineStr">
        <is>
          <t>FC WORK</t>
        </is>
      </c>
      <c r="D53" s="10" t="inlineStr">
        <is>
          <t>FC WORK</t>
        </is>
      </c>
      <c r="E53" s="10" t="inlineStr">
        <is>
          <t>YEARLY</t>
        </is>
      </c>
      <c r="F53" s="11" t="n">
        <v>45748</v>
      </c>
      <c r="G53" s="11" t="n">
        <v>46112</v>
      </c>
      <c r="H53" s="12">
        <f>IF(OR($F53="",$G53=""),"",$G53-$F53+1)</f>
        <v/>
      </c>
      <c r="I53" s="10">
        <f>IF($F53="","",IF(MONTH($F53)&gt;=4,YEAR($F53)&amp;"-"&amp;TEXT(YEAR($F53)+1-2000,"00"),YEAR($F53)-1&amp;"-"&amp;TEXT(YEAR($F53)-2000,"00")))</f>
        <v/>
      </c>
      <c r="J53" s="13" t="n">
        <v>17650</v>
      </c>
      <c r="K53" s="14">
        <f>IFERROR($L53/$J53,"")</f>
        <v/>
      </c>
      <c r="L53" s="13" t="n">
        <v>17650</v>
      </c>
      <c r="M53" s="13">
        <f>IFERROR($L53/$H53,"")</f>
        <v/>
      </c>
      <c r="N53" s="11" t="n">
        <v>45990</v>
      </c>
      <c r="O53" s="10">
        <f>IF($N53="","No","Yes")</f>
        <v/>
      </c>
      <c r="P53" s="12">
        <f>IF(OR($F53="",$G53=""),0,IF(AND($F53&lt;=README!$B$4,README!$B$4&lt;=$G53),1,0))</f>
        <v/>
      </c>
      <c r="Q53" s="12">
        <f>IF(OR($F53="",$G53=""),0,IF(AND($F53&lt;=DATE(README!$B$5,12,31),$G53&gt;=DATE(README!$B$5,1,1)),1,0))</f>
        <v/>
      </c>
      <c r="R53" s="10" t="inlineStr">
        <is>
          <t>GUP-VEH0021</t>
        </is>
      </c>
      <c r="S53" s="11" t="n">
        <v>45832</v>
      </c>
      <c r="T53" s="10" t="inlineStr">
        <is>
          <t>654</t>
        </is>
      </c>
      <c r="U53" s="10" t="inlineStr">
        <is>
          <t>VEHICLE</t>
        </is>
      </c>
      <c r="V53" s="10" t="inlineStr">
        <is>
          <t>T</t>
        </is>
      </c>
      <c r="W53" s="10" t="inlineStr">
        <is>
          <t>VIVEK B</t>
        </is>
      </c>
    </row>
    <row r="54">
      <c r="A54" s="10" t="inlineStr">
        <is>
          <t>TN57AE9806</t>
        </is>
      </c>
      <c r="B54" s="10" t="inlineStr">
        <is>
          <t>SOCKS</t>
        </is>
      </c>
      <c r="C54" s="10" t="inlineStr">
        <is>
          <t>RTO EXPENSE</t>
        </is>
      </c>
      <c r="D54" s="10" t="inlineStr">
        <is>
          <t>RTO EXPENSE</t>
        </is>
      </c>
      <c r="E54" s="10" t="inlineStr">
        <is>
          <t>YEARLY</t>
        </is>
      </c>
      <c r="F54" s="11" t="n">
        <v>45748</v>
      </c>
      <c r="G54" s="11" t="n">
        <v>46112</v>
      </c>
      <c r="H54" s="12">
        <f>IF(OR($F54="",$G54=""),"",$G54-$F54+1)</f>
        <v/>
      </c>
      <c r="I54" s="10">
        <f>IF($F54="","",IF(MONTH($F54)&gt;=4,YEAR($F54)&amp;"-"&amp;TEXT(YEAR($F54)+1-2000,"00"),YEAR($F54)-1&amp;"-"&amp;TEXT(YEAR($F54)-2000,"00")))</f>
        <v/>
      </c>
      <c r="J54" s="13" t="n">
        <v>4500</v>
      </c>
      <c r="K54" s="14">
        <f>IFERROR($L54/$J54,"")</f>
        <v/>
      </c>
      <c r="L54" s="13" t="n">
        <v>4500</v>
      </c>
      <c r="M54" s="13">
        <f>IFERROR($L54/$H54,"")</f>
        <v/>
      </c>
      <c r="N54" s="11" t="n">
        <v>45990</v>
      </c>
      <c r="O54" s="10">
        <f>IF($N54="","No","Yes")</f>
        <v/>
      </c>
      <c r="P54" s="12">
        <f>IF(OR($F54="",$G54=""),0,IF(AND($F54&lt;=README!$B$4,README!$B$4&lt;=$G54),1,0))</f>
        <v/>
      </c>
      <c r="Q54" s="12">
        <f>IF(OR($F54="",$G54=""),0,IF(AND($F54&lt;=DATE(README!$B$5,12,31),$G54&gt;=DATE(README!$B$5,1,1)),1,0))</f>
        <v/>
      </c>
      <c r="R54" s="10" t="inlineStr">
        <is>
          <t>GUP-VEH0022</t>
        </is>
      </c>
      <c r="S54" s="11" t="n">
        <v>45834</v>
      </c>
      <c r="T54" s="10" t="inlineStr">
        <is>
          <t>655</t>
        </is>
      </c>
      <c r="U54" s="10" t="inlineStr">
        <is>
          <t>VEHICLE</t>
        </is>
      </c>
      <c r="V54" s="10" t="inlineStr">
        <is>
          <t>T</t>
        </is>
      </c>
      <c r="W54" s="10" t="inlineStr">
        <is>
          <t>VIVEK B</t>
        </is>
      </c>
    </row>
    <row r="55">
      <c r="A55" s="10" t="inlineStr">
        <is>
          <t>TN57AE9806</t>
        </is>
      </c>
      <c r="B55" s="10" t="inlineStr">
        <is>
          <t>SOCKS</t>
        </is>
      </c>
      <c r="C55" s="10" t="inlineStr">
        <is>
          <t>VEHICLE INSURANCE</t>
        </is>
      </c>
      <c r="D55" s="10" t="inlineStr">
        <is>
          <t>VEHICLE INSURANCE</t>
        </is>
      </c>
      <c r="E55" s="10" t="inlineStr">
        <is>
          <t>YEARLY</t>
        </is>
      </c>
      <c r="F55" s="11" t="n">
        <v>45748</v>
      </c>
      <c r="G55" s="11" t="n">
        <v>46112</v>
      </c>
      <c r="H55" s="12">
        <f>IF(OR($F55="",$G55=""),"",$G55-$F55+1)</f>
        <v/>
      </c>
      <c r="I55" s="10">
        <f>IF($F55="","",IF(MONTH($F55)&gt;=4,YEAR($F55)&amp;"-"&amp;TEXT(YEAR($F55)+1-2000,"00"),YEAR($F55)-1&amp;"-"&amp;TEXT(YEAR($F55)-2000,"00")))</f>
        <v/>
      </c>
      <c r="J55" s="13" t="n">
        <v>18216</v>
      </c>
      <c r="K55" s="14">
        <f>IFERROR($L55/$J55,"")</f>
        <v/>
      </c>
      <c r="L55" s="13" t="n">
        <v>18216</v>
      </c>
      <c r="M55" s="13">
        <f>IFERROR($L55/$H55,"")</f>
        <v/>
      </c>
      <c r="N55" s="11" t="n">
        <v>45881</v>
      </c>
      <c r="O55" s="10">
        <f>IF($N55="","No","Yes")</f>
        <v/>
      </c>
      <c r="P55" s="12">
        <f>IF(OR($F55="",$G55=""),0,IF(AND($F55&lt;=README!$B$4,README!$B$4&lt;=$G55),1,0))</f>
        <v/>
      </c>
      <c r="Q55" s="12">
        <f>IF(OR($F55="",$G55=""),0,IF(AND($F55&lt;=DATE(README!$B$5,12,31),$G55&gt;=DATE(README!$B$5,1,1)),1,0))</f>
        <v/>
      </c>
      <c r="R55" s="10" t="inlineStr">
        <is>
          <t>GUP-VEH0020</t>
        </is>
      </c>
      <c r="S55" s="11" t="n">
        <v>45799</v>
      </c>
      <c r="T55" s="10" t="inlineStr">
        <is>
          <t>645</t>
        </is>
      </c>
      <c r="U55" s="10" t="inlineStr">
        <is>
          <t>VEHICLE</t>
        </is>
      </c>
      <c r="V55" s="10" t="inlineStr">
        <is>
          <t>T</t>
        </is>
      </c>
      <c r="W55" s="10" t="inlineStr">
        <is>
          <t>VIVEK B</t>
        </is>
      </c>
    </row>
    <row r="56">
      <c r="A56" s="10" t="inlineStr">
        <is>
          <t>TN57AE9806</t>
        </is>
      </c>
      <c r="B56" s="10" t="inlineStr">
        <is>
          <t>GENERAL</t>
        </is>
      </c>
      <c r="C56" s="10" t="inlineStr">
        <is>
          <t>VEHICLE OUTSIDE SERVICES</t>
        </is>
      </c>
      <c r="D56" s="10" t="inlineStr">
        <is>
          <t>MAINTENANCE CHARGES</t>
        </is>
      </c>
      <c r="E56" s="10" t="inlineStr">
        <is>
          <t>DECEMBER</t>
        </is>
      </c>
      <c r="F56" s="11" t="n">
        <v>45992</v>
      </c>
      <c r="G56" s="11" t="n">
        <v>46022</v>
      </c>
      <c r="H56" s="12">
        <f>IF(OR($F56="",$G56=""),"",$G56-$F56+1)</f>
        <v/>
      </c>
      <c r="I56" s="10">
        <f>IF($F56="","",IF(MONTH($F56)&gt;=4,YEAR($F56)&amp;"-"&amp;TEXT(YEAR($F56)+1-2000,"00"),YEAR($F56)-1&amp;"-"&amp;TEXT(YEAR($F56)-2000,"00")))</f>
        <v/>
      </c>
      <c r="J56" s="13" t="n">
        <v>10500</v>
      </c>
      <c r="K56" s="14">
        <f>IFERROR($L56/$J56,"")</f>
        <v/>
      </c>
      <c r="L56" s="13" t="n">
        <v>10500</v>
      </c>
      <c r="M56" s="13">
        <f>IFERROR($L56/$H56,"")</f>
        <v/>
      </c>
      <c r="N56" s="11" t="n">
        <v>45997</v>
      </c>
      <c r="O56" s="10">
        <f>IF($N56="","No","Yes")</f>
        <v/>
      </c>
      <c r="P56" s="12">
        <f>IF(OR($F56="",$G56=""),0,IF(AND($F56&lt;=README!$B$4,README!$B$4&lt;=$G56),1,0))</f>
        <v/>
      </c>
      <c r="Q56" s="12">
        <f>IF(OR($F56="",$G56=""),0,IF(AND($F56&lt;=DATE(README!$B$5,12,31),$G56&gt;=DATE(README!$B$5,1,1)),1,0))</f>
        <v/>
      </c>
      <c r="R56" s="10" t="inlineStr">
        <is>
          <t>GUP-VEH0019</t>
        </is>
      </c>
      <c r="S56" s="11" t="n">
        <v>45777</v>
      </c>
      <c r="T56" s="10" t="inlineStr">
        <is>
          <t>638</t>
        </is>
      </c>
      <c r="U56" s="10" t="inlineStr">
        <is>
          <t>VEHICLE</t>
        </is>
      </c>
      <c r="V56" s="10" t="inlineStr">
        <is>
          <t>T</t>
        </is>
      </c>
      <c r="W56" s="10" t="inlineStr">
        <is>
          <t>VIVEK B</t>
        </is>
      </c>
    </row>
    <row r="57">
      <c r="A57" s="10" t="inlineStr">
        <is>
          <t>TN57AF3636</t>
        </is>
      </c>
      <c r="B57" s="10" t="inlineStr">
        <is>
          <t>SOCKS</t>
        </is>
      </c>
      <c r="C57" s="10" t="inlineStr">
        <is>
          <t>FC WORK</t>
        </is>
      </c>
      <c r="D57" s="10" t="inlineStr">
        <is>
          <t>FC WORK</t>
        </is>
      </c>
      <c r="E57" s="10" t="inlineStr">
        <is>
          <t>YEARLY</t>
        </is>
      </c>
      <c r="F57" s="11" t="n">
        <v>45383</v>
      </c>
      <c r="G57" s="11" t="n">
        <v>45747</v>
      </c>
      <c r="H57" s="12">
        <f>IF(OR($F57="",$G57=""),"",$G57-$F57+1)</f>
        <v/>
      </c>
      <c r="I57" s="10">
        <f>IF($F57="","",IF(MONTH($F57)&gt;=4,YEAR($F57)&amp;"-"&amp;TEXT(YEAR($F57)+1-2000,"00"),YEAR($F57)-1&amp;"-"&amp;TEXT(YEAR($F57)-2000,"00")))</f>
        <v/>
      </c>
      <c r="J57" s="13" t="n">
        <v>90610</v>
      </c>
      <c r="K57" s="14">
        <f>IFERROR($L57/$J57,"")</f>
        <v/>
      </c>
      <c r="L57" s="13" t="n">
        <v>90610</v>
      </c>
      <c r="M57" s="13">
        <f>IFERROR($L57/$H57,"")</f>
        <v/>
      </c>
      <c r="N57" s="11" t="n">
        <v>45520</v>
      </c>
      <c r="O57" s="10">
        <f>IF($N57="","No","Yes")</f>
        <v/>
      </c>
      <c r="P57" s="12">
        <f>IF(OR($F57="",$G57=""),0,IF(AND($F57&lt;=README!$B$4,README!$B$4&lt;=$G57),1,0))</f>
        <v/>
      </c>
      <c r="Q57" s="12">
        <f>IF(OR($F57="",$G57=""),0,IF(AND($F57&lt;=DATE(README!$B$5,12,31),$G57&gt;=DATE(README!$B$5,1,1)),1,0))</f>
        <v/>
      </c>
      <c r="R57" s="10" t="inlineStr">
        <is>
          <t>GUP-VEH0009</t>
        </is>
      </c>
      <c r="S57" s="11" t="n">
        <v>45475</v>
      </c>
      <c r="T57" s="10" t="inlineStr">
        <is>
          <t>546</t>
        </is>
      </c>
      <c r="U57" s="10" t="inlineStr">
        <is>
          <t>VEHICLE</t>
        </is>
      </c>
      <c r="V57" s="10" t="inlineStr">
        <is>
          <t>T</t>
        </is>
      </c>
      <c r="W57" s="10" t="inlineStr">
        <is>
          <t>VIVEK B</t>
        </is>
      </c>
    </row>
    <row r="58">
      <c r="A58" s="10" t="inlineStr">
        <is>
          <t>TN57AF3636</t>
        </is>
      </c>
      <c r="B58" s="10" t="inlineStr">
        <is>
          <t>SOCKS</t>
        </is>
      </c>
      <c r="C58" s="10" t="inlineStr">
        <is>
          <t>ROAD TAX</t>
        </is>
      </c>
      <c r="D58" s="10" t="inlineStr">
        <is>
          <t>ROAD TAX</t>
        </is>
      </c>
      <c r="E58" s="10" t="inlineStr">
        <is>
          <t>YEARLY</t>
        </is>
      </c>
      <c r="F58" s="11" t="n">
        <v>45383</v>
      </c>
      <c r="G58" s="11" t="n">
        <v>45747</v>
      </c>
      <c r="H58" s="12">
        <f>IF(OR($F58="",$G58=""),"",$G58-$F58+1)</f>
        <v/>
      </c>
      <c r="I58" s="10">
        <f>IF($F58="","",IF(MONTH($F58)&gt;=4,YEAR($F58)&amp;"-"&amp;TEXT(YEAR($F58)+1-2000,"00"),YEAR($F58)-1&amp;"-"&amp;TEXT(YEAR($F58)-2000,"00")))</f>
        <v/>
      </c>
      <c r="J58" s="13" t="n">
        <v>24846</v>
      </c>
      <c r="K58" s="14">
        <f>IFERROR($L58/$J58,"")</f>
        <v/>
      </c>
      <c r="L58" s="13" t="n">
        <v>24846</v>
      </c>
      <c r="M58" s="13">
        <f>IFERROR($L58/$H58,"")</f>
        <v/>
      </c>
      <c r="N58" s="11" t="n">
        <v>45649</v>
      </c>
      <c r="O58" s="10">
        <f>IF($N58="","No","Yes")</f>
        <v/>
      </c>
      <c r="P58" s="12">
        <f>IF(OR($F58="",$G58=""),0,IF(AND($F58&lt;=README!$B$4,README!$B$4&lt;=$G58),1,0))</f>
        <v/>
      </c>
      <c r="Q58" s="12">
        <f>IF(OR($F58="",$G58=""),0,IF(AND($F58&lt;=DATE(README!$B$5,12,31),$G58&gt;=DATE(README!$B$5,1,1)),1,0))</f>
        <v/>
      </c>
      <c r="R58" s="10" t="inlineStr">
        <is>
          <t>GUP-VEH0011</t>
        </is>
      </c>
      <c r="S58" s="11" t="n">
        <v>45477</v>
      </c>
      <c r="T58" s="10" t="inlineStr">
        <is>
          <t>548</t>
        </is>
      </c>
      <c r="U58" s="10" t="inlineStr">
        <is>
          <t>VEHICLE</t>
        </is>
      </c>
      <c r="V58" s="10" t="inlineStr">
        <is>
          <t>T</t>
        </is>
      </c>
      <c r="W58" s="10" t="inlineStr">
        <is>
          <t>VIVEK B</t>
        </is>
      </c>
    </row>
    <row r="59">
      <c r="A59" s="10" t="inlineStr">
        <is>
          <t>TN57AF3636</t>
        </is>
      </c>
      <c r="B59" s="10" t="inlineStr">
        <is>
          <t>SOCKS</t>
        </is>
      </c>
      <c r="C59" s="10" t="inlineStr">
        <is>
          <t>ROAD TAX</t>
        </is>
      </c>
      <c r="D59" s="10" t="inlineStr">
        <is>
          <t>ROAD TAX</t>
        </is>
      </c>
      <c r="E59" s="10" t="inlineStr">
        <is>
          <t>YEARLY</t>
        </is>
      </c>
      <c r="F59" s="11" t="n">
        <v>45383</v>
      </c>
      <c r="G59" s="11" t="n">
        <v>45747</v>
      </c>
      <c r="H59" s="12">
        <f>IF(OR($F59="",$G59=""),"",$G59-$F59+1)</f>
        <v/>
      </c>
      <c r="I59" s="10">
        <f>IF($F59="","",IF(MONTH($F59)&gt;=4,YEAR($F59)&amp;"-"&amp;TEXT(YEAR($F59)+1-2000,"00"),YEAR($F59)-1&amp;"-"&amp;TEXT(YEAR($F59)-2000,"00")))</f>
        <v/>
      </c>
      <c r="J59" s="13" t="n">
        <v>24846</v>
      </c>
      <c r="K59" s="14">
        <f>IFERROR($L59/$J59,"")</f>
        <v/>
      </c>
      <c r="L59" s="13" t="n">
        <v>24846</v>
      </c>
      <c r="M59" s="13">
        <f>IFERROR($L59/$H59,"")</f>
        <v/>
      </c>
      <c r="N59" s="11" t="n">
        <v>45569</v>
      </c>
      <c r="O59" s="10">
        <f>IF($N59="","No","Yes")</f>
        <v/>
      </c>
      <c r="P59" s="12">
        <f>IF(OR($F59="",$G59=""),0,IF(AND($F59&lt;=README!$B$4,README!$B$4&lt;=$G59),1,0))</f>
        <v/>
      </c>
      <c r="Q59" s="12">
        <f>IF(OR($F59="",$G59=""),0,IF(AND($F59&lt;=DATE(README!$B$5,12,31),$G59&gt;=DATE(README!$B$5,1,1)),1,0))</f>
        <v/>
      </c>
      <c r="R59" s="10" t="inlineStr">
        <is>
          <t>GUP-VEH0011</t>
        </is>
      </c>
      <c r="S59" s="11" t="n">
        <v>45477</v>
      </c>
      <c r="T59" s="10" t="inlineStr">
        <is>
          <t>548</t>
        </is>
      </c>
      <c r="U59" s="10" t="inlineStr">
        <is>
          <t>VEHICLE</t>
        </is>
      </c>
      <c r="V59" s="10" t="inlineStr">
        <is>
          <t>T</t>
        </is>
      </c>
      <c r="W59" s="10" t="inlineStr">
        <is>
          <t>VIVEK B</t>
        </is>
      </c>
    </row>
    <row r="60">
      <c r="A60" s="10" t="inlineStr">
        <is>
          <t>TN57AF3636</t>
        </is>
      </c>
      <c r="B60" s="10" t="inlineStr">
        <is>
          <t>SOCKS</t>
        </is>
      </c>
      <c r="C60" s="10" t="inlineStr">
        <is>
          <t>ROAD TAX</t>
        </is>
      </c>
      <c r="D60" s="10" t="inlineStr">
        <is>
          <t>GREEN TAX</t>
        </is>
      </c>
      <c r="E60" s="10" t="inlineStr">
        <is>
          <t>YEARLY</t>
        </is>
      </c>
      <c r="F60" s="11" t="n">
        <v>45383</v>
      </c>
      <c r="G60" s="11" t="n">
        <v>45747</v>
      </c>
      <c r="H60" s="12">
        <f>IF(OR($F60="",$G60=""),"",$G60-$F60+1)</f>
        <v/>
      </c>
      <c r="I60" s="10">
        <f>IF($F60="","",IF(MONTH($F60)&gt;=4,YEAR($F60)&amp;"-"&amp;TEXT(YEAR($F60)+1-2000,"00"),YEAR($F60)-1&amp;"-"&amp;TEXT(YEAR($F60)-2000,"00")))</f>
        <v/>
      </c>
      <c r="J60" s="13" t="n">
        <v>190</v>
      </c>
      <c r="K60" s="14">
        <f>IFERROR($L60/$J60,"")</f>
        <v/>
      </c>
      <c r="L60" s="13" t="n">
        <v>190</v>
      </c>
      <c r="M60" s="13">
        <f>IFERROR($L60/$H60,"")</f>
        <v/>
      </c>
      <c r="N60" s="11" t="n">
        <v>45481</v>
      </c>
      <c r="O60" s="10">
        <f>IF($N60="","No","Yes")</f>
        <v/>
      </c>
      <c r="P60" s="12">
        <f>IF(OR($F60="",$G60=""),0,IF(AND($F60&lt;=README!$B$4,README!$B$4&lt;=$G60),1,0))</f>
        <v/>
      </c>
      <c r="Q60" s="12">
        <f>IF(OR($F60="",$G60=""),0,IF(AND($F60&lt;=DATE(README!$B$5,12,31),$G60&gt;=DATE(README!$B$5,1,1)),1,0))</f>
        <v/>
      </c>
      <c r="R60" s="10" t="inlineStr">
        <is>
          <t>GUP-VEH0011</t>
        </is>
      </c>
      <c r="S60" s="11" t="n">
        <v>45477</v>
      </c>
      <c r="T60" s="10" t="inlineStr">
        <is>
          <t>548</t>
        </is>
      </c>
      <c r="U60" s="10" t="inlineStr">
        <is>
          <t>VEHICLE</t>
        </is>
      </c>
      <c r="V60" s="10" t="inlineStr">
        <is>
          <t>T</t>
        </is>
      </c>
      <c r="W60" s="10" t="inlineStr">
        <is>
          <t>VIVEK B</t>
        </is>
      </c>
    </row>
    <row r="61">
      <c r="A61" s="10" t="inlineStr">
        <is>
          <t>TN57AF3636</t>
        </is>
      </c>
      <c r="B61" s="10" t="inlineStr">
        <is>
          <t>SOCKS</t>
        </is>
      </c>
      <c r="C61" s="10" t="inlineStr">
        <is>
          <t>ROAD TAX</t>
        </is>
      </c>
      <c r="D61" s="10" t="inlineStr">
        <is>
          <t>ROAD TAX</t>
        </is>
      </c>
      <c r="E61" s="10" t="inlineStr">
        <is>
          <t>YEARLY</t>
        </is>
      </c>
      <c r="F61" s="11" t="n">
        <v>45383</v>
      </c>
      <c r="G61" s="11" t="n">
        <v>45747</v>
      </c>
      <c r="H61" s="12">
        <f>IF(OR($F61="",$G61=""),"",$G61-$F61+1)</f>
        <v/>
      </c>
      <c r="I61" s="10">
        <f>IF($F61="","",IF(MONTH($F61)&gt;=4,YEAR($F61)&amp;"-"&amp;TEXT(YEAR($F61)+1-2000,"00"),YEAR($F61)-1&amp;"-"&amp;TEXT(YEAR($F61)-2000,"00")))</f>
        <v/>
      </c>
      <c r="J61" s="13" t="n">
        <v>24846</v>
      </c>
      <c r="K61" s="14">
        <f>IFERROR($L61/$J61,"")</f>
        <v/>
      </c>
      <c r="L61" s="13" t="n">
        <v>24846</v>
      </c>
      <c r="M61" s="13">
        <f>IFERROR($L61/$H61,"")</f>
        <v/>
      </c>
      <c r="N61" s="11" t="n">
        <v>45481</v>
      </c>
      <c r="O61" s="10">
        <f>IF($N61="","No","Yes")</f>
        <v/>
      </c>
      <c r="P61" s="12">
        <f>IF(OR($F61="",$G61=""),0,IF(AND($F61&lt;=README!$B$4,README!$B$4&lt;=$G61),1,0))</f>
        <v/>
      </c>
      <c r="Q61" s="12">
        <f>IF(OR($F61="",$G61=""),0,IF(AND($F61&lt;=DATE(README!$B$5,12,31),$G61&gt;=DATE(README!$B$5,1,1)),1,0))</f>
        <v/>
      </c>
      <c r="R61" s="10" t="inlineStr">
        <is>
          <t>GUP-VEH0011</t>
        </is>
      </c>
      <c r="S61" s="11" t="n">
        <v>45477</v>
      </c>
      <c r="T61" s="10" t="inlineStr">
        <is>
          <t>548</t>
        </is>
      </c>
      <c r="U61" s="10" t="inlineStr">
        <is>
          <t>VEHICLE</t>
        </is>
      </c>
      <c r="V61" s="10" t="inlineStr">
        <is>
          <t>T</t>
        </is>
      </c>
      <c r="W61" s="10" t="inlineStr">
        <is>
          <t>VIVEK B</t>
        </is>
      </c>
    </row>
    <row r="62">
      <c r="A62" s="10" t="inlineStr">
        <is>
          <t>TN57AF3636</t>
        </is>
      </c>
      <c r="B62" s="10" t="inlineStr">
        <is>
          <t>SOCKS</t>
        </is>
      </c>
      <c r="C62" s="10" t="inlineStr">
        <is>
          <t>TYRE</t>
        </is>
      </c>
      <c r="D62" s="10" t="inlineStr">
        <is>
          <t>TYRE</t>
        </is>
      </c>
      <c r="E62" s="10" t="inlineStr">
        <is>
          <t>YEARLY</t>
        </is>
      </c>
      <c r="F62" s="11" t="n">
        <v>45383</v>
      </c>
      <c r="G62" s="11" t="n">
        <v>45747</v>
      </c>
      <c r="H62" s="12">
        <f>IF(OR($F62="",$G62=""),"",$G62-$F62+1)</f>
        <v/>
      </c>
      <c r="I62" s="10">
        <f>IF($F62="","",IF(MONTH($F62)&gt;=4,YEAR($F62)&amp;"-"&amp;TEXT(YEAR($F62)+1-2000,"00"),YEAR($F62)-1&amp;"-"&amp;TEXT(YEAR($F62)-2000,"00")))</f>
        <v/>
      </c>
      <c r="J62" s="13" t="n">
        <v>19200</v>
      </c>
      <c r="K62" s="14">
        <f>IFERROR($L62/$J62,"")</f>
        <v/>
      </c>
      <c r="L62" s="13" t="n">
        <v>0</v>
      </c>
      <c r="M62" s="13">
        <f>IFERROR($L62/$H62,"")</f>
        <v/>
      </c>
      <c r="N62" s="11" t="n"/>
      <c r="O62" s="10">
        <f>IF($N62="","No","Yes")</f>
        <v/>
      </c>
      <c r="P62" s="12">
        <f>IF(OR($F62="",$G62=""),0,IF(AND($F62&lt;=README!$B$4,README!$B$4&lt;=$G62),1,0))</f>
        <v/>
      </c>
      <c r="Q62" s="12">
        <f>IF(OR($F62="",$G62=""),0,IF(AND($F62&lt;=DATE(README!$B$5,12,31),$G62&gt;=DATE(README!$B$5,1,1)),1,0))</f>
        <v/>
      </c>
      <c r="R62" s="10" t="inlineStr">
        <is>
          <t>GUP-VEH0006</t>
        </is>
      </c>
      <c r="S62" s="11" t="n">
        <v>45442</v>
      </c>
      <c r="T62" s="10" t="inlineStr">
        <is>
          <t>522</t>
        </is>
      </c>
      <c r="U62" s="10" t="inlineStr">
        <is>
          <t>VEHICLE</t>
        </is>
      </c>
      <c r="V62" s="10" t="inlineStr">
        <is>
          <t>T</t>
        </is>
      </c>
      <c r="W62" s="10" t="inlineStr">
        <is>
          <t>VIVEK B</t>
        </is>
      </c>
    </row>
    <row r="63">
      <c r="A63" s="10" t="inlineStr">
        <is>
          <t>TN57AF3636</t>
        </is>
      </c>
      <c r="B63" s="10" t="inlineStr">
        <is>
          <t>SOCKS</t>
        </is>
      </c>
      <c r="C63" s="10" t="inlineStr">
        <is>
          <t>VEHICLE INSURANCE</t>
        </is>
      </c>
      <c r="D63" s="10" t="inlineStr">
        <is>
          <t>VEHICLE INSURANCE</t>
        </is>
      </c>
      <c r="E63" s="10" t="inlineStr">
        <is>
          <t>YEARLY</t>
        </is>
      </c>
      <c r="F63" s="11" t="n">
        <v>45383</v>
      </c>
      <c r="G63" s="11" t="n">
        <v>45747</v>
      </c>
      <c r="H63" s="12">
        <f>IF(OR($F63="",$G63=""),"",$G63-$F63+1)</f>
        <v/>
      </c>
      <c r="I63" s="10">
        <f>IF($F63="","",IF(MONTH($F63)&gt;=4,YEAR($F63)&amp;"-"&amp;TEXT(YEAR($F63)+1-2000,"00"),YEAR($F63)-1&amp;"-"&amp;TEXT(YEAR($F63)-2000,"00")))</f>
        <v/>
      </c>
      <c r="J63" s="13" t="n">
        <v>59895</v>
      </c>
      <c r="K63" s="14">
        <f>IFERROR($L63/$J63,"")</f>
        <v/>
      </c>
      <c r="L63" s="13" t="n">
        <v>59895</v>
      </c>
      <c r="M63" s="13">
        <f>IFERROR($L63/$H63,"")</f>
        <v/>
      </c>
      <c r="N63" s="11" t="n">
        <v>45632</v>
      </c>
      <c r="O63" s="10">
        <f>IF($N63="","No","Yes")</f>
        <v/>
      </c>
      <c r="P63" s="12">
        <f>IF(OR($F63="",$G63=""),0,IF(AND($F63&lt;=README!$B$4,README!$B$4&lt;=$G63),1,0))</f>
        <v/>
      </c>
      <c r="Q63" s="12">
        <f>IF(OR($F63="",$G63=""),0,IF(AND($F63&lt;=DATE(README!$B$5,12,31),$G63&gt;=DATE(README!$B$5,1,1)),1,0))</f>
        <v/>
      </c>
      <c r="R63" s="10" t="inlineStr">
        <is>
          <t>GUP-VEH0013</t>
        </is>
      </c>
      <c r="S63" s="11" t="n">
        <v>45478</v>
      </c>
      <c r="T63" s="10" t="inlineStr">
        <is>
          <t>550</t>
        </is>
      </c>
      <c r="U63" s="10" t="inlineStr">
        <is>
          <t>VEHICLE</t>
        </is>
      </c>
      <c r="V63" s="10" t="inlineStr">
        <is>
          <t>T</t>
        </is>
      </c>
      <c r="W63" s="10" t="inlineStr">
        <is>
          <t>VIVEK B</t>
        </is>
      </c>
    </row>
    <row r="64">
      <c r="A64" s="10" t="inlineStr">
        <is>
          <t>TN57AF3636</t>
        </is>
      </c>
      <c r="B64" s="10" t="inlineStr">
        <is>
          <t>SOCKS</t>
        </is>
      </c>
      <c r="C64" s="10" t="inlineStr">
        <is>
          <t>FC WORK</t>
        </is>
      </c>
      <c r="D64" s="10" t="inlineStr">
        <is>
          <t>FC WORK</t>
        </is>
      </c>
      <c r="E64" s="10" t="inlineStr">
        <is>
          <t>YEARLY</t>
        </is>
      </c>
      <c r="F64" s="11" t="n">
        <v>45748</v>
      </c>
      <c r="G64" s="11" t="n">
        <v>46112</v>
      </c>
      <c r="H64" s="12">
        <f>IF(OR($F64="",$G64=""),"",$G64-$F64+1)</f>
        <v/>
      </c>
      <c r="I64" s="10">
        <f>IF($F64="","",IF(MONTH($F64)&gt;=4,YEAR($F64)&amp;"-"&amp;TEXT(YEAR($F64)+1-2000,"00"),YEAR($F64)-1&amp;"-"&amp;TEXT(YEAR($F64)-2000,"00")))</f>
        <v/>
      </c>
      <c r="J64" s="13" t="n">
        <v>91656.71000000001</v>
      </c>
      <c r="K64" s="14">
        <f>IFERROR($L64/$J64,"")</f>
        <v/>
      </c>
      <c r="L64" s="13" t="n">
        <v>91656.71000000001</v>
      </c>
      <c r="M64" s="13">
        <f>IFERROR($L64/$H64,"")</f>
        <v/>
      </c>
      <c r="N64" s="11" t="n">
        <v>45847</v>
      </c>
      <c r="O64" s="10">
        <f>IF($N64="","No","Yes")</f>
        <v/>
      </c>
      <c r="P64" s="12">
        <f>IF(OR($F64="",$G64=""),0,IF(AND($F64&lt;=README!$B$4,README!$B$4&lt;=$G64),1,0))</f>
        <v/>
      </c>
      <c r="Q64" s="12">
        <f>IF(OR($F64="",$G64=""),0,IF(AND($F64&lt;=DATE(README!$B$5,12,31),$G64&gt;=DATE(README!$B$5,1,1)),1,0))</f>
        <v/>
      </c>
      <c r="R64" s="10" t="inlineStr">
        <is>
          <t>GUP-VEH0021</t>
        </is>
      </c>
      <c r="S64" s="11" t="n">
        <v>45832</v>
      </c>
      <c r="T64" s="10" t="inlineStr">
        <is>
          <t>654</t>
        </is>
      </c>
      <c r="U64" s="10" t="inlineStr">
        <is>
          <t>VEHICLE</t>
        </is>
      </c>
      <c r="V64" s="10" t="inlineStr">
        <is>
          <t>T</t>
        </is>
      </c>
      <c r="W64" s="10" t="inlineStr">
        <is>
          <t>VIVEK B</t>
        </is>
      </c>
    </row>
    <row r="65">
      <c r="A65" s="10" t="inlineStr">
        <is>
          <t>TN57AF3636</t>
        </is>
      </c>
      <c r="B65" s="10" t="inlineStr">
        <is>
          <t>SOCKS</t>
        </is>
      </c>
      <c r="C65" s="10" t="inlineStr">
        <is>
          <t>ROAD TAX</t>
        </is>
      </c>
      <c r="D65" s="10" t="inlineStr">
        <is>
          <t>GREEN TAX</t>
        </is>
      </c>
      <c r="E65" s="10" t="inlineStr">
        <is>
          <t>QUARTER - I</t>
        </is>
      </c>
      <c r="F65" s="11" t="n">
        <v>45748</v>
      </c>
      <c r="G65" s="11" t="n">
        <v>45838</v>
      </c>
      <c r="H65" s="12">
        <f>IF(OR($F65="",$G65=""),"",$G65-$F65+1)</f>
        <v/>
      </c>
      <c r="I65" s="10">
        <f>IF($F65="","",IF(MONTH($F65)&gt;=4,YEAR($F65)&amp;"-"&amp;TEXT(YEAR($F65)+1-2000,"00"),YEAR($F65)-1&amp;"-"&amp;TEXT(YEAR($F65)-2000,"00")))</f>
        <v/>
      </c>
      <c r="J65" s="13" t="n">
        <v>190</v>
      </c>
      <c r="K65" s="14">
        <f>IFERROR($L65/$J65,"")</f>
        <v/>
      </c>
      <c r="L65" s="13" t="n">
        <v>190</v>
      </c>
      <c r="M65" s="13">
        <f>IFERROR($L65/$H65,"")</f>
        <v/>
      </c>
      <c r="N65" s="11" t="n">
        <v>46030</v>
      </c>
      <c r="O65" s="10">
        <f>IF($N65="","No","Yes")</f>
        <v/>
      </c>
      <c r="P65" s="12">
        <f>IF(OR($F65="",$G65=""),0,IF(AND($F65&lt;=README!$B$4,README!$B$4&lt;=$G65),1,0))</f>
        <v/>
      </c>
      <c r="Q65" s="12">
        <f>IF(OR($F65="",$G65=""),0,IF(AND($F65&lt;=DATE(README!$B$5,12,31),$G65&gt;=DATE(README!$B$5,1,1)),1,0))</f>
        <v/>
      </c>
      <c r="R65" s="10" t="inlineStr">
        <is>
          <t>GUP-VEH0014</t>
        </is>
      </c>
      <c r="S65" s="11" t="n">
        <v>45748</v>
      </c>
      <c r="T65" s="10" t="inlineStr">
        <is>
          <t>609</t>
        </is>
      </c>
      <c r="U65" s="10" t="inlineStr">
        <is>
          <t>VEHICLE</t>
        </is>
      </c>
      <c r="V65" s="10" t="inlineStr">
        <is>
          <t>T</t>
        </is>
      </c>
      <c r="W65" s="10" t="inlineStr">
        <is>
          <t>VIVEK B</t>
        </is>
      </c>
    </row>
    <row r="66">
      <c r="A66" s="10" t="inlineStr">
        <is>
          <t>TN57AF3636</t>
        </is>
      </c>
      <c r="B66" s="10" t="inlineStr">
        <is>
          <t>SOCKS</t>
        </is>
      </c>
      <c r="C66" s="10" t="inlineStr">
        <is>
          <t>ROAD TAX</t>
        </is>
      </c>
      <c r="D66" s="10" t="inlineStr">
        <is>
          <t>ROAD TAX</t>
        </is>
      </c>
      <c r="E66" s="10" t="inlineStr">
        <is>
          <t>QUARTER - I</t>
        </is>
      </c>
      <c r="F66" s="11" t="n">
        <v>45748</v>
      </c>
      <c r="G66" s="11" t="n">
        <v>45838</v>
      </c>
      <c r="H66" s="12">
        <f>IF(OR($F66="",$G66=""),"",$G66-$F66+1)</f>
        <v/>
      </c>
      <c r="I66" s="10">
        <f>IF($F66="","",IF(MONTH($F66)&gt;=4,YEAR($F66)&amp;"-"&amp;TEXT(YEAR($F66)+1-2000,"00"),YEAR($F66)-1&amp;"-"&amp;TEXT(YEAR($F66)-2000,"00")))</f>
        <v/>
      </c>
      <c r="J66" s="13" t="n">
        <v>24846</v>
      </c>
      <c r="K66" s="14">
        <f>IFERROR($L66/$J66,"")</f>
        <v/>
      </c>
      <c r="L66" s="13" t="n">
        <v>24846</v>
      </c>
      <c r="M66" s="13">
        <f>IFERROR($L66/$H66,"")</f>
        <v/>
      </c>
      <c r="N66" s="11" t="n">
        <v>46030</v>
      </c>
      <c r="O66" s="10">
        <f>IF($N66="","No","Yes")</f>
        <v/>
      </c>
      <c r="P66" s="12">
        <f>IF(OR($F66="",$G66=""),0,IF(AND($F66&lt;=README!$B$4,README!$B$4&lt;=$G66),1,0))</f>
        <v/>
      </c>
      <c r="Q66" s="12">
        <f>IF(OR($F66="",$G66=""),0,IF(AND($F66&lt;=DATE(README!$B$5,12,31),$G66&gt;=DATE(README!$B$5,1,1)),1,0))</f>
        <v/>
      </c>
      <c r="R66" s="10" t="inlineStr">
        <is>
          <t>GUP-VEH0014</t>
        </is>
      </c>
      <c r="S66" s="11" t="n">
        <v>45748</v>
      </c>
      <c r="T66" s="10" t="inlineStr">
        <is>
          <t>609</t>
        </is>
      </c>
      <c r="U66" s="10" t="inlineStr">
        <is>
          <t>VEHICLE</t>
        </is>
      </c>
      <c r="V66" s="10" t="inlineStr">
        <is>
          <t>T</t>
        </is>
      </c>
      <c r="W66" s="10" t="inlineStr">
        <is>
          <t>VIVEK B</t>
        </is>
      </c>
    </row>
    <row r="67">
      <c r="A67" s="10" t="inlineStr">
        <is>
          <t>TN57AF3636</t>
        </is>
      </c>
      <c r="B67" s="10" t="inlineStr">
        <is>
          <t>SOCKS</t>
        </is>
      </c>
      <c r="C67" s="10" t="inlineStr">
        <is>
          <t>RTO EXPENSE</t>
        </is>
      </c>
      <c r="D67" s="10" t="inlineStr">
        <is>
          <t>RTO EXPENSE</t>
        </is>
      </c>
      <c r="E67" s="10" t="inlineStr">
        <is>
          <t>YEARLY</t>
        </is>
      </c>
      <c r="F67" s="11" t="n">
        <v>45748</v>
      </c>
      <c r="G67" s="11" t="n">
        <v>46112</v>
      </c>
      <c r="H67" s="12">
        <f>IF(OR($F67="",$G67=""),"",$G67-$F67+1)</f>
        <v/>
      </c>
      <c r="I67" s="10">
        <f>IF($F67="","",IF(MONTH($F67)&gt;=4,YEAR($F67)&amp;"-"&amp;TEXT(YEAR($F67)+1-2000,"00"),YEAR($F67)-1&amp;"-"&amp;TEXT(YEAR($F67)-2000,"00")))</f>
        <v/>
      </c>
      <c r="J67" s="13" t="n">
        <v>7500</v>
      </c>
      <c r="K67" s="14">
        <f>IFERROR($L67/$J67,"")</f>
        <v/>
      </c>
      <c r="L67" s="13" t="n">
        <v>7500</v>
      </c>
      <c r="M67" s="13">
        <f>IFERROR($L67/$H67,"")</f>
        <v/>
      </c>
      <c r="N67" s="11" t="n">
        <v>45834</v>
      </c>
      <c r="O67" s="10">
        <f>IF($N67="","No","Yes")</f>
        <v/>
      </c>
      <c r="P67" s="12">
        <f>IF(OR($F67="",$G67=""),0,IF(AND($F67&lt;=README!$B$4,README!$B$4&lt;=$G67),1,0))</f>
        <v/>
      </c>
      <c r="Q67" s="12">
        <f>IF(OR($F67="",$G67=""),0,IF(AND($F67&lt;=DATE(README!$B$5,12,31),$G67&gt;=DATE(README!$B$5,1,1)),1,0))</f>
        <v/>
      </c>
      <c r="R67" s="10" t="inlineStr">
        <is>
          <t>GUP-VEH0022</t>
        </is>
      </c>
      <c r="S67" s="11" t="n">
        <v>45834</v>
      </c>
      <c r="T67" s="10" t="inlineStr">
        <is>
          <t>655</t>
        </is>
      </c>
      <c r="U67" s="10" t="inlineStr">
        <is>
          <t>VEHICLE</t>
        </is>
      </c>
      <c r="V67" s="10" t="inlineStr">
        <is>
          <t>T</t>
        </is>
      </c>
      <c r="W67" s="10" t="inlineStr">
        <is>
          <t>VIVEK B</t>
        </is>
      </c>
    </row>
    <row r="68">
      <c r="A68" s="10" t="inlineStr">
        <is>
          <t>TN57AF3636</t>
        </is>
      </c>
      <c r="B68" s="10" t="inlineStr">
        <is>
          <t>SOCKS</t>
        </is>
      </c>
      <c r="C68" s="10" t="inlineStr">
        <is>
          <t>TYRE</t>
        </is>
      </c>
      <c r="D68" s="10" t="inlineStr">
        <is>
          <t>TYRE</t>
        </is>
      </c>
      <c r="E68" s="10" t="inlineStr">
        <is>
          <t>YEARLY</t>
        </is>
      </c>
      <c r="F68" s="11" t="n">
        <v>45748</v>
      </c>
      <c r="G68" s="11" t="n">
        <v>46112</v>
      </c>
      <c r="H68" s="12">
        <f>IF(OR($F68="",$G68=""),"",$G68-$F68+1)</f>
        <v/>
      </c>
      <c r="I68" s="10">
        <f>IF($F68="","",IF(MONTH($F68)&gt;=4,YEAR($F68)&amp;"-"&amp;TEXT(YEAR($F68)+1-2000,"00"),YEAR($F68)-1&amp;"-"&amp;TEXT(YEAR($F68)-2000,"00")))</f>
        <v/>
      </c>
      <c r="J68" s="13" t="n">
        <v>19200</v>
      </c>
      <c r="K68" s="14">
        <f>IFERROR($L68/$J68,"")</f>
        <v/>
      </c>
      <c r="L68" s="13" t="n">
        <v>19200</v>
      </c>
      <c r="M68" s="13">
        <f>IFERROR($L68/$H68,"")</f>
        <v/>
      </c>
      <c r="N68" s="11" t="n">
        <v>45986</v>
      </c>
      <c r="O68" s="10">
        <f>IF($N68="","No","Yes")</f>
        <v/>
      </c>
      <c r="P68" s="12">
        <f>IF(OR($F68="",$G68=""),0,IF(AND($F68&lt;=README!$B$4,README!$B$4&lt;=$G68),1,0))</f>
        <v/>
      </c>
      <c r="Q68" s="12">
        <f>IF(OR($F68="",$G68=""),0,IF(AND($F68&lt;=DATE(README!$B$5,12,31),$G68&gt;=DATE(README!$B$5,1,1)),1,0))</f>
        <v/>
      </c>
      <c r="R68" s="10" t="inlineStr">
        <is>
          <t>GUP-VEH0025</t>
        </is>
      </c>
      <c r="S68" s="11" t="n">
        <v>45957</v>
      </c>
      <c r="T68" s="10" t="inlineStr">
        <is>
          <t>726</t>
        </is>
      </c>
      <c r="U68" s="10" t="inlineStr">
        <is>
          <t>VEHICLE</t>
        </is>
      </c>
      <c r="V68" s="10" t="inlineStr">
        <is>
          <t>T</t>
        </is>
      </c>
      <c r="W68" s="10" t="inlineStr">
        <is>
          <t>VIVEK B</t>
        </is>
      </c>
    </row>
    <row r="69">
      <c r="A69" s="10" t="inlineStr">
        <is>
          <t>TN57AF3636</t>
        </is>
      </c>
      <c r="B69" s="10" t="inlineStr">
        <is>
          <t>SOCKS</t>
        </is>
      </c>
      <c r="C69" s="10" t="inlineStr">
        <is>
          <t>VEHICLE INSURANCE</t>
        </is>
      </c>
      <c r="D69" s="10" t="inlineStr">
        <is>
          <t>VEHICLE INSURANCE</t>
        </is>
      </c>
      <c r="E69" s="10" t="inlineStr">
        <is>
          <t>YEARLY</t>
        </is>
      </c>
      <c r="F69" s="11" t="n">
        <v>45748</v>
      </c>
      <c r="G69" s="11" t="n">
        <v>46112</v>
      </c>
      <c r="H69" s="12">
        <f>IF(OR($F69="",$G69=""),"",$G69-$F69+1)</f>
        <v/>
      </c>
      <c r="I69" s="10">
        <f>IF($F69="","",IF(MONTH($F69)&gt;=4,YEAR($F69)&amp;"-"&amp;TEXT(YEAR($F69)+1-2000,"00"),YEAR($F69)-1&amp;"-"&amp;TEXT(YEAR($F69)-2000,"00")))</f>
        <v/>
      </c>
      <c r="J69" s="13" t="n">
        <v>59627</v>
      </c>
      <c r="K69" s="14">
        <f>IFERROR($L69/$J69,"")</f>
        <v/>
      </c>
      <c r="L69" s="13" t="n">
        <v>59627</v>
      </c>
      <c r="M69" s="13">
        <f>IFERROR($L69/$H69,"")</f>
        <v/>
      </c>
      <c r="N69" s="11" t="n">
        <v>45994</v>
      </c>
      <c r="O69" s="10">
        <f>IF($N69="","No","Yes")</f>
        <v/>
      </c>
      <c r="P69" s="12">
        <f>IF(OR($F69="",$G69=""),0,IF(AND($F69&lt;=README!$B$4,README!$B$4&lt;=$G69),1,0))</f>
        <v/>
      </c>
      <c r="Q69" s="12">
        <f>IF(OR($F69="",$G69=""),0,IF(AND($F69&lt;=DATE(README!$B$5,12,31),$G69&gt;=DATE(README!$B$5,1,1)),1,0))</f>
        <v/>
      </c>
      <c r="R69" s="10" t="inlineStr">
        <is>
          <t>GUP-VEH0020</t>
        </is>
      </c>
      <c r="S69" s="11" t="n">
        <v>45799</v>
      </c>
      <c r="T69" s="10" t="inlineStr">
        <is>
          <t>645</t>
        </is>
      </c>
      <c r="U69" s="10" t="inlineStr">
        <is>
          <t>VEHICLE</t>
        </is>
      </c>
      <c r="V69" s="10" t="inlineStr">
        <is>
          <t>T</t>
        </is>
      </c>
      <c r="W69" s="10" t="inlineStr">
        <is>
          <t>VIVEK B</t>
        </is>
      </c>
    </row>
    <row r="70">
      <c r="A70" s="10" t="inlineStr">
        <is>
          <t>TN57AF3636</t>
        </is>
      </c>
      <c r="B70" s="10" t="inlineStr">
        <is>
          <t>SOCKS</t>
        </is>
      </c>
      <c r="C70" s="10" t="inlineStr">
        <is>
          <t>ROAD TAX</t>
        </is>
      </c>
      <c r="D70" s="10" t="inlineStr">
        <is>
          <t>ROAD TAX</t>
        </is>
      </c>
      <c r="E70" s="10" t="inlineStr">
        <is>
          <t>QUARTER - II</t>
        </is>
      </c>
      <c r="F70" s="11" t="n">
        <v>45839</v>
      </c>
      <c r="G70" s="11" t="n">
        <v>45930</v>
      </c>
      <c r="H70" s="12">
        <f>IF(OR($F70="",$G70=""),"",$G70-$F70+1)</f>
        <v/>
      </c>
      <c r="I70" s="10">
        <f>IF($F70="","",IF(MONTH($F70)&gt;=4,YEAR($F70)&amp;"-"&amp;TEXT(YEAR($F70)+1-2000,"00"),YEAR($F70)-1&amp;"-"&amp;TEXT(YEAR($F70)-2000,"00")))</f>
        <v/>
      </c>
      <c r="J70" s="13" t="n">
        <v>24846</v>
      </c>
      <c r="K70" s="14">
        <f>IFERROR($L70/$J70,"")</f>
        <v/>
      </c>
      <c r="L70" s="13" t="n">
        <v>24846</v>
      </c>
      <c r="M70" s="13">
        <f>IFERROR($L70/$H70,"")</f>
        <v/>
      </c>
      <c r="N70" s="11" t="n">
        <v>46030</v>
      </c>
      <c r="O70" s="10">
        <f>IF($N70="","No","Yes")</f>
        <v/>
      </c>
      <c r="P70" s="12">
        <f>IF(OR($F70="",$G70=""),0,IF(AND($F70&lt;=README!$B$4,README!$B$4&lt;=$G70),1,0))</f>
        <v/>
      </c>
      <c r="Q70" s="12">
        <f>IF(OR($F70="",$G70=""),0,IF(AND($F70&lt;=DATE(README!$B$5,12,31),$G70&gt;=DATE(README!$B$5,1,1)),1,0))</f>
        <v/>
      </c>
      <c r="R70" s="10" t="inlineStr">
        <is>
          <t>GUP-VEH0014</t>
        </is>
      </c>
      <c r="S70" s="11" t="n">
        <v>45748</v>
      </c>
      <c r="T70" s="10" t="inlineStr">
        <is>
          <t>609</t>
        </is>
      </c>
      <c r="U70" s="10" t="inlineStr">
        <is>
          <t>VEHICLE</t>
        </is>
      </c>
      <c r="V70" s="10" t="inlineStr">
        <is>
          <t>T</t>
        </is>
      </c>
      <c r="W70" s="10" t="inlineStr">
        <is>
          <t>VIVEK B</t>
        </is>
      </c>
    </row>
    <row r="71">
      <c r="A71" s="10" t="inlineStr">
        <is>
          <t>TN57AF3636</t>
        </is>
      </c>
      <c r="B71" s="10" t="inlineStr">
        <is>
          <t>SOCKS</t>
        </is>
      </c>
      <c r="C71" s="10" t="inlineStr">
        <is>
          <t>ROAD TAX</t>
        </is>
      </c>
      <c r="D71" s="10" t="inlineStr">
        <is>
          <t>ROAD TAX</t>
        </is>
      </c>
      <c r="E71" s="10" t="inlineStr">
        <is>
          <t>QUARTER - III</t>
        </is>
      </c>
      <c r="F71" s="11" t="n">
        <v>45931</v>
      </c>
      <c r="G71" s="11" t="n">
        <v>46022</v>
      </c>
      <c r="H71" s="12">
        <f>IF(OR($F71="",$G71=""),"",$G71-$F71+1)</f>
        <v/>
      </c>
      <c r="I71" s="10">
        <f>IF($F71="","",IF(MONTH($F71)&gt;=4,YEAR($F71)&amp;"-"&amp;TEXT(YEAR($F71)+1-2000,"00"),YEAR($F71)-1&amp;"-"&amp;TEXT(YEAR($F71)-2000,"00")))</f>
        <v/>
      </c>
      <c r="J71" s="13" t="n">
        <v>24856</v>
      </c>
      <c r="K71" s="14">
        <f>IFERROR($L71/$J71,"")</f>
        <v/>
      </c>
      <c r="L71" s="13" t="n">
        <v>24856</v>
      </c>
      <c r="M71" s="13">
        <f>IFERROR($L71/$H71,"")</f>
        <v/>
      </c>
      <c r="N71" s="11" t="n">
        <v>46030</v>
      </c>
      <c r="O71" s="10">
        <f>IF($N71="","No","Yes")</f>
        <v/>
      </c>
      <c r="P71" s="12">
        <f>IF(OR($F71="",$G71=""),0,IF(AND($F71&lt;=README!$B$4,README!$B$4&lt;=$G71),1,0))</f>
        <v/>
      </c>
      <c r="Q71" s="12">
        <f>IF(OR($F71="",$G71=""),0,IF(AND($F71&lt;=DATE(README!$B$5,12,31),$G71&gt;=DATE(README!$B$5,1,1)),1,0))</f>
        <v/>
      </c>
      <c r="R71" s="10" t="inlineStr">
        <is>
          <t>GUP-VEH0014</t>
        </is>
      </c>
      <c r="S71" s="11" t="n">
        <v>45748</v>
      </c>
      <c r="T71" s="10" t="inlineStr">
        <is>
          <t>609</t>
        </is>
      </c>
      <c r="U71" s="10" t="inlineStr">
        <is>
          <t>VEHICLE</t>
        </is>
      </c>
      <c r="V71" s="10" t="inlineStr">
        <is>
          <t>T</t>
        </is>
      </c>
      <c r="W71" s="10" t="inlineStr">
        <is>
          <t>VIVEK B</t>
        </is>
      </c>
    </row>
    <row r="72">
      <c r="A72" s="10" t="inlineStr">
        <is>
          <t>TN57AF3636</t>
        </is>
      </c>
      <c r="B72" s="10" t="inlineStr">
        <is>
          <t>SOCKS</t>
        </is>
      </c>
      <c r="C72" s="10" t="inlineStr">
        <is>
          <t>ROAD TAX</t>
        </is>
      </c>
      <c r="D72" s="10" t="inlineStr">
        <is>
          <t>ROAD TAX</t>
        </is>
      </c>
      <c r="E72" s="10" t="inlineStr">
        <is>
          <t>QUARTER - IV</t>
        </is>
      </c>
      <c r="F72" s="11" t="n">
        <v>46023</v>
      </c>
      <c r="G72" s="11" t="n">
        <v>46112</v>
      </c>
      <c r="H72" s="12">
        <f>IF(OR($F72="",$G72=""),"",$G72-$F72+1)</f>
        <v/>
      </c>
      <c r="I72" s="10">
        <f>IF($F72="","",IF(MONTH($F72)&gt;=4,YEAR($F72)&amp;"-"&amp;TEXT(YEAR($F72)+1-2000,"00"),YEAR($F72)-1&amp;"-"&amp;TEXT(YEAR($F72)-2000,"00")))</f>
        <v/>
      </c>
      <c r="J72" s="13" t="n">
        <v>24846</v>
      </c>
      <c r="K72" s="14">
        <f>IFERROR($L72/$J72,"")</f>
        <v/>
      </c>
      <c r="L72" s="13" t="n">
        <v>24846</v>
      </c>
      <c r="M72" s="13">
        <f>IFERROR($L72/$H72,"")</f>
        <v/>
      </c>
      <c r="N72" s="11" t="n">
        <v>46030</v>
      </c>
      <c r="O72" s="10">
        <f>IF($N72="","No","Yes")</f>
        <v/>
      </c>
      <c r="P72" s="12">
        <f>IF(OR($F72="",$G72=""),0,IF(AND($F72&lt;=README!$B$4,README!$B$4&lt;=$G72),1,0))</f>
        <v/>
      </c>
      <c r="Q72" s="12">
        <f>IF(OR($F72="",$G72=""),0,IF(AND($F72&lt;=DATE(README!$B$5,12,31),$G72&gt;=DATE(README!$B$5,1,1)),1,0))</f>
        <v/>
      </c>
      <c r="R72" s="10" t="inlineStr">
        <is>
          <t>GUP-VEH0014</t>
        </is>
      </c>
      <c r="S72" s="11" t="n">
        <v>45748</v>
      </c>
      <c r="T72" s="10" t="inlineStr">
        <is>
          <t>609</t>
        </is>
      </c>
      <c r="U72" s="10" t="inlineStr">
        <is>
          <t>VEHICLE</t>
        </is>
      </c>
      <c r="V72" s="10" t="inlineStr">
        <is>
          <t>T</t>
        </is>
      </c>
      <c r="W72" s="10" t="inlineStr">
        <is>
          <t>VIVEK B</t>
        </is>
      </c>
    </row>
    <row r="73">
      <c r="A73" s="10" t="inlineStr">
        <is>
          <t>TN57AF3636</t>
        </is>
      </c>
      <c r="B73" s="10" t="inlineStr">
        <is>
          <t>SOCKS</t>
        </is>
      </c>
      <c r="C73" s="10" t="inlineStr">
        <is>
          <t>ROAD TAX</t>
        </is>
      </c>
      <c r="D73" s="10" t="inlineStr">
        <is>
          <t>ROAD TAX</t>
        </is>
      </c>
      <c r="E73" s="10" t="inlineStr">
        <is>
          <t>QUARTER - I</t>
        </is>
      </c>
      <c r="F73" s="11" t="n">
        <v>46113</v>
      </c>
      <c r="G73" s="11" t="n">
        <v>46203</v>
      </c>
      <c r="H73" s="12">
        <f>IF(OR($F73="",$G73=""),"",$G73-$F73+1)</f>
        <v/>
      </c>
      <c r="I73" s="10">
        <f>IF($F73="","",IF(MONTH($F73)&gt;=4,YEAR($F73)&amp;"-"&amp;TEXT(YEAR($F73)+1-2000,"00"),YEAR($F73)-1&amp;"-"&amp;TEXT(YEAR($F73)-2000,"00")))</f>
        <v/>
      </c>
      <c r="J73" s="13" t="n">
        <v>24250</v>
      </c>
      <c r="K73" s="14">
        <f>IFERROR($L73/$J73,"")</f>
        <v/>
      </c>
      <c r="L73" s="13" t="n">
        <v>24250</v>
      </c>
      <c r="M73" s="13">
        <f>IFERROR($L73/$H73,"")</f>
        <v/>
      </c>
      <c r="N73" s="11" t="n">
        <v>46088</v>
      </c>
      <c r="O73" s="10">
        <f>IF($N73="","No","Yes")</f>
        <v/>
      </c>
      <c r="P73" s="12">
        <f>IF(OR($F73="",$G73=""),0,IF(AND($F73&lt;=README!$B$4,README!$B$4&lt;=$G73),1,0))</f>
        <v/>
      </c>
      <c r="Q73" s="12">
        <f>IF(OR($F73="",$G73=""),0,IF(AND($F73&lt;=DATE(README!$B$5,12,31),$G73&gt;=DATE(README!$B$5,1,1)),1,0))</f>
        <v/>
      </c>
      <c r="R73" s="10" t="inlineStr">
        <is>
          <t>GUP-VEH0030</t>
        </is>
      </c>
      <c r="S73" s="11" t="n">
        <v>46113</v>
      </c>
      <c r="T73" s="10" t="inlineStr">
        <is>
          <t>796</t>
        </is>
      </c>
      <c r="U73" s="10" t="inlineStr">
        <is>
          <t>VEHICLE</t>
        </is>
      </c>
      <c r="V73" s="10" t="inlineStr">
        <is>
          <t>T</t>
        </is>
      </c>
      <c r="W73" s="10" t="inlineStr">
        <is>
          <t>VIVEK B</t>
        </is>
      </c>
    </row>
    <row r="74">
      <c r="A74" s="10" t="inlineStr">
        <is>
          <t>TN57AF3636</t>
        </is>
      </c>
      <c r="B74" s="10" t="inlineStr">
        <is>
          <t>SOCKS</t>
        </is>
      </c>
      <c r="C74" s="10" t="inlineStr">
        <is>
          <t>ROAD TAX</t>
        </is>
      </c>
      <c r="D74" s="10" t="inlineStr">
        <is>
          <t>ROAD TAX</t>
        </is>
      </c>
      <c r="E74" s="10" t="inlineStr">
        <is>
          <t>QUARTER - II</t>
        </is>
      </c>
      <c r="F74" s="11" t="n">
        <v>46204</v>
      </c>
      <c r="G74" s="11" t="n">
        <v>46295</v>
      </c>
      <c r="H74" s="12">
        <f>IF(OR($F74="",$G74=""),"",$G74-$F74+1)</f>
        <v/>
      </c>
      <c r="I74" s="10">
        <f>IF($F74="","",IF(MONTH($F74)&gt;=4,YEAR($F74)&amp;"-"&amp;TEXT(YEAR($F74)+1-2000,"00"),YEAR($F74)-1&amp;"-"&amp;TEXT(YEAR($F74)-2000,"00")))</f>
        <v/>
      </c>
      <c r="J74" s="13" t="n">
        <v>24250</v>
      </c>
      <c r="K74" s="14">
        <f>IFERROR($L74/$J74,"")</f>
        <v/>
      </c>
      <c r="L74" s="13" t="n">
        <v>24250</v>
      </c>
      <c r="M74" s="13">
        <f>IFERROR($L74/$H74,"")</f>
        <v/>
      </c>
      <c r="N74" s="11" t="n">
        <v>46196</v>
      </c>
      <c r="O74" s="10">
        <f>IF($N74="","No","Yes")</f>
        <v/>
      </c>
      <c r="P74" s="12">
        <f>IF(OR($F74="",$G74=""),0,IF(AND($F74&lt;=README!$B$4,README!$B$4&lt;=$G74),1,0))</f>
        <v/>
      </c>
      <c r="Q74" s="12">
        <f>IF(OR($F74="",$G74=""),0,IF(AND($F74&lt;=DATE(README!$B$5,12,31),$G74&gt;=DATE(README!$B$5,1,1)),1,0))</f>
        <v/>
      </c>
      <c r="R74" s="10" t="inlineStr">
        <is>
          <t>GUP-VEH0030</t>
        </is>
      </c>
      <c r="S74" s="11" t="n">
        <v>46113</v>
      </c>
      <c r="T74" s="10" t="inlineStr">
        <is>
          <t>796</t>
        </is>
      </c>
      <c r="U74" s="10" t="inlineStr">
        <is>
          <t>VEHICLE</t>
        </is>
      </c>
      <c r="V74" s="10" t="inlineStr">
        <is>
          <t>T</t>
        </is>
      </c>
      <c r="W74" s="10" t="inlineStr">
        <is>
          <t>VIVEK B</t>
        </is>
      </c>
    </row>
    <row r="75">
      <c r="A75" s="10" t="inlineStr">
        <is>
          <t>TN57AH3636</t>
        </is>
      </c>
      <c r="B75" s="10" t="inlineStr">
        <is>
          <t>SOCKS</t>
        </is>
      </c>
      <c r="C75" s="10" t="inlineStr">
        <is>
          <t>FC WORK</t>
        </is>
      </c>
      <c r="D75" s="10" t="inlineStr">
        <is>
          <t>FC WORK</t>
        </is>
      </c>
      <c r="E75" s="10" t="inlineStr">
        <is>
          <t>YEARLY</t>
        </is>
      </c>
      <c r="F75" s="11" t="n">
        <v>45383</v>
      </c>
      <c r="G75" s="11" t="n">
        <v>45747</v>
      </c>
      <c r="H75" s="12">
        <f>IF(OR($F75="",$G75=""),"",$G75-$F75+1)</f>
        <v/>
      </c>
      <c r="I75" s="10">
        <f>IF($F75="","",IF(MONTH($F75)&gt;=4,YEAR($F75)&amp;"-"&amp;TEXT(YEAR($F75)+1-2000,"00"),YEAR($F75)-1&amp;"-"&amp;TEXT(YEAR($F75)-2000,"00")))</f>
        <v/>
      </c>
      <c r="J75" s="13" t="n">
        <v>44640</v>
      </c>
      <c r="K75" s="14">
        <f>IFERROR($L75/$J75,"")</f>
        <v/>
      </c>
      <c r="L75" s="13" t="n">
        <v>44640</v>
      </c>
      <c r="M75" s="13">
        <f>IFERROR($L75/$H75,"")</f>
        <v/>
      </c>
      <c r="N75" s="11" t="n">
        <v>45486</v>
      </c>
      <c r="O75" s="10">
        <f>IF($N75="","No","Yes")</f>
        <v/>
      </c>
      <c r="P75" s="12">
        <f>IF(OR($F75="",$G75=""),0,IF(AND($F75&lt;=README!$B$4,README!$B$4&lt;=$G75),1,0))</f>
        <v/>
      </c>
      <c r="Q75" s="12">
        <f>IF(OR($F75="",$G75=""),0,IF(AND($F75&lt;=DATE(README!$B$5,12,31),$G75&gt;=DATE(README!$B$5,1,1)),1,0))</f>
        <v/>
      </c>
      <c r="R75" s="10" t="inlineStr">
        <is>
          <t>GUP-VEH0009</t>
        </is>
      </c>
      <c r="S75" s="11" t="n">
        <v>45475</v>
      </c>
      <c r="T75" s="10" t="inlineStr">
        <is>
          <t>546</t>
        </is>
      </c>
      <c r="U75" s="10" t="inlineStr">
        <is>
          <t>VEHICLE</t>
        </is>
      </c>
      <c r="V75" s="10" t="inlineStr">
        <is>
          <t>T</t>
        </is>
      </c>
      <c r="W75" s="10" t="inlineStr">
        <is>
          <t>VIVEK B</t>
        </is>
      </c>
    </row>
    <row r="76">
      <c r="A76" s="10" t="inlineStr">
        <is>
          <t>TN57AH3636</t>
        </is>
      </c>
      <c r="B76" s="10" t="inlineStr">
        <is>
          <t>SOCKS</t>
        </is>
      </c>
      <c r="C76" s="10" t="inlineStr">
        <is>
          <t>RTO EXPENSE</t>
        </is>
      </c>
      <c r="D76" s="10" t="inlineStr">
        <is>
          <t>RTO EXPENSE</t>
        </is>
      </c>
      <c r="E76" s="10" t="inlineStr">
        <is>
          <t>YEARLY</t>
        </is>
      </c>
      <c r="F76" s="11" t="n">
        <v>45383</v>
      </c>
      <c r="G76" s="11" t="n">
        <v>45747</v>
      </c>
      <c r="H76" s="12">
        <f>IF(OR($F76="",$G76=""),"",$G76-$F76+1)</f>
        <v/>
      </c>
      <c r="I76" s="10">
        <f>IF($F76="","",IF(MONTH($F76)&gt;=4,YEAR($F76)&amp;"-"&amp;TEXT(YEAR($F76)+1-2000,"00"),YEAR($F76)-1&amp;"-"&amp;TEXT(YEAR($F76)-2000,"00")))</f>
        <v/>
      </c>
      <c r="J76" s="13" t="n">
        <v>7000</v>
      </c>
      <c r="K76" s="14">
        <f>IFERROR($L76/$J76,"")</f>
        <v/>
      </c>
      <c r="L76" s="13" t="n">
        <v>7000</v>
      </c>
      <c r="M76" s="13">
        <f>IFERROR($L76/$H76,"")</f>
        <v/>
      </c>
      <c r="N76" s="11" t="n">
        <v>45481</v>
      </c>
      <c r="O76" s="10">
        <f>IF($N76="","No","Yes")</f>
        <v/>
      </c>
      <c r="P76" s="12">
        <f>IF(OR($F76="",$G76=""),0,IF(AND($F76&lt;=README!$B$4,README!$B$4&lt;=$G76),1,0))</f>
        <v/>
      </c>
      <c r="Q76" s="12">
        <f>IF(OR($F76="",$G76=""),0,IF(AND($F76&lt;=DATE(README!$B$5,12,31),$G76&gt;=DATE(README!$B$5,1,1)),1,0))</f>
        <v/>
      </c>
      <c r="R76" s="10" t="inlineStr">
        <is>
          <t>GUP-VEH0010</t>
        </is>
      </c>
      <c r="S76" s="11" t="n">
        <v>45475</v>
      </c>
      <c r="T76" s="10" t="inlineStr">
        <is>
          <t>547</t>
        </is>
      </c>
      <c r="U76" s="10" t="inlineStr">
        <is>
          <t>VEHICLE</t>
        </is>
      </c>
      <c r="V76" s="10" t="inlineStr">
        <is>
          <t>T</t>
        </is>
      </c>
      <c r="W76" s="10" t="inlineStr">
        <is>
          <t>VIVEK B</t>
        </is>
      </c>
    </row>
    <row r="77">
      <c r="A77" s="10" t="inlineStr">
        <is>
          <t>TN57AH3636</t>
        </is>
      </c>
      <c r="B77" s="10" t="inlineStr">
        <is>
          <t>SOCKS</t>
        </is>
      </c>
      <c r="C77" s="10" t="inlineStr">
        <is>
          <t>TYRE</t>
        </is>
      </c>
      <c r="D77" s="10" t="inlineStr">
        <is>
          <t>TYRE</t>
        </is>
      </c>
      <c r="E77" s="10" t="inlineStr">
        <is>
          <t>YEARLY</t>
        </is>
      </c>
      <c r="F77" s="11" t="n">
        <v>45383</v>
      </c>
      <c r="G77" s="11" t="n">
        <v>45747</v>
      </c>
      <c r="H77" s="12">
        <f>IF(OR($F77="",$G77=""),"",$G77-$F77+1)</f>
        <v/>
      </c>
      <c r="I77" s="10">
        <f>IF($F77="","",IF(MONTH($F77)&gt;=4,YEAR($F77)&amp;"-"&amp;TEXT(YEAR($F77)+1-2000,"00"),YEAR($F77)-1&amp;"-"&amp;TEXT(YEAR($F77)-2000,"00")))</f>
        <v/>
      </c>
      <c r="J77" s="13" t="n">
        <v>35300</v>
      </c>
      <c r="K77" s="14">
        <f>IFERROR($L77/$J77,"")</f>
        <v/>
      </c>
      <c r="L77" s="13" t="n">
        <v>0</v>
      </c>
      <c r="M77" s="13">
        <f>IFERROR($L77/$H77,"")</f>
        <v/>
      </c>
      <c r="N77" s="11" t="n"/>
      <c r="O77" s="10">
        <f>IF($N77="","No","Yes")</f>
        <v/>
      </c>
      <c r="P77" s="12">
        <f>IF(OR($F77="",$G77=""),0,IF(AND($F77&lt;=README!$B$4,README!$B$4&lt;=$G77),1,0))</f>
        <v/>
      </c>
      <c r="Q77" s="12">
        <f>IF(OR($F77="",$G77=""),0,IF(AND($F77&lt;=DATE(README!$B$5,12,31),$G77&gt;=DATE(README!$B$5,1,1)),1,0))</f>
        <v/>
      </c>
      <c r="R77" s="10" t="inlineStr">
        <is>
          <t>GUP-VEH0006</t>
        </is>
      </c>
      <c r="S77" s="11" t="n">
        <v>45442</v>
      </c>
      <c r="T77" s="10" t="inlineStr">
        <is>
          <t>522</t>
        </is>
      </c>
      <c r="U77" s="10" t="inlineStr">
        <is>
          <t>VEHICLE</t>
        </is>
      </c>
      <c r="V77" s="10" t="inlineStr">
        <is>
          <t>T</t>
        </is>
      </c>
      <c r="W77" s="10" t="inlineStr">
        <is>
          <t>VIVEK B</t>
        </is>
      </c>
    </row>
    <row r="78">
      <c r="A78" s="10" t="inlineStr">
        <is>
          <t>TN57AH3636</t>
        </is>
      </c>
      <c r="B78" s="10" t="inlineStr">
        <is>
          <t>SOCKS</t>
        </is>
      </c>
      <c r="C78" s="10" t="inlineStr">
        <is>
          <t>VEHICLE INSURANCE</t>
        </is>
      </c>
      <c r="D78" s="10" t="inlineStr">
        <is>
          <t>VEHICLE INSURANCE</t>
        </is>
      </c>
      <c r="E78" s="10" t="inlineStr">
        <is>
          <t>YEARLY</t>
        </is>
      </c>
      <c r="F78" s="11" t="n">
        <v>45383</v>
      </c>
      <c r="G78" s="11" t="n">
        <v>45747</v>
      </c>
      <c r="H78" s="12">
        <f>IF(OR($F78="",$G78=""),"",$G78-$F78+1)</f>
        <v/>
      </c>
      <c r="I78" s="10">
        <f>IF($F78="","",IF(MONTH($F78)&gt;=4,YEAR($F78)&amp;"-"&amp;TEXT(YEAR($F78)+1-2000,"00"),YEAR($F78)-1&amp;"-"&amp;TEXT(YEAR($F78)-2000,"00")))</f>
        <v/>
      </c>
      <c r="J78" s="13" t="n">
        <v>40888</v>
      </c>
      <c r="K78" s="14">
        <f>IFERROR($L78/$J78,"")</f>
        <v/>
      </c>
      <c r="L78" s="13" t="n">
        <v>40888</v>
      </c>
      <c r="M78" s="13">
        <f>IFERROR($L78/$H78,"")</f>
        <v/>
      </c>
      <c r="N78" s="11" t="n">
        <v>45612</v>
      </c>
      <c r="O78" s="10">
        <f>IF($N78="","No","Yes")</f>
        <v/>
      </c>
      <c r="P78" s="12">
        <f>IF(OR($F78="",$G78=""),0,IF(AND($F78&lt;=README!$B$4,README!$B$4&lt;=$G78),1,0))</f>
        <v/>
      </c>
      <c r="Q78" s="12">
        <f>IF(OR($F78="",$G78=""),0,IF(AND($F78&lt;=DATE(README!$B$5,12,31),$G78&gt;=DATE(README!$B$5,1,1)),1,0))</f>
        <v/>
      </c>
      <c r="R78" s="10" t="inlineStr">
        <is>
          <t>GUP-VEH0013</t>
        </is>
      </c>
      <c r="S78" s="11" t="n">
        <v>45478</v>
      </c>
      <c r="T78" s="10" t="inlineStr">
        <is>
          <t>550</t>
        </is>
      </c>
      <c r="U78" s="10" t="inlineStr">
        <is>
          <t>VEHICLE</t>
        </is>
      </c>
      <c r="V78" s="10" t="inlineStr">
        <is>
          <t>T</t>
        </is>
      </c>
      <c r="W78" s="10" t="inlineStr">
        <is>
          <t>VIVEK B</t>
        </is>
      </c>
    </row>
    <row r="79">
      <c r="A79" s="10" t="inlineStr">
        <is>
          <t>TN57AH3636</t>
        </is>
      </c>
      <c r="B79" s="10" t="inlineStr">
        <is>
          <t>SOCKS</t>
        </is>
      </c>
      <c r="C79" s="10" t="inlineStr">
        <is>
          <t>FC WORK</t>
        </is>
      </c>
      <c r="D79" s="10" t="inlineStr">
        <is>
          <t>FC WORK</t>
        </is>
      </c>
      <c r="E79" s="10" t="inlineStr">
        <is>
          <t>YEARLY</t>
        </is>
      </c>
      <c r="F79" s="11" t="n">
        <v>45748</v>
      </c>
      <c r="G79" s="11" t="n">
        <v>46112</v>
      </c>
      <c r="H79" s="12">
        <f>IF(OR($F79="",$G79=""),"",$G79-$F79+1)</f>
        <v/>
      </c>
      <c r="I79" s="10">
        <f>IF($F79="","",IF(MONTH($F79)&gt;=4,YEAR($F79)&amp;"-"&amp;TEXT(YEAR($F79)+1-2000,"00"),YEAR($F79)-1&amp;"-"&amp;TEXT(YEAR($F79)-2000,"00")))</f>
        <v/>
      </c>
      <c r="J79" s="13" t="n">
        <v>67000</v>
      </c>
      <c r="K79" s="14">
        <f>IFERROR($L79/$J79,"")</f>
        <v/>
      </c>
      <c r="L79" s="13" t="n">
        <v>67000</v>
      </c>
      <c r="M79" s="13">
        <f>IFERROR($L79/$H79,"")</f>
        <v/>
      </c>
      <c r="N79" s="11" t="n">
        <v>45854</v>
      </c>
      <c r="O79" s="10">
        <f>IF($N79="","No","Yes")</f>
        <v/>
      </c>
      <c r="P79" s="12">
        <f>IF(OR($F79="",$G79=""),0,IF(AND($F79&lt;=README!$B$4,README!$B$4&lt;=$G79),1,0))</f>
        <v/>
      </c>
      <c r="Q79" s="12">
        <f>IF(OR($F79="",$G79=""),0,IF(AND($F79&lt;=DATE(README!$B$5,12,31),$G79&gt;=DATE(README!$B$5,1,1)),1,0))</f>
        <v/>
      </c>
      <c r="R79" s="10" t="inlineStr">
        <is>
          <t>GUP-VEH0021</t>
        </is>
      </c>
      <c r="S79" s="11" t="n">
        <v>45832</v>
      </c>
      <c r="T79" s="10" t="inlineStr">
        <is>
          <t>654</t>
        </is>
      </c>
      <c r="U79" s="10" t="inlineStr">
        <is>
          <t>VEHICLE</t>
        </is>
      </c>
      <c r="V79" s="10" t="inlineStr">
        <is>
          <t>T</t>
        </is>
      </c>
      <c r="W79" s="10" t="inlineStr">
        <is>
          <t>VIVEK B</t>
        </is>
      </c>
    </row>
    <row r="80">
      <c r="A80" s="10" t="inlineStr">
        <is>
          <t>TN57AH3636</t>
        </is>
      </c>
      <c r="B80" s="10" t="inlineStr">
        <is>
          <t>SOCKS</t>
        </is>
      </c>
      <c r="C80" s="10" t="inlineStr">
        <is>
          <t>ROAD TAX</t>
        </is>
      </c>
      <c r="D80" s="10" t="inlineStr">
        <is>
          <t>GREEN TAX</t>
        </is>
      </c>
      <c r="E80" s="10" t="inlineStr">
        <is>
          <t>QUARTER - I</t>
        </is>
      </c>
      <c r="F80" s="11" t="n">
        <v>45748</v>
      </c>
      <c r="G80" s="11" t="n">
        <v>45838</v>
      </c>
      <c r="H80" s="12">
        <f>IF(OR($F80="",$G80=""),"",$G80-$F80+1)</f>
        <v/>
      </c>
      <c r="I80" s="10">
        <f>IF($F80="","",IF(MONTH($F80)&gt;=4,YEAR($F80)&amp;"-"&amp;TEXT(YEAR($F80)+1-2000,"00"),YEAR($F80)-1&amp;"-"&amp;TEXT(YEAR($F80)-2000,"00")))</f>
        <v/>
      </c>
      <c r="J80" s="13" t="n">
        <v>760</v>
      </c>
      <c r="K80" s="14">
        <f>IFERROR($L80/$J80,"")</f>
        <v/>
      </c>
      <c r="L80" s="13" t="n">
        <v>760</v>
      </c>
      <c r="M80" s="13">
        <f>IFERROR($L80/$H80,"")</f>
        <v/>
      </c>
      <c r="N80" s="11" t="n">
        <v>46030</v>
      </c>
      <c r="O80" s="10">
        <f>IF($N80="","No","Yes")</f>
        <v/>
      </c>
      <c r="P80" s="12">
        <f>IF(OR($F80="",$G80=""),0,IF(AND($F80&lt;=README!$B$4,README!$B$4&lt;=$G80),1,0))</f>
        <v/>
      </c>
      <c r="Q80" s="12">
        <f>IF(OR($F80="",$G80=""),0,IF(AND($F80&lt;=DATE(README!$B$5,12,31),$G80&gt;=DATE(README!$B$5,1,1)),1,0))</f>
        <v/>
      </c>
      <c r="R80" s="10" t="inlineStr">
        <is>
          <t>GUP-VEH0014</t>
        </is>
      </c>
      <c r="S80" s="11" t="n">
        <v>45748</v>
      </c>
      <c r="T80" s="10" t="inlineStr">
        <is>
          <t>609</t>
        </is>
      </c>
      <c r="U80" s="10" t="inlineStr">
        <is>
          <t>VEHICLE</t>
        </is>
      </c>
      <c r="V80" s="10" t="inlineStr">
        <is>
          <t>T</t>
        </is>
      </c>
      <c r="W80" s="10" t="inlineStr">
        <is>
          <t>VIVEK B</t>
        </is>
      </c>
    </row>
    <row r="81">
      <c r="A81" s="10" t="inlineStr">
        <is>
          <t>TN57AH3636</t>
        </is>
      </c>
      <c r="B81" s="10" t="inlineStr">
        <is>
          <t>SOCKS</t>
        </is>
      </c>
      <c r="C81" s="10" t="inlineStr">
        <is>
          <t>ROAD TAX</t>
        </is>
      </c>
      <c r="D81" s="10" t="inlineStr">
        <is>
          <t>ROAD TAX</t>
        </is>
      </c>
      <c r="E81" s="10" t="inlineStr">
        <is>
          <t>QUARTER - I</t>
        </is>
      </c>
      <c r="F81" s="11" t="n">
        <v>45748</v>
      </c>
      <c r="G81" s="11" t="n">
        <v>45838</v>
      </c>
      <c r="H81" s="12">
        <f>IF(OR($F81="",$G81=""),"",$G81-$F81+1)</f>
        <v/>
      </c>
      <c r="I81" s="10">
        <f>IF($F81="","",IF(MONTH($F81)&gt;=4,YEAR($F81)&amp;"-"&amp;TEXT(YEAR($F81)+1-2000,"00"),YEAR($F81)-1&amp;"-"&amp;TEXT(YEAR($F81)-2000,"00")))</f>
        <v/>
      </c>
      <c r="J81" s="13" t="n">
        <v>17092</v>
      </c>
      <c r="K81" s="14">
        <f>IFERROR($L81/$J81,"")</f>
        <v/>
      </c>
      <c r="L81" s="13" t="n">
        <v>17092</v>
      </c>
      <c r="M81" s="13">
        <f>IFERROR($L81/$H81,"")</f>
        <v/>
      </c>
      <c r="N81" s="11" t="n">
        <v>46030</v>
      </c>
      <c r="O81" s="10">
        <f>IF($N81="","No","Yes")</f>
        <v/>
      </c>
      <c r="P81" s="12">
        <f>IF(OR($F81="",$G81=""),0,IF(AND($F81&lt;=README!$B$4,README!$B$4&lt;=$G81),1,0))</f>
        <v/>
      </c>
      <c r="Q81" s="12">
        <f>IF(OR($F81="",$G81=""),0,IF(AND($F81&lt;=DATE(README!$B$5,12,31),$G81&gt;=DATE(README!$B$5,1,1)),1,0))</f>
        <v/>
      </c>
      <c r="R81" s="10" t="inlineStr">
        <is>
          <t>GUP-VEH0014</t>
        </is>
      </c>
      <c r="S81" s="11" t="n">
        <v>45748</v>
      </c>
      <c r="T81" s="10" t="inlineStr">
        <is>
          <t>609</t>
        </is>
      </c>
      <c r="U81" s="10" t="inlineStr">
        <is>
          <t>VEHICLE</t>
        </is>
      </c>
      <c r="V81" s="10" t="inlineStr">
        <is>
          <t>T</t>
        </is>
      </c>
      <c r="W81" s="10" t="inlineStr">
        <is>
          <t>VIVEK B</t>
        </is>
      </c>
    </row>
    <row r="82">
      <c r="A82" s="10" t="inlineStr">
        <is>
          <t>TN57AH3636</t>
        </is>
      </c>
      <c r="B82" s="10" t="inlineStr">
        <is>
          <t>SOCKS</t>
        </is>
      </c>
      <c r="C82" s="10" t="inlineStr">
        <is>
          <t>RTO EXPENSE</t>
        </is>
      </c>
      <c r="D82" s="10" t="inlineStr">
        <is>
          <t>RTO EXPENSE</t>
        </is>
      </c>
      <c r="E82" s="10" t="inlineStr">
        <is>
          <t>YEARLY</t>
        </is>
      </c>
      <c r="F82" s="11" t="n">
        <v>45748</v>
      </c>
      <c r="G82" s="11" t="n">
        <v>46112</v>
      </c>
      <c r="H82" s="12">
        <f>IF(OR($F82="",$G82=""),"",$G82-$F82+1)</f>
        <v/>
      </c>
      <c r="I82" s="10">
        <f>IF($F82="","",IF(MONTH($F82)&gt;=4,YEAR($F82)&amp;"-"&amp;TEXT(YEAR($F82)+1-2000,"00"),YEAR($F82)-1&amp;"-"&amp;TEXT(YEAR($F82)-2000,"00")))</f>
        <v/>
      </c>
      <c r="J82" s="13" t="n">
        <v>6500</v>
      </c>
      <c r="K82" s="14">
        <f>IFERROR($L82/$J82,"")</f>
        <v/>
      </c>
      <c r="L82" s="13" t="n">
        <v>6500</v>
      </c>
      <c r="M82" s="13">
        <f>IFERROR($L82/$H82,"")</f>
        <v/>
      </c>
      <c r="N82" s="11" t="n">
        <v>45854</v>
      </c>
      <c r="O82" s="10">
        <f>IF($N82="","No","Yes")</f>
        <v/>
      </c>
      <c r="P82" s="12">
        <f>IF(OR($F82="",$G82=""),0,IF(AND($F82&lt;=README!$B$4,README!$B$4&lt;=$G82),1,0))</f>
        <v/>
      </c>
      <c r="Q82" s="12">
        <f>IF(OR($F82="",$G82=""),0,IF(AND($F82&lt;=DATE(README!$B$5,12,31),$G82&gt;=DATE(README!$B$5,1,1)),1,0))</f>
        <v/>
      </c>
      <c r="R82" s="10" t="inlineStr">
        <is>
          <t>GUP-VEH0022</t>
        </is>
      </c>
      <c r="S82" s="11" t="n">
        <v>45834</v>
      </c>
      <c r="T82" s="10" t="inlineStr">
        <is>
          <t>655</t>
        </is>
      </c>
      <c r="U82" s="10" t="inlineStr">
        <is>
          <t>VEHICLE</t>
        </is>
      </c>
      <c r="V82" s="10" t="inlineStr">
        <is>
          <t>T</t>
        </is>
      </c>
      <c r="W82" s="10" t="inlineStr">
        <is>
          <t>VIVEK B</t>
        </is>
      </c>
    </row>
    <row r="83">
      <c r="A83" s="10" t="inlineStr">
        <is>
          <t>TN57AH3636</t>
        </is>
      </c>
      <c r="B83" s="10" t="inlineStr">
        <is>
          <t>SOCKS</t>
        </is>
      </c>
      <c r="C83" s="10" t="inlineStr">
        <is>
          <t>TYRE</t>
        </is>
      </c>
      <c r="D83" s="10" t="inlineStr">
        <is>
          <t>TYRE</t>
        </is>
      </c>
      <c r="E83" s="10" t="inlineStr">
        <is>
          <t>YEARLY</t>
        </is>
      </c>
      <c r="F83" s="11" t="n">
        <v>45748</v>
      </c>
      <c r="G83" s="11" t="n">
        <v>46112</v>
      </c>
      <c r="H83" s="12">
        <f>IF(OR($F83="",$G83=""),"",$G83-$F83+1)</f>
        <v/>
      </c>
      <c r="I83" s="10">
        <f>IF($F83="","",IF(MONTH($F83)&gt;=4,YEAR($F83)&amp;"-"&amp;TEXT(YEAR($F83)+1-2000,"00"),YEAR($F83)-1&amp;"-"&amp;TEXT(YEAR($F83)-2000,"00")))</f>
        <v/>
      </c>
      <c r="J83" s="13" t="n">
        <v>37500</v>
      </c>
      <c r="K83" s="14">
        <f>IFERROR($L83/$J83,"")</f>
        <v/>
      </c>
      <c r="L83" s="13" t="n">
        <v>37500</v>
      </c>
      <c r="M83" s="13">
        <f>IFERROR($L83/$H83,"")</f>
        <v/>
      </c>
      <c r="N83" s="11" t="n">
        <v>45957</v>
      </c>
      <c r="O83" s="10">
        <f>IF($N83="","No","Yes")</f>
        <v/>
      </c>
      <c r="P83" s="12">
        <f>IF(OR($F83="",$G83=""),0,IF(AND($F83&lt;=README!$B$4,README!$B$4&lt;=$G83),1,0))</f>
        <v/>
      </c>
      <c r="Q83" s="12">
        <f>IF(OR($F83="",$G83=""),0,IF(AND($F83&lt;=DATE(README!$B$5,12,31),$G83&gt;=DATE(README!$B$5,1,1)),1,0))</f>
        <v/>
      </c>
      <c r="R83" s="10" t="inlineStr">
        <is>
          <t>GUP-VEH0025</t>
        </is>
      </c>
      <c r="S83" s="11" t="n">
        <v>45957</v>
      </c>
      <c r="T83" s="10" t="inlineStr">
        <is>
          <t>726</t>
        </is>
      </c>
      <c r="U83" s="10" t="inlineStr">
        <is>
          <t>VEHICLE</t>
        </is>
      </c>
      <c r="V83" s="10" t="inlineStr">
        <is>
          <t>T</t>
        </is>
      </c>
      <c r="W83" s="10" t="inlineStr">
        <is>
          <t>VIVEK B</t>
        </is>
      </c>
    </row>
    <row r="84">
      <c r="A84" s="10" t="inlineStr">
        <is>
          <t>TN57AH3636</t>
        </is>
      </c>
      <c r="B84" s="10" t="inlineStr">
        <is>
          <t>SOCKS</t>
        </is>
      </c>
      <c r="C84" s="10" t="inlineStr">
        <is>
          <t>VEHICLE INSURANCE</t>
        </is>
      </c>
      <c r="D84" s="10" t="inlineStr">
        <is>
          <t>VEHICLE INSURANCE</t>
        </is>
      </c>
      <c r="E84" s="10" t="inlineStr">
        <is>
          <t>YEARLY</t>
        </is>
      </c>
      <c r="F84" s="11" t="n">
        <v>45748</v>
      </c>
      <c r="G84" s="11" t="n">
        <v>46112</v>
      </c>
      <c r="H84" s="12">
        <f>IF(OR($F84="",$G84=""),"",$G84-$F84+1)</f>
        <v/>
      </c>
      <c r="I84" s="10">
        <f>IF($F84="","",IF(MONTH($F84)&gt;=4,YEAR($F84)&amp;"-"&amp;TEXT(YEAR($F84)+1-2000,"00"),YEAR($F84)-1&amp;"-"&amp;TEXT(YEAR($F84)-2000,"00")))</f>
        <v/>
      </c>
      <c r="J84" s="13" t="n">
        <v>40270</v>
      </c>
      <c r="K84" s="14">
        <f>IFERROR($L84/$J84,"")</f>
        <v/>
      </c>
      <c r="L84" s="13" t="n">
        <v>40270</v>
      </c>
      <c r="M84" s="13">
        <f>IFERROR($L84/$H84,"")</f>
        <v/>
      </c>
      <c r="N84" s="11" t="n">
        <v>45966</v>
      </c>
      <c r="O84" s="10">
        <f>IF($N84="","No","Yes")</f>
        <v/>
      </c>
      <c r="P84" s="12">
        <f>IF(OR($F84="",$G84=""),0,IF(AND($F84&lt;=README!$B$4,README!$B$4&lt;=$G84),1,0))</f>
        <v/>
      </c>
      <c r="Q84" s="12">
        <f>IF(OR($F84="",$G84=""),0,IF(AND($F84&lt;=DATE(README!$B$5,12,31),$G84&gt;=DATE(README!$B$5,1,1)),1,0))</f>
        <v/>
      </c>
      <c r="R84" s="10" t="inlineStr">
        <is>
          <t>GUP-VEH0020</t>
        </is>
      </c>
      <c r="S84" s="11" t="n">
        <v>45799</v>
      </c>
      <c r="T84" s="10" t="inlineStr">
        <is>
          <t>645</t>
        </is>
      </c>
      <c r="U84" s="10" t="inlineStr">
        <is>
          <t>VEHICLE</t>
        </is>
      </c>
      <c r="V84" s="10" t="inlineStr">
        <is>
          <t>T</t>
        </is>
      </c>
      <c r="W84" s="10" t="inlineStr">
        <is>
          <t>VIVEK B</t>
        </is>
      </c>
    </row>
    <row r="85">
      <c r="A85" s="10" t="inlineStr">
        <is>
          <t>TN57AH3636</t>
        </is>
      </c>
      <c r="B85" s="10" t="inlineStr">
        <is>
          <t>SOCKS</t>
        </is>
      </c>
      <c r="C85" s="10" t="inlineStr">
        <is>
          <t>ROAD TAX</t>
        </is>
      </c>
      <c r="D85" s="10" t="inlineStr">
        <is>
          <t>GREEN TAX</t>
        </is>
      </c>
      <c r="E85" s="10" t="inlineStr">
        <is>
          <t>QUARTER - II</t>
        </is>
      </c>
      <c r="F85" s="11" t="n">
        <v>45839</v>
      </c>
      <c r="G85" s="11" t="n">
        <v>45930</v>
      </c>
      <c r="H85" s="12">
        <f>IF(OR($F85="",$G85=""),"",$G85-$F85+1)</f>
        <v/>
      </c>
      <c r="I85" s="10">
        <f>IF($F85="","",IF(MONTH($F85)&gt;=4,YEAR($F85)&amp;"-"&amp;TEXT(YEAR($F85)+1-2000,"00"),YEAR($F85)-1&amp;"-"&amp;TEXT(YEAR($F85)-2000,"00")))</f>
        <v/>
      </c>
      <c r="J85" s="13" t="n">
        <v>190</v>
      </c>
      <c r="K85" s="14">
        <f>IFERROR($L85/$J85,"")</f>
        <v/>
      </c>
      <c r="L85" s="13" t="n">
        <v>190</v>
      </c>
      <c r="M85" s="13">
        <f>IFERROR($L85/$H85,"")</f>
        <v/>
      </c>
      <c r="N85" s="11" t="n">
        <v>46030</v>
      </c>
      <c r="O85" s="10">
        <f>IF($N85="","No","Yes")</f>
        <v/>
      </c>
      <c r="P85" s="12">
        <f>IF(OR($F85="",$G85=""),0,IF(AND($F85&lt;=README!$B$4,README!$B$4&lt;=$G85),1,0))</f>
        <v/>
      </c>
      <c r="Q85" s="12">
        <f>IF(OR($F85="",$G85=""),0,IF(AND($F85&lt;=DATE(README!$B$5,12,31),$G85&gt;=DATE(README!$B$5,1,1)),1,0))</f>
        <v/>
      </c>
      <c r="R85" s="10" t="inlineStr">
        <is>
          <t>GUP-VEH0014</t>
        </is>
      </c>
      <c r="S85" s="11" t="n">
        <v>45748</v>
      </c>
      <c r="T85" s="10" t="inlineStr">
        <is>
          <t>609</t>
        </is>
      </c>
      <c r="U85" s="10" t="inlineStr">
        <is>
          <t>VEHICLE</t>
        </is>
      </c>
      <c r="V85" s="10" t="inlineStr">
        <is>
          <t>T</t>
        </is>
      </c>
      <c r="W85" s="10" t="inlineStr">
        <is>
          <t>VIVEK B</t>
        </is>
      </c>
    </row>
    <row r="86">
      <c r="A86" s="10" t="inlineStr">
        <is>
          <t>TN57AH3636</t>
        </is>
      </c>
      <c r="B86" s="10" t="inlineStr">
        <is>
          <t>SOCKS</t>
        </is>
      </c>
      <c r="C86" s="10" t="inlineStr">
        <is>
          <t>ROAD TAX</t>
        </is>
      </c>
      <c r="D86" s="10" t="inlineStr">
        <is>
          <t>ROAD TAX</t>
        </is>
      </c>
      <c r="E86" s="10" t="inlineStr">
        <is>
          <t>QUARTER - II</t>
        </is>
      </c>
      <c r="F86" s="11" t="n">
        <v>45839</v>
      </c>
      <c r="G86" s="11" t="n">
        <v>45930</v>
      </c>
      <c r="H86" s="12">
        <f>IF(OR($F86="",$G86=""),"",$G86-$F86+1)</f>
        <v/>
      </c>
      <c r="I86" s="10">
        <f>IF($F86="","",IF(MONTH($F86)&gt;=4,YEAR($F86)&amp;"-"&amp;TEXT(YEAR($F86)+1-2000,"00"),YEAR($F86)-1&amp;"-"&amp;TEXT(YEAR($F86)-2000,"00")))</f>
        <v/>
      </c>
      <c r="J86" s="13" t="n">
        <v>4545</v>
      </c>
      <c r="K86" s="14">
        <f>IFERROR($L86/$J86,"")</f>
        <v/>
      </c>
      <c r="L86" s="13" t="n">
        <v>4545</v>
      </c>
      <c r="M86" s="13">
        <f>IFERROR($L86/$H86,"")</f>
        <v/>
      </c>
      <c r="N86" s="11" t="n">
        <v>46030</v>
      </c>
      <c r="O86" s="10">
        <f>IF($N86="","No","Yes")</f>
        <v/>
      </c>
      <c r="P86" s="12">
        <f>IF(OR($F86="",$G86=""),0,IF(AND($F86&lt;=README!$B$4,README!$B$4&lt;=$G86),1,0))</f>
        <v/>
      </c>
      <c r="Q86" s="12">
        <f>IF(OR($F86="",$G86=""),0,IF(AND($F86&lt;=DATE(README!$B$5,12,31),$G86&gt;=DATE(README!$B$5,1,1)),1,0))</f>
        <v/>
      </c>
      <c r="R86" s="10" t="inlineStr">
        <is>
          <t>GUP-VEH0014</t>
        </is>
      </c>
      <c r="S86" s="11" t="n">
        <v>45748</v>
      </c>
      <c r="T86" s="10" t="inlineStr">
        <is>
          <t>609</t>
        </is>
      </c>
      <c r="U86" s="10" t="inlineStr">
        <is>
          <t>VEHICLE</t>
        </is>
      </c>
      <c r="V86" s="10" t="inlineStr">
        <is>
          <t>T</t>
        </is>
      </c>
      <c r="W86" s="10" t="inlineStr">
        <is>
          <t>VIVEK B</t>
        </is>
      </c>
    </row>
    <row r="87">
      <c r="A87" s="10" t="inlineStr">
        <is>
          <t>TN57AH3636</t>
        </is>
      </c>
      <c r="B87" s="10" t="inlineStr">
        <is>
          <t>SOCKS</t>
        </is>
      </c>
      <c r="C87" s="10" t="inlineStr">
        <is>
          <t>ROAD TAX</t>
        </is>
      </c>
      <c r="D87" s="10" t="inlineStr">
        <is>
          <t>ROAD TAX</t>
        </is>
      </c>
      <c r="E87" s="10" t="inlineStr">
        <is>
          <t>QUARTER - III</t>
        </is>
      </c>
      <c r="F87" s="11" t="n">
        <v>45931</v>
      </c>
      <c r="G87" s="11" t="n">
        <v>46022</v>
      </c>
      <c r="H87" s="12">
        <f>IF(OR($F87="",$G87=""),"",$G87-$F87+1)</f>
        <v/>
      </c>
      <c r="I87" s="10">
        <f>IF($F87="","",IF(MONTH($F87)&gt;=4,YEAR($F87)&amp;"-"&amp;TEXT(YEAR($F87)+1-2000,"00"),YEAR($F87)-1&amp;"-"&amp;TEXT(YEAR($F87)-2000,"00")))</f>
        <v/>
      </c>
      <c r="J87" s="13" t="n">
        <v>4555</v>
      </c>
      <c r="K87" s="14">
        <f>IFERROR($L87/$J87,"")</f>
        <v/>
      </c>
      <c r="L87" s="13" t="n">
        <v>4555</v>
      </c>
      <c r="M87" s="13">
        <f>IFERROR($L87/$H87,"")</f>
        <v/>
      </c>
      <c r="N87" s="11" t="n">
        <v>46030</v>
      </c>
      <c r="O87" s="10">
        <f>IF($N87="","No","Yes")</f>
        <v/>
      </c>
      <c r="P87" s="12">
        <f>IF(OR($F87="",$G87=""),0,IF(AND($F87&lt;=README!$B$4,README!$B$4&lt;=$G87),1,0))</f>
        <v/>
      </c>
      <c r="Q87" s="12">
        <f>IF(OR($F87="",$G87=""),0,IF(AND($F87&lt;=DATE(README!$B$5,12,31),$G87&gt;=DATE(README!$B$5,1,1)),1,0))</f>
        <v/>
      </c>
      <c r="R87" s="10" t="inlineStr">
        <is>
          <t>GUP-VEH0014</t>
        </is>
      </c>
      <c r="S87" s="11" t="n">
        <v>45748</v>
      </c>
      <c r="T87" s="10" t="inlineStr">
        <is>
          <t>609</t>
        </is>
      </c>
      <c r="U87" s="10" t="inlineStr">
        <is>
          <t>VEHICLE</t>
        </is>
      </c>
      <c r="V87" s="10" t="inlineStr">
        <is>
          <t>T</t>
        </is>
      </c>
      <c r="W87" s="10" t="inlineStr">
        <is>
          <t>VIVEK B</t>
        </is>
      </c>
    </row>
    <row r="88">
      <c r="A88" s="10" t="inlineStr">
        <is>
          <t>TN57AH3636</t>
        </is>
      </c>
      <c r="B88" s="10" t="inlineStr">
        <is>
          <t>GENERAL</t>
        </is>
      </c>
      <c r="C88" s="10" t="inlineStr">
        <is>
          <t>VEHICLE OUTSIDE SERVICES</t>
        </is>
      </c>
      <c r="D88" s="10" t="inlineStr">
        <is>
          <t>ELETRICAL WORK - VEHICLE</t>
        </is>
      </c>
      <c r="E88" s="10" t="inlineStr">
        <is>
          <t>NOVEMBER</t>
        </is>
      </c>
      <c r="F88" s="11" t="n">
        <v>45962</v>
      </c>
      <c r="G88" s="11" t="n">
        <v>45991</v>
      </c>
      <c r="H88" s="12">
        <f>IF(OR($F88="",$G88=""),"",$G88-$F88+1)</f>
        <v/>
      </c>
      <c r="I88" s="10">
        <f>IF($F88="","",IF(MONTH($F88)&gt;=4,YEAR($F88)&amp;"-"&amp;TEXT(YEAR($F88)+1-2000,"00"),YEAR($F88)-1&amp;"-"&amp;TEXT(YEAR($F88)-2000,"00")))</f>
        <v/>
      </c>
      <c r="J88" s="13" t="n">
        <v>4704</v>
      </c>
      <c r="K88" s="14">
        <f>IFERROR($L88/$J88,"")</f>
        <v/>
      </c>
      <c r="L88" s="13" t="n">
        <v>4704</v>
      </c>
      <c r="M88" s="13">
        <f>IFERROR($L88/$H88,"")</f>
        <v/>
      </c>
      <c r="N88" s="11" t="n">
        <v>45986</v>
      </c>
      <c r="O88" s="10">
        <f>IF($N88="","No","Yes")</f>
        <v/>
      </c>
      <c r="P88" s="12">
        <f>IF(OR($F88="",$G88=""),0,IF(AND($F88&lt;=README!$B$4,README!$B$4&lt;=$G88),1,0))</f>
        <v/>
      </c>
      <c r="Q88" s="12">
        <f>IF(OR($F88="",$G88=""),0,IF(AND($F88&lt;=DATE(README!$B$5,12,31),$G88&gt;=DATE(README!$B$5,1,1)),1,0))</f>
        <v/>
      </c>
      <c r="R88" s="10" t="inlineStr">
        <is>
          <t>GUP-VEH0019</t>
        </is>
      </c>
      <c r="S88" s="11" t="n">
        <v>45777</v>
      </c>
      <c r="T88" s="10" t="inlineStr">
        <is>
          <t>638</t>
        </is>
      </c>
      <c r="U88" s="10" t="inlineStr">
        <is>
          <t>VEHICLE</t>
        </is>
      </c>
      <c r="V88" s="10" t="inlineStr">
        <is>
          <t>T</t>
        </is>
      </c>
      <c r="W88" s="10" t="inlineStr">
        <is>
          <t>VIVEK B</t>
        </is>
      </c>
    </row>
    <row r="89">
      <c r="A89" s="10" t="inlineStr">
        <is>
          <t>TN57AH3636</t>
        </is>
      </c>
      <c r="B89" s="10" t="inlineStr">
        <is>
          <t>SOCKS</t>
        </is>
      </c>
      <c r="C89" s="10" t="inlineStr">
        <is>
          <t>ROAD TAX</t>
        </is>
      </c>
      <c r="D89" s="10" t="inlineStr">
        <is>
          <t>ROAD TAX</t>
        </is>
      </c>
      <c r="E89" s="10" t="inlineStr">
        <is>
          <t>QUARTER - IV</t>
        </is>
      </c>
      <c r="F89" s="11" t="n">
        <v>46023</v>
      </c>
      <c r="G89" s="11" t="n">
        <v>46112</v>
      </c>
      <c r="H89" s="12">
        <f>IF(OR($F89="",$G89=""),"",$G89-$F89+1)</f>
        <v/>
      </c>
      <c r="I89" s="10">
        <f>IF($F89="","",IF(MONTH($F89)&gt;=4,YEAR($F89)&amp;"-"&amp;TEXT(YEAR($F89)+1-2000,"00"),YEAR($F89)-1&amp;"-"&amp;TEXT(YEAR($F89)-2000,"00")))</f>
        <v/>
      </c>
      <c r="J89" s="13" t="n">
        <v>4555</v>
      </c>
      <c r="K89" s="14">
        <f>IFERROR($L89/$J89,"")</f>
        <v/>
      </c>
      <c r="L89" s="13" t="n">
        <v>4555</v>
      </c>
      <c r="M89" s="13">
        <f>IFERROR($L89/$H89,"")</f>
        <v/>
      </c>
      <c r="N89" s="11" t="n">
        <v>46030</v>
      </c>
      <c r="O89" s="10">
        <f>IF($N89="","No","Yes")</f>
        <v/>
      </c>
      <c r="P89" s="12">
        <f>IF(OR($F89="",$G89=""),0,IF(AND($F89&lt;=README!$B$4,README!$B$4&lt;=$G89),1,0))</f>
        <v/>
      </c>
      <c r="Q89" s="12">
        <f>IF(OR($F89="",$G89=""),0,IF(AND($F89&lt;=DATE(README!$B$5,12,31),$G89&gt;=DATE(README!$B$5,1,1)),1,0))</f>
        <v/>
      </c>
      <c r="R89" s="10" t="inlineStr">
        <is>
          <t>GUP-VEH0014</t>
        </is>
      </c>
      <c r="S89" s="11" t="n">
        <v>45748</v>
      </c>
      <c r="T89" s="10" t="inlineStr">
        <is>
          <t>609</t>
        </is>
      </c>
      <c r="U89" s="10" t="inlineStr">
        <is>
          <t>VEHICLE</t>
        </is>
      </c>
      <c r="V89" s="10" t="inlineStr">
        <is>
          <t>T</t>
        </is>
      </c>
      <c r="W89" s="10" t="inlineStr">
        <is>
          <t>VIVEK B</t>
        </is>
      </c>
    </row>
    <row r="90">
      <c r="A90" s="10" t="inlineStr">
        <is>
          <t>TN57AH3636</t>
        </is>
      </c>
      <c r="B90" s="10" t="inlineStr">
        <is>
          <t>SOCKS</t>
        </is>
      </c>
      <c r="C90" s="10" t="inlineStr">
        <is>
          <t>ROAD TAX</t>
        </is>
      </c>
      <c r="D90" s="10" t="inlineStr">
        <is>
          <t>ROAD TAX</t>
        </is>
      </c>
      <c r="E90" s="10" t="inlineStr">
        <is>
          <t>QUARTER - I</t>
        </is>
      </c>
      <c r="F90" s="11" t="n">
        <v>46113</v>
      </c>
      <c r="G90" s="11" t="n">
        <v>46203</v>
      </c>
      <c r="H90" s="12">
        <f>IF(OR($F90="",$G90=""),"",$G90-$F90+1)</f>
        <v/>
      </c>
      <c r="I90" s="10">
        <f>IF($F90="","",IF(MONTH($F90)&gt;=4,YEAR($F90)&amp;"-"&amp;TEXT(YEAR($F90)+1-2000,"00"),YEAR($F90)-1&amp;"-"&amp;TEXT(YEAR($F90)-2000,"00")))</f>
        <v/>
      </c>
      <c r="J90" s="13" t="n">
        <v>18220</v>
      </c>
      <c r="K90" s="14">
        <f>IFERROR($L90/$J90,"")</f>
        <v/>
      </c>
      <c r="L90" s="13" t="n">
        <v>18220</v>
      </c>
      <c r="M90" s="13">
        <f>IFERROR($L90/$H90,"")</f>
        <v/>
      </c>
      <c r="N90" s="11" t="n">
        <v>46088</v>
      </c>
      <c r="O90" s="10">
        <f>IF($N90="","No","Yes")</f>
        <v/>
      </c>
      <c r="P90" s="12">
        <f>IF(OR($F90="",$G90=""),0,IF(AND($F90&lt;=README!$B$4,README!$B$4&lt;=$G90),1,0))</f>
        <v/>
      </c>
      <c r="Q90" s="12">
        <f>IF(OR($F90="",$G90=""),0,IF(AND($F90&lt;=DATE(README!$B$5,12,31),$G90&gt;=DATE(README!$B$5,1,1)),1,0))</f>
        <v/>
      </c>
      <c r="R90" s="10" t="inlineStr">
        <is>
          <t>GUP-VEH0030</t>
        </is>
      </c>
      <c r="S90" s="11" t="n">
        <v>46113</v>
      </c>
      <c r="T90" s="10" t="inlineStr">
        <is>
          <t>796</t>
        </is>
      </c>
      <c r="U90" s="10" t="inlineStr">
        <is>
          <t>VEHICLE</t>
        </is>
      </c>
      <c r="V90" s="10" t="inlineStr">
        <is>
          <t>T</t>
        </is>
      </c>
      <c r="W90" s="10" t="inlineStr">
        <is>
          <t>VIVEK B</t>
        </is>
      </c>
    </row>
    <row r="91">
      <c r="A91" s="10" t="inlineStr">
        <is>
          <t>TN57AK3636</t>
        </is>
      </c>
      <c r="B91" s="10" t="inlineStr">
        <is>
          <t>GENERAL</t>
        </is>
      </c>
      <c r="C91" s="10" t="inlineStr">
        <is>
          <t>VEHICLE OUTSIDE SERVICES</t>
        </is>
      </c>
      <c r="D91" s="10" t="inlineStr">
        <is>
          <t>LIGHT WORK VEHICLE</t>
        </is>
      </c>
      <c r="E91" s="10" t="inlineStr">
        <is>
          <t>JANUARY</t>
        </is>
      </c>
      <c r="F91" s="11" t="n">
        <v>46023</v>
      </c>
      <c r="G91" s="11" t="n">
        <v>46053</v>
      </c>
      <c r="H91" s="12">
        <f>IF(OR($F91="",$G91=""),"",$G91-$F91+1)</f>
        <v/>
      </c>
      <c r="I91" s="10">
        <f>IF($F91="","",IF(MONTH($F91)&gt;=4,YEAR($F91)&amp;"-"&amp;TEXT(YEAR($F91)+1-2000,"00"),YEAR($F91)-1&amp;"-"&amp;TEXT(YEAR($F91)-2000,"00")))</f>
        <v/>
      </c>
      <c r="J91" s="13" t="n">
        <v>8700</v>
      </c>
      <c r="K91" s="14">
        <f>IFERROR($L91/$J91,"")</f>
        <v/>
      </c>
      <c r="L91" s="13" t="n">
        <v>8700</v>
      </c>
      <c r="M91" s="13">
        <f>IFERROR($L91/$H91,"")</f>
        <v/>
      </c>
      <c r="N91" s="11" t="n">
        <v>46028</v>
      </c>
      <c r="O91" s="10">
        <f>IF($N91="","No","Yes")</f>
        <v/>
      </c>
      <c r="P91" s="12">
        <f>IF(OR($F91="",$G91=""),0,IF(AND($F91&lt;=README!$B$4,README!$B$4&lt;=$G91),1,0))</f>
        <v/>
      </c>
      <c r="Q91" s="12">
        <f>IF(OR($F91="",$G91=""),0,IF(AND($F91&lt;=DATE(README!$B$5,12,31),$G91&gt;=DATE(README!$B$5,1,1)),1,0))</f>
        <v/>
      </c>
      <c r="R91" s="10" t="inlineStr">
        <is>
          <t>GUP-VEH0019</t>
        </is>
      </c>
      <c r="S91" s="11" t="n">
        <v>45777</v>
      </c>
      <c r="T91" s="10" t="inlineStr">
        <is>
          <t>638</t>
        </is>
      </c>
      <c r="U91" s="10" t="inlineStr">
        <is>
          <t>VEHICLE</t>
        </is>
      </c>
      <c r="V91" s="10" t="inlineStr">
        <is>
          <t>T</t>
        </is>
      </c>
      <c r="W91" s="10" t="inlineStr">
        <is>
          <t>VIVEK B</t>
        </is>
      </c>
    </row>
    <row r="92">
      <c r="A92" s="10" t="inlineStr">
        <is>
          <t>TN57AK3636</t>
        </is>
      </c>
      <c r="B92" s="10" t="inlineStr">
        <is>
          <t>SOCKS</t>
        </is>
      </c>
      <c r="C92" s="10" t="inlineStr">
        <is>
          <t>VEHICLE OUTSIDE SERVICES</t>
        </is>
      </c>
      <c r="D92" s="10" t="inlineStr">
        <is>
          <t>ELETRICAL WORK - VEHICLE</t>
        </is>
      </c>
      <c r="E92" s="10" t="inlineStr">
        <is>
          <t>APRIL</t>
        </is>
      </c>
      <c r="F92" s="11" t="n">
        <v>46113</v>
      </c>
      <c r="G92" s="11" t="n">
        <v>46142</v>
      </c>
      <c r="H92" s="12">
        <f>IF(OR($F92="",$G92=""),"",$G92-$F92+1)</f>
        <v/>
      </c>
      <c r="I92" s="10">
        <f>IF($F92="","",IF(MONTH($F92)&gt;=4,YEAR($F92)&amp;"-"&amp;TEXT(YEAR($F92)+1-2000,"00"),YEAR($F92)-1&amp;"-"&amp;TEXT(YEAR($F92)-2000,"00")))</f>
        <v/>
      </c>
      <c r="J92" s="13" t="n">
        <v>6850</v>
      </c>
      <c r="K92" s="14">
        <f>IFERROR($L92/$J92,"")</f>
        <v/>
      </c>
      <c r="L92" s="13" t="n">
        <v>6850</v>
      </c>
      <c r="M92" s="13">
        <f>IFERROR($L92/$H92,"")</f>
        <v/>
      </c>
      <c r="N92" s="11" t="n">
        <v>46121</v>
      </c>
      <c r="O92" s="10">
        <f>IF($N92="","No","Yes")</f>
        <v/>
      </c>
      <c r="P92" s="12">
        <f>IF(OR($F92="",$G92=""),0,IF(AND($F92&lt;=README!$B$4,README!$B$4&lt;=$G92),1,0))</f>
        <v/>
      </c>
      <c r="Q92" s="12">
        <f>IF(OR($F92="",$G92=""),0,IF(AND($F92&lt;=DATE(README!$B$5,12,31),$G92&gt;=DATE(README!$B$5,1,1)),1,0))</f>
        <v/>
      </c>
      <c r="R92" s="10" t="inlineStr">
        <is>
          <t>GUP-VEH0031</t>
        </is>
      </c>
      <c r="S92" s="11" t="n">
        <v>46114</v>
      </c>
      <c r="T92" s="10" t="inlineStr">
        <is>
          <t>810</t>
        </is>
      </c>
      <c r="U92" s="10" t="inlineStr">
        <is>
          <t>VEHICLE</t>
        </is>
      </c>
      <c r="V92" s="10" t="inlineStr">
        <is>
          <t>T</t>
        </is>
      </c>
      <c r="W92" s="10" t="inlineStr">
        <is>
          <t>VIVEK B</t>
        </is>
      </c>
    </row>
    <row r="93">
      <c r="A93" s="10" t="inlineStr">
        <is>
          <t>TN57AM3636</t>
        </is>
      </c>
      <c r="B93" s="10" t="inlineStr">
        <is>
          <t>SOCKS</t>
        </is>
      </c>
      <c r="C93" s="10" t="inlineStr">
        <is>
          <t>FC WORK</t>
        </is>
      </c>
      <c r="D93" s="10" t="inlineStr">
        <is>
          <t>FC WORK</t>
        </is>
      </c>
      <c r="E93" s="10" t="inlineStr">
        <is>
          <t>YEARLY</t>
        </is>
      </c>
      <c r="F93" s="11" t="n">
        <v>45383</v>
      </c>
      <c r="G93" s="11" t="n">
        <v>45747</v>
      </c>
      <c r="H93" s="12">
        <f>IF(OR($F93="",$G93=""),"",$G93-$F93+1)</f>
        <v/>
      </c>
      <c r="I93" s="10">
        <f>IF($F93="","",IF(MONTH($F93)&gt;=4,YEAR($F93)&amp;"-"&amp;TEXT(YEAR($F93)+1-2000,"00"),YEAR($F93)-1&amp;"-"&amp;TEXT(YEAR($F93)-2000,"00")))</f>
        <v/>
      </c>
      <c r="J93" s="13" t="n">
        <v>45000</v>
      </c>
      <c r="K93" s="14">
        <f>IFERROR($L93/$J93,"")</f>
        <v/>
      </c>
      <c r="L93" s="13" t="n">
        <v>45000</v>
      </c>
      <c r="M93" s="13">
        <f>IFERROR($L93/$H93,"")</f>
        <v/>
      </c>
      <c r="N93" s="11" t="n">
        <v>45723</v>
      </c>
      <c r="O93" s="10">
        <f>IF($N93="","No","Yes")</f>
        <v/>
      </c>
      <c r="P93" s="12">
        <f>IF(OR($F93="",$G93=""),0,IF(AND($F93&lt;=README!$B$4,README!$B$4&lt;=$G93),1,0))</f>
        <v/>
      </c>
      <c r="Q93" s="12">
        <f>IF(OR($F93="",$G93=""),0,IF(AND($F93&lt;=DATE(README!$B$5,12,31),$G93&gt;=DATE(README!$B$5,1,1)),1,0))</f>
        <v/>
      </c>
      <c r="R93" s="10" t="inlineStr">
        <is>
          <t>GUP-VEH0009</t>
        </is>
      </c>
      <c r="S93" s="11" t="n">
        <v>45475</v>
      </c>
      <c r="T93" s="10" t="inlineStr">
        <is>
          <t>546</t>
        </is>
      </c>
      <c r="U93" s="10" t="inlineStr">
        <is>
          <t>VEHICLE</t>
        </is>
      </c>
      <c r="V93" s="10" t="inlineStr">
        <is>
          <t>T</t>
        </is>
      </c>
      <c r="W93" s="10" t="inlineStr">
        <is>
          <t>VIVEK B</t>
        </is>
      </c>
    </row>
    <row r="94">
      <c r="A94" s="10" t="inlineStr">
        <is>
          <t>TN57AM3636</t>
        </is>
      </c>
      <c r="B94" s="10" t="inlineStr">
        <is>
          <t>SOCKS</t>
        </is>
      </c>
      <c r="C94" s="10" t="inlineStr">
        <is>
          <t>ROAD TAX</t>
        </is>
      </c>
      <c r="D94" s="10" t="inlineStr">
        <is>
          <t>ROAD TAX</t>
        </is>
      </c>
      <c r="E94" s="10" t="inlineStr">
        <is>
          <t>YEARLY</t>
        </is>
      </c>
      <c r="F94" s="11" t="n">
        <v>45383</v>
      </c>
      <c r="G94" s="11" t="n">
        <v>45747</v>
      </c>
      <c r="H94" s="12">
        <f>IF(OR($F94="",$G94=""),"",$G94-$F94+1)</f>
        <v/>
      </c>
      <c r="I94" s="10">
        <f>IF($F94="","",IF(MONTH($F94)&gt;=4,YEAR($F94)&amp;"-"&amp;TEXT(YEAR($F94)+1-2000,"00"),YEAR($F94)-1&amp;"-"&amp;TEXT(YEAR($F94)-2000,"00")))</f>
        <v/>
      </c>
      <c r="J94" s="13" t="n">
        <v>1700</v>
      </c>
      <c r="K94" s="14">
        <f>IFERROR($L94/$J94,"")</f>
        <v/>
      </c>
      <c r="L94" s="13" t="n">
        <v>1700</v>
      </c>
      <c r="M94" s="13">
        <f>IFERROR($L94/$H94,"")</f>
        <v/>
      </c>
      <c r="N94" s="11" t="n">
        <v>45638</v>
      </c>
      <c r="O94" s="10">
        <f>IF($N94="","No","Yes")</f>
        <v/>
      </c>
      <c r="P94" s="12">
        <f>IF(OR($F94="",$G94=""),0,IF(AND($F94&lt;=README!$B$4,README!$B$4&lt;=$G94),1,0))</f>
        <v/>
      </c>
      <c r="Q94" s="12">
        <f>IF(OR($F94="",$G94=""),0,IF(AND($F94&lt;=DATE(README!$B$5,12,31),$G94&gt;=DATE(README!$B$5,1,1)),1,0))</f>
        <v/>
      </c>
      <c r="R94" s="10" t="inlineStr">
        <is>
          <t>GUP-VEH0011</t>
        </is>
      </c>
      <c r="S94" s="11" t="n">
        <v>45477</v>
      </c>
      <c r="T94" s="10" t="inlineStr">
        <is>
          <t>548</t>
        </is>
      </c>
      <c r="U94" s="10" t="inlineStr">
        <is>
          <t>VEHICLE</t>
        </is>
      </c>
      <c r="V94" s="10" t="inlineStr">
        <is>
          <t>T</t>
        </is>
      </c>
      <c r="W94" s="10" t="inlineStr">
        <is>
          <t>VIVEK B</t>
        </is>
      </c>
    </row>
    <row r="95">
      <c r="A95" s="10" t="inlineStr">
        <is>
          <t>TN57AM3636</t>
        </is>
      </c>
      <c r="B95" s="10" t="inlineStr">
        <is>
          <t>SOCKS</t>
        </is>
      </c>
      <c r="C95" s="10" t="inlineStr">
        <is>
          <t>RTO EXPENSE</t>
        </is>
      </c>
      <c r="D95" s="10" t="inlineStr">
        <is>
          <t>RTO EXPENSE</t>
        </is>
      </c>
      <c r="E95" s="10" t="inlineStr">
        <is>
          <t>YEARLY</t>
        </is>
      </c>
      <c r="F95" s="11" t="n">
        <v>45383</v>
      </c>
      <c r="G95" s="11" t="n">
        <v>45747</v>
      </c>
      <c r="H95" s="12">
        <f>IF(OR($F95="",$G95=""),"",$G95-$F95+1)</f>
        <v/>
      </c>
      <c r="I95" s="10">
        <f>IF($F95="","",IF(MONTH($F95)&gt;=4,YEAR($F95)&amp;"-"&amp;TEXT(YEAR($F95)+1-2000,"00"),YEAR($F95)-1&amp;"-"&amp;TEXT(YEAR($F95)-2000,"00")))</f>
        <v/>
      </c>
      <c r="J95" s="13" t="n">
        <v>6500</v>
      </c>
      <c r="K95" s="14">
        <f>IFERROR($L95/$J95,"")</f>
        <v/>
      </c>
      <c r="L95" s="13" t="n">
        <v>6500</v>
      </c>
      <c r="M95" s="13">
        <f>IFERROR($L95/$H95,"")</f>
        <v/>
      </c>
      <c r="N95" s="11" t="n">
        <v>45723</v>
      </c>
      <c r="O95" s="10">
        <f>IF($N95="","No","Yes")</f>
        <v/>
      </c>
      <c r="P95" s="12">
        <f>IF(OR($F95="",$G95=""),0,IF(AND($F95&lt;=README!$B$4,README!$B$4&lt;=$G95),1,0))</f>
        <v/>
      </c>
      <c r="Q95" s="12">
        <f>IF(OR($F95="",$G95=""),0,IF(AND($F95&lt;=DATE(README!$B$5,12,31),$G95&gt;=DATE(README!$B$5,1,1)),1,0))</f>
        <v/>
      </c>
      <c r="R95" s="10" t="inlineStr">
        <is>
          <t>GUP-VEH0010</t>
        </is>
      </c>
      <c r="S95" s="11" t="n">
        <v>45475</v>
      </c>
      <c r="T95" s="10" t="inlineStr">
        <is>
          <t>547</t>
        </is>
      </c>
      <c r="U95" s="10" t="inlineStr">
        <is>
          <t>VEHICLE</t>
        </is>
      </c>
      <c r="V95" s="10" t="inlineStr">
        <is>
          <t>T</t>
        </is>
      </c>
      <c r="W95" s="10" t="inlineStr">
        <is>
          <t>VIVEK B</t>
        </is>
      </c>
    </row>
    <row r="96">
      <c r="A96" s="10" t="inlineStr">
        <is>
          <t>TN57AM3636</t>
        </is>
      </c>
      <c r="B96" s="10" t="inlineStr">
        <is>
          <t>SOCKS</t>
        </is>
      </c>
      <c r="C96" s="10" t="inlineStr">
        <is>
          <t>RTO EXPENSE</t>
        </is>
      </c>
      <c r="D96" s="10" t="inlineStr">
        <is>
          <t>RTO EXPENSE</t>
        </is>
      </c>
      <c r="E96" s="10" t="inlineStr">
        <is>
          <t>YEARLY</t>
        </is>
      </c>
      <c r="F96" s="11" t="n">
        <v>45383</v>
      </c>
      <c r="G96" s="11" t="n">
        <v>45747</v>
      </c>
      <c r="H96" s="12">
        <f>IF(OR($F96="",$G96=""),"",$G96-$F96+1)</f>
        <v/>
      </c>
      <c r="I96" s="10">
        <f>IF($F96="","",IF(MONTH($F96)&gt;=4,YEAR($F96)&amp;"-"&amp;TEXT(YEAR($F96)+1-2000,"00"),YEAR($F96)-1&amp;"-"&amp;TEXT(YEAR($F96)-2000,"00")))</f>
        <v/>
      </c>
      <c r="J96" s="13" t="n">
        <v>5500</v>
      </c>
      <c r="K96" s="14">
        <f>IFERROR($L96/$J96,"")</f>
        <v/>
      </c>
      <c r="L96" s="13" t="n">
        <v>5500</v>
      </c>
      <c r="M96" s="13">
        <f>IFERROR($L96/$H96,"")</f>
        <v/>
      </c>
      <c r="N96" s="11" t="n">
        <v>45638</v>
      </c>
      <c r="O96" s="10">
        <f>IF($N96="","No","Yes")</f>
        <v/>
      </c>
      <c r="P96" s="12">
        <f>IF(OR($F96="",$G96=""),0,IF(AND($F96&lt;=README!$B$4,README!$B$4&lt;=$G96),1,0))</f>
        <v/>
      </c>
      <c r="Q96" s="12">
        <f>IF(OR($F96="",$G96=""),0,IF(AND($F96&lt;=DATE(README!$B$5,12,31),$G96&gt;=DATE(README!$B$5,1,1)),1,0))</f>
        <v/>
      </c>
      <c r="R96" s="10" t="inlineStr">
        <is>
          <t>GUP-VEH0010</t>
        </is>
      </c>
      <c r="S96" s="11" t="n">
        <v>45475</v>
      </c>
      <c r="T96" s="10" t="inlineStr">
        <is>
          <t>547</t>
        </is>
      </c>
      <c r="U96" s="10" t="inlineStr">
        <is>
          <t>VEHICLE</t>
        </is>
      </c>
      <c r="V96" s="10" t="inlineStr">
        <is>
          <t>T</t>
        </is>
      </c>
      <c r="W96" s="10" t="inlineStr">
        <is>
          <t>VIVEK B</t>
        </is>
      </c>
    </row>
    <row r="97">
      <c r="A97" s="10" t="inlineStr">
        <is>
          <t>TN57AM3636</t>
        </is>
      </c>
      <c r="B97" s="10" t="inlineStr">
        <is>
          <t>SOCKS</t>
        </is>
      </c>
      <c r="C97" s="10" t="inlineStr">
        <is>
          <t>TYRE</t>
        </is>
      </c>
      <c r="D97" s="10" t="inlineStr">
        <is>
          <t>TYRE</t>
        </is>
      </c>
      <c r="E97" s="10" t="inlineStr">
        <is>
          <t>YEARLY</t>
        </is>
      </c>
      <c r="F97" s="11" t="n">
        <v>45383</v>
      </c>
      <c r="G97" s="11" t="n">
        <v>45747</v>
      </c>
      <c r="H97" s="12">
        <f>IF(OR($F97="",$G97=""),"",$G97-$F97+1)</f>
        <v/>
      </c>
      <c r="I97" s="10">
        <f>IF($F97="","",IF(MONTH($F97)&gt;=4,YEAR($F97)&amp;"-"&amp;TEXT(YEAR($F97)+1-2000,"00"),YEAR($F97)-1&amp;"-"&amp;TEXT(YEAR($F97)-2000,"00")))</f>
        <v/>
      </c>
      <c r="J97" s="13" t="n">
        <v>35300</v>
      </c>
      <c r="K97" s="14">
        <f>IFERROR($L97/$J97,"")</f>
        <v/>
      </c>
      <c r="L97" s="13" t="n">
        <v>35300</v>
      </c>
      <c r="M97" s="13">
        <f>IFERROR($L97/$H97,"")</f>
        <v/>
      </c>
      <c r="N97" s="11" t="n">
        <v>45443</v>
      </c>
      <c r="O97" s="10">
        <f>IF($N97="","No","Yes")</f>
        <v/>
      </c>
      <c r="P97" s="12">
        <f>IF(OR($F97="",$G97=""),0,IF(AND($F97&lt;=README!$B$4,README!$B$4&lt;=$G97),1,0))</f>
        <v/>
      </c>
      <c r="Q97" s="12">
        <f>IF(OR($F97="",$G97=""),0,IF(AND($F97&lt;=DATE(README!$B$5,12,31),$G97&gt;=DATE(README!$B$5,1,1)),1,0))</f>
        <v/>
      </c>
      <c r="R97" s="10" t="inlineStr">
        <is>
          <t>GUP-VEH0006</t>
        </is>
      </c>
      <c r="S97" s="11" t="n">
        <v>45442</v>
      </c>
      <c r="T97" s="10" t="inlineStr">
        <is>
          <t>522</t>
        </is>
      </c>
      <c r="U97" s="10" t="inlineStr">
        <is>
          <t>VEHICLE</t>
        </is>
      </c>
      <c r="V97" s="10" t="inlineStr">
        <is>
          <t>T</t>
        </is>
      </c>
      <c r="W97" s="10" t="inlineStr">
        <is>
          <t>VIVEK B</t>
        </is>
      </c>
    </row>
    <row r="98">
      <c r="A98" s="10" t="inlineStr">
        <is>
          <t>TN57AM3636</t>
        </is>
      </c>
      <c r="B98" s="10" t="inlineStr">
        <is>
          <t>SOCKS</t>
        </is>
      </c>
      <c r="C98" s="10" t="inlineStr">
        <is>
          <t>VEHICLE INSURANCE</t>
        </is>
      </c>
      <c r="D98" s="10" t="inlineStr">
        <is>
          <t>VEHICLE INSURANCE</t>
        </is>
      </c>
      <c r="E98" s="10" t="inlineStr">
        <is>
          <t>YEARLY</t>
        </is>
      </c>
      <c r="F98" s="11" t="n">
        <v>45383</v>
      </c>
      <c r="G98" s="11" t="n">
        <v>45747</v>
      </c>
      <c r="H98" s="12">
        <f>IF(OR($F98="",$G98=""),"",$G98-$F98+1)</f>
        <v/>
      </c>
      <c r="I98" s="10">
        <f>IF($F98="","",IF(MONTH($F98)&gt;=4,YEAR($F98)&amp;"-"&amp;TEXT(YEAR($F98)+1-2000,"00"),YEAR($F98)-1&amp;"-"&amp;TEXT(YEAR($F98)-2000,"00")))</f>
        <v/>
      </c>
      <c r="J98" s="13" t="n">
        <v>40792</v>
      </c>
      <c r="K98" s="14">
        <f>IFERROR($L98/$J98,"")</f>
        <v/>
      </c>
      <c r="L98" s="13" t="n">
        <v>40792</v>
      </c>
      <c r="M98" s="13">
        <f>IFERROR($L98/$H98,"")</f>
        <v/>
      </c>
      <c r="N98" s="11" t="n">
        <v>45565</v>
      </c>
      <c r="O98" s="10">
        <f>IF($N98="","No","Yes")</f>
        <v/>
      </c>
      <c r="P98" s="12">
        <f>IF(OR($F98="",$G98=""),0,IF(AND($F98&lt;=README!$B$4,README!$B$4&lt;=$G98),1,0))</f>
        <v/>
      </c>
      <c r="Q98" s="12">
        <f>IF(OR($F98="",$G98=""),0,IF(AND($F98&lt;=DATE(README!$B$5,12,31),$G98&gt;=DATE(README!$B$5,1,1)),1,0))</f>
        <v/>
      </c>
      <c r="R98" s="10" t="inlineStr">
        <is>
          <t>GUP-VEH0013</t>
        </is>
      </c>
      <c r="S98" s="11" t="n">
        <v>45478</v>
      </c>
      <c r="T98" s="10" t="inlineStr">
        <is>
          <t>550</t>
        </is>
      </c>
      <c r="U98" s="10" t="inlineStr">
        <is>
          <t>VEHICLE</t>
        </is>
      </c>
      <c r="V98" s="10" t="inlineStr">
        <is>
          <t>T</t>
        </is>
      </c>
      <c r="W98" s="10" t="inlineStr">
        <is>
          <t>VIVEK B</t>
        </is>
      </c>
    </row>
    <row r="99">
      <c r="A99" s="10" t="inlineStr">
        <is>
          <t>TN57AM3636</t>
        </is>
      </c>
      <c r="B99" s="10" t="inlineStr">
        <is>
          <t>SOCKS</t>
        </is>
      </c>
      <c r="C99" s="10" t="inlineStr">
        <is>
          <t>VEHICLE OUTSIDE SERVICES</t>
        </is>
      </c>
      <c r="D99" s="10" t="inlineStr">
        <is>
          <t>MAINTENANCE SERVICE - 2</t>
        </is>
      </c>
      <c r="E99" s="10" t="inlineStr">
        <is>
          <t>YEARLY</t>
        </is>
      </c>
      <c r="F99" s="11" t="n">
        <v>45383</v>
      </c>
      <c r="G99" s="11" t="n">
        <v>45747</v>
      </c>
      <c r="H99" s="12">
        <f>IF(OR($F99="",$G99=""),"",$G99-$F99+1)</f>
        <v/>
      </c>
      <c r="I99" s="10">
        <f>IF($F99="","",IF(MONTH($F99)&gt;=4,YEAR($F99)&amp;"-"&amp;TEXT(YEAR($F99)+1-2000,"00"),YEAR($F99)-1&amp;"-"&amp;TEXT(YEAR($F99)-2000,"00")))</f>
        <v/>
      </c>
      <c r="J99" s="13" t="n">
        <v>73381.49000000001</v>
      </c>
      <c r="K99" s="14">
        <f>IFERROR($L99/$J99,"")</f>
        <v/>
      </c>
      <c r="L99" s="13" t="n">
        <v>73381.49000000001</v>
      </c>
      <c r="M99" s="13">
        <f>IFERROR($L99/$H99,"")</f>
        <v/>
      </c>
      <c r="N99" s="11" t="n">
        <v>45657</v>
      </c>
      <c r="O99" s="10">
        <f>IF($N99="","No","Yes")</f>
        <v/>
      </c>
      <c r="P99" s="12">
        <f>IF(OR($F99="",$G99=""),0,IF(AND($F99&lt;=README!$B$4,README!$B$4&lt;=$G99),1,0))</f>
        <v/>
      </c>
      <c r="Q99" s="12">
        <f>IF(OR($F99="",$G99=""),0,IF(AND($F99&lt;=DATE(README!$B$5,12,31),$G99&gt;=DATE(README!$B$5,1,1)),1,0))</f>
        <v/>
      </c>
      <c r="R99" s="10" t="inlineStr">
        <is>
          <t>GUP-VEH0012</t>
        </is>
      </c>
      <c r="S99" s="11" t="n">
        <v>45477</v>
      </c>
      <c r="T99" s="10" t="inlineStr">
        <is>
          <t>549</t>
        </is>
      </c>
      <c r="U99" s="10" t="inlineStr">
        <is>
          <t>VEHICLE</t>
        </is>
      </c>
      <c r="V99" s="10" t="inlineStr">
        <is>
          <t>T</t>
        </is>
      </c>
      <c r="W99" s="10" t="inlineStr">
        <is>
          <t>VIVEK B</t>
        </is>
      </c>
    </row>
    <row r="100">
      <c r="A100" s="10" t="inlineStr">
        <is>
          <t>TN57AM3636</t>
        </is>
      </c>
      <c r="B100" s="10" t="inlineStr">
        <is>
          <t>SOCKS</t>
        </is>
      </c>
      <c r="C100" s="10" t="inlineStr">
        <is>
          <t>VEHICLE OUTSIDE SERVICES</t>
        </is>
      </c>
      <c r="D100" s="10" t="inlineStr">
        <is>
          <t xml:space="preserve">MAINTENANCE SERVICE </t>
        </is>
      </c>
      <c r="E100" s="10" t="inlineStr">
        <is>
          <t>YEARLY</t>
        </is>
      </c>
      <c r="F100" s="11" t="n">
        <v>45383</v>
      </c>
      <c r="G100" s="11" t="n">
        <v>45747</v>
      </c>
      <c r="H100" s="12">
        <f>IF(OR($F100="",$G100=""),"",$G100-$F100+1)</f>
        <v/>
      </c>
      <c r="I100" s="10">
        <f>IF($F100="","",IF(MONTH($F100)&gt;=4,YEAR($F100)&amp;"-"&amp;TEXT(YEAR($F100)+1-2000,"00"),YEAR($F100)-1&amp;"-"&amp;TEXT(YEAR($F100)-2000,"00")))</f>
        <v/>
      </c>
      <c r="J100" s="13" t="n">
        <v>39079</v>
      </c>
      <c r="K100" s="14">
        <f>IFERROR($L100/$J100,"")</f>
        <v/>
      </c>
      <c r="L100" s="13" t="n">
        <v>39079</v>
      </c>
      <c r="M100" s="13">
        <f>IFERROR($L100/$H100,"")</f>
        <v/>
      </c>
      <c r="N100" s="11" t="n">
        <v>45583</v>
      </c>
      <c r="O100" s="10">
        <f>IF($N100="","No","Yes")</f>
        <v/>
      </c>
      <c r="P100" s="12">
        <f>IF(OR($F100="",$G100=""),0,IF(AND($F100&lt;=README!$B$4,README!$B$4&lt;=$G100),1,0))</f>
        <v/>
      </c>
      <c r="Q100" s="12">
        <f>IF(OR($F100="",$G100=""),0,IF(AND($F100&lt;=DATE(README!$B$5,12,31),$G100&gt;=DATE(README!$B$5,1,1)),1,0))</f>
        <v/>
      </c>
      <c r="R100" s="10" t="inlineStr">
        <is>
          <t>GUP-VEH0012</t>
        </is>
      </c>
      <c r="S100" s="11" t="n">
        <v>45477</v>
      </c>
      <c r="T100" s="10" t="inlineStr">
        <is>
          <t>549</t>
        </is>
      </c>
      <c r="U100" s="10" t="inlineStr">
        <is>
          <t>VEHICLE</t>
        </is>
      </c>
      <c r="V100" s="10" t="inlineStr">
        <is>
          <t>T</t>
        </is>
      </c>
      <c r="W100" s="10" t="inlineStr">
        <is>
          <t>VIVEK B</t>
        </is>
      </c>
    </row>
    <row r="101">
      <c r="A101" s="10" t="inlineStr">
        <is>
          <t>TN57AM3636</t>
        </is>
      </c>
      <c r="B101" s="10" t="inlineStr">
        <is>
          <t>SOCKS</t>
        </is>
      </c>
      <c r="C101" s="10" t="inlineStr">
        <is>
          <t>ROAD TAX</t>
        </is>
      </c>
      <c r="D101" s="10" t="inlineStr">
        <is>
          <t>ROAD TAX</t>
        </is>
      </c>
      <c r="E101" s="10" t="inlineStr">
        <is>
          <t>QUARTER - I</t>
        </is>
      </c>
      <c r="F101" s="11" t="n">
        <v>45748</v>
      </c>
      <c r="G101" s="11" t="n">
        <v>45838</v>
      </c>
      <c r="H101" s="12">
        <f>IF(OR($F101="",$G101=""),"",$G101-$F101+1)</f>
        <v/>
      </c>
      <c r="I101" s="10">
        <f>IF($F101="","",IF(MONTH($F101)&gt;=4,YEAR($F101)&amp;"-"&amp;TEXT(YEAR($F101)+1-2000,"00"),YEAR($F101)-1&amp;"-"&amp;TEXT(YEAR($F101)-2000,"00")))</f>
        <v/>
      </c>
      <c r="J101" s="13" t="n">
        <v>17092</v>
      </c>
      <c r="K101" s="14">
        <f>IFERROR($L101/$J101,"")</f>
        <v/>
      </c>
      <c r="L101" s="13" t="n">
        <v>17092</v>
      </c>
      <c r="M101" s="13">
        <f>IFERROR($L101/$H101,"")</f>
        <v/>
      </c>
      <c r="N101" s="11" t="n">
        <v>46030</v>
      </c>
      <c r="O101" s="10">
        <f>IF($N101="","No","Yes")</f>
        <v/>
      </c>
      <c r="P101" s="12">
        <f>IF(OR($F101="",$G101=""),0,IF(AND($F101&lt;=README!$B$4,README!$B$4&lt;=$G101),1,0))</f>
        <v/>
      </c>
      <c r="Q101" s="12">
        <f>IF(OR($F101="",$G101=""),0,IF(AND($F101&lt;=DATE(README!$B$5,12,31),$G101&gt;=DATE(README!$B$5,1,1)),1,0))</f>
        <v/>
      </c>
      <c r="R101" s="10" t="inlineStr">
        <is>
          <t>GUP-VEH0014</t>
        </is>
      </c>
      <c r="S101" s="11" t="n">
        <v>45748</v>
      </c>
      <c r="T101" s="10" t="inlineStr">
        <is>
          <t>609</t>
        </is>
      </c>
      <c r="U101" s="10" t="inlineStr">
        <is>
          <t>VEHICLE</t>
        </is>
      </c>
      <c r="V101" s="10" t="inlineStr">
        <is>
          <t>T</t>
        </is>
      </c>
      <c r="W101" s="10" t="inlineStr">
        <is>
          <t>VIVEK B</t>
        </is>
      </c>
    </row>
    <row r="102">
      <c r="A102" s="10" t="inlineStr">
        <is>
          <t>TN57AM3636</t>
        </is>
      </c>
      <c r="B102" s="10" t="inlineStr">
        <is>
          <t>SOCKS</t>
        </is>
      </c>
      <c r="C102" s="10" t="inlineStr">
        <is>
          <t>TYRE</t>
        </is>
      </c>
      <c r="D102" s="10" t="inlineStr">
        <is>
          <t>TYRE</t>
        </is>
      </c>
      <c r="E102" s="10" t="inlineStr">
        <is>
          <t>YEARLY</t>
        </is>
      </c>
      <c r="F102" s="11" t="n">
        <v>45748</v>
      </c>
      <c r="G102" s="11" t="n">
        <v>46112</v>
      </c>
      <c r="H102" s="12">
        <f>IF(OR($F102="",$G102=""),"",$G102-$F102+1)</f>
        <v/>
      </c>
      <c r="I102" s="10">
        <f>IF($F102="","",IF(MONTH($F102)&gt;=4,YEAR($F102)&amp;"-"&amp;TEXT(YEAR($F102)+1-2000,"00"),YEAR($F102)-1&amp;"-"&amp;TEXT(YEAR($F102)-2000,"00")))</f>
        <v/>
      </c>
      <c r="J102" s="13" t="n">
        <v>37500</v>
      </c>
      <c r="K102" s="14">
        <f>IFERROR($L102/$J102,"")</f>
        <v/>
      </c>
      <c r="L102" s="13" t="n">
        <v>37500</v>
      </c>
      <c r="M102" s="13">
        <f>IFERROR($L102/$H102,"")</f>
        <v/>
      </c>
      <c r="N102" s="11" t="n">
        <v>45957</v>
      </c>
      <c r="O102" s="10">
        <f>IF($N102="","No","Yes")</f>
        <v/>
      </c>
      <c r="P102" s="12">
        <f>IF(OR($F102="",$G102=""),0,IF(AND($F102&lt;=README!$B$4,README!$B$4&lt;=$G102),1,0))</f>
        <v/>
      </c>
      <c r="Q102" s="12">
        <f>IF(OR($F102="",$G102=""),0,IF(AND($F102&lt;=DATE(README!$B$5,12,31),$G102&gt;=DATE(README!$B$5,1,1)),1,0))</f>
        <v/>
      </c>
      <c r="R102" s="10" t="inlineStr">
        <is>
          <t>GUP-VEH0025</t>
        </is>
      </c>
      <c r="S102" s="11" t="n">
        <v>45957</v>
      </c>
      <c r="T102" s="10" t="inlineStr">
        <is>
          <t>726</t>
        </is>
      </c>
      <c r="U102" s="10" t="inlineStr">
        <is>
          <t>VEHICLE</t>
        </is>
      </c>
      <c r="V102" s="10" t="inlineStr">
        <is>
          <t>T</t>
        </is>
      </c>
      <c r="W102" s="10" t="inlineStr">
        <is>
          <t>VIVEK B</t>
        </is>
      </c>
    </row>
    <row r="103">
      <c r="A103" s="10" t="inlineStr">
        <is>
          <t>TN57AM3636</t>
        </is>
      </c>
      <c r="B103" s="10" t="inlineStr">
        <is>
          <t>SOCKS</t>
        </is>
      </c>
      <c r="C103" s="10" t="inlineStr">
        <is>
          <t>VEHICLE INSURANCE</t>
        </is>
      </c>
      <c r="D103" s="10" t="inlineStr">
        <is>
          <t>VEHICLE INSURANCE</t>
        </is>
      </c>
      <c r="E103" s="10" t="inlineStr">
        <is>
          <t>YEARLY</t>
        </is>
      </c>
      <c r="F103" s="11" t="n">
        <v>45748</v>
      </c>
      <c r="G103" s="11" t="n">
        <v>46112</v>
      </c>
      <c r="H103" s="12">
        <f>IF(OR($F103="",$G103=""),"",$G103-$F103+1)</f>
        <v/>
      </c>
      <c r="I103" s="10">
        <f>IF($F103="","",IF(MONTH($F103)&gt;=4,YEAR($F103)&amp;"-"&amp;TEXT(YEAR($F103)+1-2000,"00"),YEAR($F103)-1&amp;"-"&amp;TEXT(YEAR($F103)-2000,"00")))</f>
        <v/>
      </c>
      <c r="J103" s="13" t="n">
        <v>39954</v>
      </c>
      <c r="K103" s="14">
        <f>IFERROR($L103/$J103,"")</f>
        <v/>
      </c>
      <c r="L103" s="13" t="n">
        <v>39954</v>
      </c>
      <c r="M103" s="13">
        <f>IFERROR($L103/$H103,"")</f>
        <v/>
      </c>
      <c r="N103" s="11" t="n">
        <v>45930</v>
      </c>
      <c r="O103" s="10">
        <f>IF($N103="","No","Yes")</f>
        <v/>
      </c>
      <c r="P103" s="12">
        <f>IF(OR($F103="",$G103=""),0,IF(AND($F103&lt;=README!$B$4,README!$B$4&lt;=$G103),1,0))</f>
        <v/>
      </c>
      <c r="Q103" s="12">
        <f>IF(OR($F103="",$G103=""),0,IF(AND($F103&lt;=DATE(README!$B$5,12,31),$G103&gt;=DATE(README!$B$5,1,1)),1,0))</f>
        <v/>
      </c>
      <c r="R103" s="10" t="inlineStr">
        <is>
          <t>GUP-VEH0020</t>
        </is>
      </c>
      <c r="S103" s="11" t="n">
        <v>45799</v>
      </c>
      <c r="T103" s="10" t="inlineStr">
        <is>
          <t>645</t>
        </is>
      </c>
      <c r="U103" s="10" t="inlineStr">
        <is>
          <t>VEHICLE</t>
        </is>
      </c>
      <c r="V103" s="10" t="inlineStr">
        <is>
          <t>T</t>
        </is>
      </c>
      <c r="W103" s="10" t="inlineStr">
        <is>
          <t>VIVEK B</t>
        </is>
      </c>
    </row>
    <row r="104">
      <c r="A104" s="10" t="inlineStr">
        <is>
          <t>TN57AM3636</t>
        </is>
      </c>
      <c r="B104" s="10" t="inlineStr">
        <is>
          <t>GENERAL</t>
        </is>
      </c>
      <c r="C104" s="10" t="inlineStr">
        <is>
          <t>VEHICLE OUTSIDE SERVICES</t>
        </is>
      </c>
      <c r="D104" s="10" t="inlineStr">
        <is>
          <t xml:space="preserve">MAINTENANCE SERVICE </t>
        </is>
      </c>
      <c r="E104" s="10" t="inlineStr">
        <is>
          <t>YEARLY</t>
        </is>
      </c>
      <c r="F104" s="11" t="n">
        <v>45748</v>
      </c>
      <c r="G104" s="11" t="n">
        <v>46112</v>
      </c>
      <c r="H104" s="12">
        <f>IF(OR($F104="",$G104=""),"",$G104-$F104+1)</f>
        <v/>
      </c>
      <c r="I104" s="10">
        <f>IF($F104="","",IF(MONTH($F104)&gt;=4,YEAR($F104)&amp;"-"&amp;TEXT(YEAR($F104)+1-2000,"00"),YEAR($F104)-1&amp;"-"&amp;TEXT(YEAR($F104)-2000,"00")))</f>
        <v/>
      </c>
      <c r="J104" s="13" t="n">
        <v>2038</v>
      </c>
      <c r="K104" s="14">
        <f>IFERROR($L104/$J104,"")</f>
        <v/>
      </c>
      <c r="L104" s="13" t="n">
        <v>2038</v>
      </c>
      <c r="M104" s="13">
        <f>IFERROR($L104/$H104,"")</f>
        <v/>
      </c>
      <c r="N104" s="11" t="n">
        <v>45961</v>
      </c>
      <c r="O104" s="10">
        <f>IF($N104="","No","Yes")</f>
        <v/>
      </c>
      <c r="P104" s="12">
        <f>IF(OR($F104="",$G104=""),0,IF(AND($F104&lt;=README!$B$4,README!$B$4&lt;=$G104),1,0))</f>
        <v/>
      </c>
      <c r="Q104" s="12">
        <f>IF(OR($F104="",$G104=""),0,IF(AND($F104&lt;=DATE(README!$B$5,12,31),$G104&gt;=DATE(README!$B$5,1,1)),1,0))</f>
        <v/>
      </c>
      <c r="R104" s="10" t="inlineStr">
        <is>
          <t>GUP-VEH0019</t>
        </is>
      </c>
      <c r="S104" s="11" t="n">
        <v>45777</v>
      </c>
      <c r="T104" s="10" t="inlineStr">
        <is>
          <t>638</t>
        </is>
      </c>
      <c r="U104" s="10" t="inlineStr">
        <is>
          <t>VEHICLE</t>
        </is>
      </c>
      <c r="V104" s="10" t="inlineStr">
        <is>
          <t>T</t>
        </is>
      </c>
      <c r="W104" s="10" t="inlineStr">
        <is>
          <t>VIVEK B</t>
        </is>
      </c>
    </row>
    <row r="105">
      <c r="A105" s="10" t="inlineStr">
        <is>
          <t>TN57AM3636</t>
        </is>
      </c>
      <c r="B105" s="10" t="inlineStr">
        <is>
          <t>SOCKS</t>
        </is>
      </c>
      <c r="C105" s="10" t="inlineStr">
        <is>
          <t>ROAD TAX</t>
        </is>
      </c>
      <c r="D105" s="10" t="inlineStr">
        <is>
          <t>ROAD TAX</t>
        </is>
      </c>
      <c r="E105" s="10" t="inlineStr">
        <is>
          <t>QUARTER - II</t>
        </is>
      </c>
      <c r="F105" s="11" t="n">
        <v>45839</v>
      </c>
      <c r="G105" s="11" t="n">
        <v>45930</v>
      </c>
      <c r="H105" s="12">
        <f>IF(OR($F105="",$G105=""),"",$G105-$F105+1)</f>
        <v/>
      </c>
      <c r="I105" s="10">
        <f>IF($F105="","",IF(MONTH($F105)&gt;=4,YEAR($F105)&amp;"-"&amp;TEXT(YEAR($F105)+1-2000,"00"),YEAR($F105)-1&amp;"-"&amp;TEXT(YEAR($F105)-2000,"00")))</f>
        <v/>
      </c>
      <c r="J105" s="13" t="n">
        <v>4545</v>
      </c>
      <c r="K105" s="14">
        <f>IFERROR($L105/$J105,"")</f>
        <v/>
      </c>
      <c r="L105" s="13" t="n">
        <v>4545</v>
      </c>
      <c r="M105" s="13">
        <f>IFERROR($L105/$H105,"")</f>
        <v/>
      </c>
      <c r="N105" s="11" t="n">
        <v>46030</v>
      </c>
      <c r="O105" s="10">
        <f>IF($N105="","No","Yes")</f>
        <v/>
      </c>
      <c r="P105" s="12">
        <f>IF(OR($F105="",$G105=""),0,IF(AND($F105&lt;=README!$B$4,README!$B$4&lt;=$G105),1,0))</f>
        <v/>
      </c>
      <c r="Q105" s="12">
        <f>IF(OR($F105="",$G105=""),0,IF(AND($F105&lt;=DATE(README!$B$5,12,31),$G105&gt;=DATE(README!$B$5,1,1)),1,0))</f>
        <v/>
      </c>
      <c r="R105" s="10" t="inlineStr">
        <is>
          <t>GUP-VEH0014</t>
        </is>
      </c>
      <c r="S105" s="11" t="n">
        <v>45748</v>
      </c>
      <c r="T105" s="10" t="inlineStr">
        <is>
          <t>609</t>
        </is>
      </c>
      <c r="U105" s="10" t="inlineStr">
        <is>
          <t>VEHICLE</t>
        </is>
      </c>
      <c r="V105" s="10" t="inlineStr">
        <is>
          <t>T</t>
        </is>
      </c>
      <c r="W105" s="10" t="inlineStr">
        <is>
          <t>VIVEK B</t>
        </is>
      </c>
    </row>
    <row r="106">
      <c r="A106" s="10" t="inlineStr">
        <is>
          <t>TN57AM3636</t>
        </is>
      </c>
      <c r="B106" s="10" t="inlineStr">
        <is>
          <t>SOCKS</t>
        </is>
      </c>
      <c r="C106" s="10" t="inlineStr">
        <is>
          <t>ROAD TAX</t>
        </is>
      </c>
      <c r="D106" s="10" t="inlineStr">
        <is>
          <t>ROAD TAX</t>
        </is>
      </c>
      <c r="E106" s="10" t="inlineStr">
        <is>
          <t>QUARTER - III</t>
        </is>
      </c>
      <c r="F106" s="11" t="n">
        <v>45931</v>
      </c>
      <c r="G106" s="11" t="n">
        <v>46022</v>
      </c>
      <c r="H106" s="12">
        <f>IF(OR($F106="",$G106=""),"",$G106-$F106+1)</f>
        <v/>
      </c>
      <c r="I106" s="10">
        <f>IF($F106="","",IF(MONTH($F106)&gt;=4,YEAR($F106)&amp;"-"&amp;TEXT(YEAR($F106)+1-2000,"00"),YEAR($F106)-1&amp;"-"&amp;TEXT(YEAR($F106)-2000,"00")))</f>
        <v/>
      </c>
      <c r="J106" s="13" t="n">
        <v>4555</v>
      </c>
      <c r="K106" s="14">
        <f>IFERROR($L106/$J106,"")</f>
        <v/>
      </c>
      <c r="L106" s="13" t="n">
        <v>4555</v>
      </c>
      <c r="M106" s="13">
        <f>IFERROR($L106/$H106,"")</f>
        <v/>
      </c>
      <c r="N106" s="11" t="n">
        <v>46030</v>
      </c>
      <c r="O106" s="10">
        <f>IF($N106="","No","Yes")</f>
        <v/>
      </c>
      <c r="P106" s="12">
        <f>IF(OR($F106="",$G106=""),0,IF(AND($F106&lt;=README!$B$4,README!$B$4&lt;=$G106),1,0))</f>
        <v/>
      </c>
      <c r="Q106" s="12">
        <f>IF(OR($F106="",$G106=""),0,IF(AND($F106&lt;=DATE(README!$B$5,12,31),$G106&gt;=DATE(README!$B$5,1,1)),1,0))</f>
        <v/>
      </c>
      <c r="R106" s="10" t="inlineStr">
        <is>
          <t>GUP-VEH0014</t>
        </is>
      </c>
      <c r="S106" s="11" t="n">
        <v>45748</v>
      </c>
      <c r="T106" s="10" t="inlineStr">
        <is>
          <t>609</t>
        </is>
      </c>
      <c r="U106" s="10" t="inlineStr">
        <is>
          <t>VEHICLE</t>
        </is>
      </c>
      <c r="V106" s="10" t="inlineStr">
        <is>
          <t>T</t>
        </is>
      </c>
      <c r="W106" s="10" t="inlineStr">
        <is>
          <t>VIVEK B</t>
        </is>
      </c>
    </row>
    <row r="107">
      <c r="A107" s="10" t="inlineStr">
        <is>
          <t>TN57AM3636</t>
        </is>
      </c>
      <c r="B107" s="10" t="inlineStr">
        <is>
          <t>GENERAL</t>
        </is>
      </c>
      <c r="C107" s="10" t="inlineStr">
        <is>
          <t>VEHICLE OUTSIDE SERVICES</t>
        </is>
      </c>
      <c r="D107" s="10" t="inlineStr">
        <is>
          <t>ALTERNATOR WORK</t>
        </is>
      </c>
      <c r="E107" s="10" t="inlineStr">
        <is>
          <t>NOVEMBER</t>
        </is>
      </c>
      <c r="F107" s="11" t="n">
        <v>45962</v>
      </c>
      <c r="G107" s="11" t="n">
        <v>45991</v>
      </c>
      <c r="H107" s="12">
        <f>IF(OR($F107="",$G107=""),"",$G107-$F107+1)</f>
        <v/>
      </c>
      <c r="I107" s="10">
        <f>IF($F107="","",IF(MONTH($F107)&gt;=4,YEAR($F107)&amp;"-"&amp;TEXT(YEAR($F107)+1-2000,"00"),YEAR($F107)-1&amp;"-"&amp;TEXT(YEAR($F107)-2000,"00")))</f>
        <v/>
      </c>
      <c r="J107" s="13" t="n">
        <v>3700</v>
      </c>
      <c r="K107" s="14">
        <f>IFERROR($L107/$J107,"")</f>
        <v/>
      </c>
      <c r="L107" s="13" t="n">
        <v>3700</v>
      </c>
      <c r="M107" s="13">
        <f>IFERROR($L107/$H107,"")</f>
        <v/>
      </c>
      <c r="N107" s="11" t="n">
        <v>45975</v>
      </c>
      <c r="O107" s="10">
        <f>IF($N107="","No","Yes")</f>
        <v/>
      </c>
      <c r="P107" s="12">
        <f>IF(OR($F107="",$G107=""),0,IF(AND($F107&lt;=README!$B$4,README!$B$4&lt;=$G107),1,0))</f>
        <v/>
      </c>
      <c r="Q107" s="12">
        <f>IF(OR($F107="",$G107=""),0,IF(AND($F107&lt;=DATE(README!$B$5,12,31),$G107&gt;=DATE(README!$B$5,1,1)),1,0))</f>
        <v/>
      </c>
      <c r="R107" s="10" t="inlineStr">
        <is>
          <t>GUP-VEH0019</t>
        </is>
      </c>
      <c r="S107" s="11" t="n">
        <v>45777</v>
      </c>
      <c r="T107" s="10" t="inlineStr">
        <is>
          <t>638</t>
        </is>
      </c>
      <c r="U107" s="10" t="inlineStr">
        <is>
          <t>VEHICLE</t>
        </is>
      </c>
      <c r="V107" s="10" t="inlineStr">
        <is>
          <t>T</t>
        </is>
      </c>
      <c r="W107" s="10" t="inlineStr">
        <is>
          <t>VIVEK B</t>
        </is>
      </c>
    </row>
    <row r="108">
      <c r="A108" s="10" t="inlineStr">
        <is>
          <t>TN57AM3636</t>
        </is>
      </c>
      <c r="B108" s="10" t="inlineStr">
        <is>
          <t>SOCKS</t>
        </is>
      </c>
      <c r="C108" s="10" t="inlineStr">
        <is>
          <t>ROAD TAX</t>
        </is>
      </c>
      <c r="D108" s="10" t="inlineStr">
        <is>
          <t>ROAD TAX</t>
        </is>
      </c>
      <c r="E108" s="10" t="inlineStr">
        <is>
          <t>QUARTER - IV</t>
        </is>
      </c>
      <c r="F108" s="11" t="n">
        <v>46023</v>
      </c>
      <c r="G108" s="11" t="n">
        <v>46112</v>
      </c>
      <c r="H108" s="12">
        <f>IF(OR($F108="",$G108=""),"",$G108-$F108+1)</f>
        <v/>
      </c>
      <c r="I108" s="10">
        <f>IF($F108="","",IF(MONTH($F108)&gt;=4,YEAR($F108)&amp;"-"&amp;TEXT(YEAR($F108)+1-2000,"00"),YEAR($F108)-1&amp;"-"&amp;TEXT(YEAR($F108)-2000,"00")))</f>
        <v/>
      </c>
      <c r="J108" s="13" t="n">
        <v>4555</v>
      </c>
      <c r="K108" s="14">
        <f>IFERROR($L108/$J108,"")</f>
        <v/>
      </c>
      <c r="L108" s="13" t="n">
        <v>4555</v>
      </c>
      <c r="M108" s="13">
        <f>IFERROR($L108/$H108,"")</f>
        <v/>
      </c>
      <c r="N108" s="11" t="n">
        <v>46030</v>
      </c>
      <c r="O108" s="10">
        <f>IF($N108="","No","Yes")</f>
        <v/>
      </c>
      <c r="P108" s="12">
        <f>IF(OR($F108="",$G108=""),0,IF(AND($F108&lt;=README!$B$4,README!$B$4&lt;=$G108),1,0))</f>
        <v/>
      </c>
      <c r="Q108" s="12">
        <f>IF(OR($F108="",$G108=""),0,IF(AND($F108&lt;=DATE(README!$B$5,12,31),$G108&gt;=DATE(README!$B$5,1,1)),1,0))</f>
        <v/>
      </c>
      <c r="R108" s="10" t="inlineStr">
        <is>
          <t>GUP-VEH0014</t>
        </is>
      </c>
      <c r="S108" s="11" t="n">
        <v>45748</v>
      </c>
      <c r="T108" s="10" t="inlineStr">
        <is>
          <t>609</t>
        </is>
      </c>
      <c r="U108" s="10" t="inlineStr">
        <is>
          <t>VEHICLE</t>
        </is>
      </c>
      <c r="V108" s="10" t="inlineStr">
        <is>
          <t>T</t>
        </is>
      </c>
      <c r="W108" s="10" t="inlineStr">
        <is>
          <t>VIVEK B</t>
        </is>
      </c>
    </row>
    <row r="109">
      <c r="A109" s="10" t="inlineStr">
        <is>
          <t>TN57AM3636</t>
        </is>
      </c>
      <c r="B109" s="10" t="inlineStr">
        <is>
          <t>SOCKS</t>
        </is>
      </c>
      <c r="C109" s="10" t="inlineStr">
        <is>
          <t>FC WORK</t>
        </is>
      </c>
      <c r="D109" s="10" t="inlineStr">
        <is>
          <t>FC WORK</t>
        </is>
      </c>
      <c r="E109" s="10" t="inlineStr">
        <is>
          <t>YEARLY</t>
        </is>
      </c>
      <c r="F109" s="11" t="n">
        <v>46113</v>
      </c>
      <c r="G109" s="11" t="n">
        <v>46477</v>
      </c>
      <c r="H109" s="12">
        <f>IF(OR($F109="",$G109=""),"",$G109-$F109+1)</f>
        <v/>
      </c>
      <c r="I109" s="10">
        <f>IF($F109="","",IF(MONTH($F109)&gt;=4,YEAR($F109)&amp;"-"&amp;TEXT(YEAR($F109)+1-2000,"00"),YEAR($F109)-1&amp;"-"&amp;TEXT(YEAR($F109)-2000,"00")))</f>
        <v/>
      </c>
      <c r="J109" s="13" t="n">
        <v>61645</v>
      </c>
      <c r="K109" s="14">
        <f>IFERROR($L109/$J109,"")</f>
        <v/>
      </c>
      <c r="L109" s="13" t="n">
        <v>61645</v>
      </c>
      <c r="M109" s="13">
        <f>IFERROR($L109/$H109,"")</f>
        <v/>
      </c>
      <c r="N109" s="11" t="n">
        <v>46191</v>
      </c>
      <c r="O109" s="10">
        <f>IF($N109="","No","Yes")</f>
        <v/>
      </c>
      <c r="P109" s="12">
        <f>IF(OR($F109="",$G109=""),0,IF(AND($F109&lt;=README!$B$4,README!$B$4&lt;=$G109),1,0))</f>
        <v/>
      </c>
      <c r="Q109" s="12">
        <f>IF(OR($F109="",$G109=""),0,IF(AND($F109&lt;=DATE(README!$B$5,12,31),$G109&gt;=DATE(README!$B$5,1,1)),1,0))</f>
        <v/>
      </c>
      <c r="R109" s="10" t="inlineStr">
        <is>
          <t>GUP-VEH0032</t>
        </is>
      </c>
      <c r="S109" s="11" t="n">
        <v>46118</v>
      </c>
      <c r="T109" s="10" t="inlineStr">
        <is>
          <t>813</t>
        </is>
      </c>
      <c r="U109" s="10" t="inlineStr">
        <is>
          <t>VEHICLE</t>
        </is>
      </c>
      <c r="V109" s="10" t="inlineStr">
        <is>
          <t>T</t>
        </is>
      </c>
      <c r="W109" s="10" t="inlineStr">
        <is>
          <t>VIVEK B</t>
        </is>
      </c>
    </row>
    <row r="110">
      <c r="A110" s="10" t="inlineStr">
        <is>
          <t>TN57AM3636</t>
        </is>
      </c>
      <c r="B110" s="10" t="inlineStr">
        <is>
          <t>SOCKS</t>
        </is>
      </c>
      <c r="C110" s="10" t="inlineStr">
        <is>
          <t>ROAD TAX</t>
        </is>
      </c>
      <c r="D110" s="10" t="inlineStr">
        <is>
          <t>ROAD TAX</t>
        </is>
      </c>
      <c r="E110" s="10" t="inlineStr">
        <is>
          <t>QUARTER - I</t>
        </is>
      </c>
      <c r="F110" s="11" t="n">
        <v>46113</v>
      </c>
      <c r="G110" s="11" t="n">
        <v>46203</v>
      </c>
      <c r="H110" s="12">
        <f>IF(OR($F110="",$G110=""),"",$G110-$F110+1)</f>
        <v/>
      </c>
      <c r="I110" s="10">
        <f>IF($F110="","",IF(MONTH($F110)&gt;=4,YEAR($F110)&amp;"-"&amp;TEXT(YEAR($F110)+1-2000,"00"),YEAR($F110)-1&amp;"-"&amp;TEXT(YEAR($F110)-2000,"00")))</f>
        <v/>
      </c>
      <c r="J110" s="13" t="n">
        <v>18220</v>
      </c>
      <c r="K110" s="14">
        <f>IFERROR($L110/$J110,"")</f>
        <v/>
      </c>
      <c r="L110" s="13" t="n">
        <v>18220</v>
      </c>
      <c r="M110" s="13">
        <f>IFERROR($L110/$H110,"")</f>
        <v/>
      </c>
      <c r="N110" s="11" t="n">
        <v>46088</v>
      </c>
      <c r="O110" s="10">
        <f>IF($N110="","No","Yes")</f>
        <v/>
      </c>
      <c r="P110" s="12">
        <f>IF(OR($F110="",$G110=""),0,IF(AND($F110&lt;=README!$B$4,README!$B$4&lt;=$G110),1,0))</f>
        <v/>
      </c>
      <c r="Q110" s="12">
        <f>IF(OR($F110="",$G110=""),0,IF(AND($F110&lt;=DATE(README!$B$5,12,31),$G110&gt;=DATE(README!$B$5,1,1)),1,0))</f>
        <v/>
      </c>
      <c r="R110" s="10" t="inlineStr">
        <is>
          <t>GUP-VEH0030</t>
        </is>
      </c>
      <c r="S110" s="11" t="n">
        <v>46113</v>
      </c>
      <c r="T110" s="10" t="inlineStr">
        <is>
          <t>796</t>
        </is>
      </c>
      <c r="U110" s="10" t="inlineStr">
        <is>
          <t>VEHICLE</t>
        </is>
      </c>
      <c r="V110" s="10" t="inlineStr">
        <is>
          <t>T</t>
        </is>
      </c>
      <c r="W110" s="10" t="inlineStr">
        <is>
          <t>VIVEK B</t>
        </is>
      </c>
    </row>
    <row r="111">
      <c r="A111" s="10" t="inlineStr">
        <is>
          <t>TN57AM3636</t>
        </is>
      </c>
      <c r="B111" s="10" t="inlineStr">
        <is>
          <t>SOCKS</t>
        </is>
      </c>
      <c r="C111" s="10" t="inlineStr">
        <is>
          <t>RTO EXPENSE</t>
        </is>
      </c>
      <c r="D111" s="10" t="inlineStr">
        <is>
          <t>RTO EXPENSES - FC</t>
        </is>
      </c>
      <c r="E111" s="10" t="inlineStr">
        <is>
          <t>YEARLY</t>
        </is>
      </c>
      <c r="F111" s="11" t="n">
        <v>46113</v>
      </c>
      <c r="G111" s="11" t="n">
        <v>46477</v>
      </c>
      <c r="H111" s="12">
        <f>IF(OR($F111="",$G111=""),"",$G111-$F111+1)</f>
        <v/>
      </c>
      <c r="I111" s="10">
        <f>IF($F111="","",IF(MONTH($F111)&gt;=4,YEAR($F111)&amp;"-"&amp;TEXT(YEAR($F111)+1-2000,"00"),YEAR($F111)-1&amp;"-"&amp;TEXT(YEAR($F111)-2000,"00")))</f>
        <v/>
      </c>
      <c r="J111" s="13" t="n">
        <v>6000</v>
      </c>
      <c r="K111" s="14">
        <f>IFERROR($L111/$J111,"")</f>
        <v/>
      </c>
      <c r="L111" s="13" t="n">
        <v>6000</v>
      </c>
      <c r="M111" s="13">
        <f>IFERROR($L111/$H111,"")</f>
        <v/>
      </c>
      <c r="N111" s="11" t="n">
        <v>46121</v>
      </c>
      <c r="O111" s="10">
        <f>IF($N111="","No","Yes")</f>
        <v/>
      </c>
      <c r="P111" s="12">
        <f>IF(OR($F111="",$G111=""),0,IF(AND($F111&lt;=README!$B$4,README!$B$4&lt;=$G111),1,0))</f>
        <v/>
      </c>
      <c r="Q111" s="12">
        <f>IF(OR($F111="",$G111=""),0,IF(AND($F111&lt;=DATE(README!$B$5,12,31),$G111&gt;=DATE(README!$B$5,1,1)),1,0))</f>
        <v/>
      </c>
      <c r="R111" s="10" t="inlineStr">
        <is>
          <t>GUP-VEH0033</t>
        </is>
      </c>
      <c r="S111" s="11" t="n">
        <v>46118</v>
      </c>
      <c r="T111" s="10" t="inlineStr">
        <is>
          <t>814</t>
        </is>
      </c>
      <c r="U111" s="10" t="inlineStr">
        <is>
          <t>VEHICLE</t>
        </is>
      </c>
      <c r="V111" s="10" t="inlineStr">
        <is>
          <t>T</t>
        </is>
      </c>
      <c r="W111" s="10" t="inlineStr">
        <is>
          <t>VIVEK B</t>
        </is>
      </c>
    </row>
    <row r="112">
      <c r="A112" s="10" t="inlineStr">
        <is>
          <t>TN57AM3636</t>
        </is>
      </c>
      <c r="B112" s="10" t="inlineStr">
        <is>
          <t>SOCKS</t>
        </is>
      </c>
      <c r="C112" s="10" t="inlineStr">
        <is>
          <t>VEHICLE OUTSIDE SERVICES</t>
        </is>
      </c>
      <c r="D112" s="10" t="inlineStr">
        <is>
          <t xml:space="preserve">MAINTENANCE SERVICE </t>
        </is>
      </c>
      <c r="E112" s="10" t="inlineStr">
        <is>
          <t>MAY</t>
        </is>
      </c>
      <c r="F112" s="11" t="n">
        <v>46143</v>
      </c>
      <c r="G112" s="11" t="n">
        <v>46173</v>
      </c>
      <c r="H112" s="12">
        <f>IF(OR($F112="",$G112=""),"",$G112-$F112+1)</f>
        <v/>
      </c>
      <c r="I112" s="10">
        <f>IF($F112="","",IF(MONTH($F112)&gt;=4,YEAR($F112)&amp;"-"&amp;TEXT(YEAR($F112)+1-2000,"00"),YEAR($F112)-1&amp;"-"&amp;TEXT(YEAR($F112)-2000,"00")))</f>
        <v/>
      </c>
      <c r="J112" s="13" t="n">
        <v>97607.97</v>
      </c>
      <c r="K112" s="14">
        <f>IFERROR($L112/$J112,"")</f>
        <v/>
      </c>
      <c r="L112" s="13" t="n">
        <v>97607.97</v>
      </c>
      <c r="M112" s="13">
        <f>IFERROR($L112/$H112,"")</f>
        <v/>
      </c>
      <c r="N112" s="11" t="n">
        <v>46176</v>
      </c>
      <c r="O112" s="10">
        <f>IF($N112="","No","Yes")</f>
        <v/>
      </c>
      <c r="P112" s="12">
        <f>IF(OR($F112="",$G112=""),0,IF(AND($F112&lt;=README!$B$4,README!$B$4&lt;=$G112),1,0))</f>
        <v/>
      </c>
      <c r="Q112" s="12">
        <f>IF(OR($F112="",$G112=""),0,IF(AND($F112&lt;=DATE(README!$B$5,12,31),$G112&gt;=DATE(README!$B$5,1,1)),1,0))</f>
        <v/>
      </c>
      <c r="R112" s="10" t="inlineStr">
        <is>
          <t>GUP-VEH0031</t>
        </is>
      </c>
      <c r="S112" s="11" t="n">
        <v>46114</v>
      </c>
      <c r="T112" s="10" t="inlineStr">
        <is>
          <t>810</t>
        </is>
      </c>
      <c r="U112" s="10" t="inlineStr">
        <is>
          <t>VEHICLE</t>
        </is>
      </c>
      <c r="V112" s="10" t="inlineStr">
        <is>
          <t>T</t>
        </is>
      </c>
      <c r="W112" s="10" t="inlineStr">
        <is>
          <t>VIVEK B</t>
        </is>
      </c>
    </row>
    <row r="113">
      <c r="A113" s="10" t="inlineStr">
        <is>
          <t>TN57AU3636</t>
        </is>
      </c>
      <c r="B113" s="10" t="inlineStr">
        <is>
          <t>SOCKS</t>
        </is>
      </c>
      <c r="C113" s="10" t="inlineStr">
        <is>
          <t>FC WORK</t>
        </is>
      </c>
      <c r="D113" s="10" t="inlineStr">
        <is>
          <t>FC WORK</t>
        </is>
      </c>
      <c r="E113" s="10" t="inlineStr">
        <is>
          <t>YEARLY</t>
        </is>
      </c>
      <c r="F113" s="11" t="n">
        <v>45383</v>
      </c>
      <c r="G113" s="11" t="n">
        <v>45747</v>
      </c>
      <c r="H113" s="12">
        <f>IF(OR($F113="",$G113=""),"",$G113-$F113+1)</f>
        <v/>
      </c>
      <c r="I113" s="10">
        <f>IF($F113="","",IF(MONTH($F113)&gt;=4,YEAR($F113)&amp;"-"&amp;TEXT(YEAR($F113)+1-2000,"00"),YEAR($F113)-1&amp;"-"&amp;TEXT(YEAR($F113)-2000,"00")))</f>
        <v/>
      </c>
      <c r="J113" s="13" t="n">
        <v>61765</v>
      </c>
      <c r="K113" s="14">
        <f>IFERROR($L113/$J113,"")</f>
        <v/>
      </c>
      <c r="L113" s="13" t="n">
        <v>61765</v>
      </c>
      <c r="M113" s="13">
        <f>IFERROR($L113/$H113,"")</f>
        <v/>
      </c>
      <c r="N113" s="11" t="n">
        <v>45520</v>
      </c>
      <c r="O113" s="10">
        <f>IF($N113="","No","Yes")</f>
        <v/>
      </c>
      <c r="P113" s="12">
        <f>IF(OR($F113="",$G113=""),0,IF(AND($F113&lt;=README!$B$4,README!$B$4&lt;=$G113),1,0))</f>
        <v/>
      </c>
      <c r="Q113" s="12">
        <f>IF(OR($F113="",$G113=""),0,IF(AND($F113&lt;=DATE(README!$B$5,12,31),$G113&gt;=DATE(README!$B$5,1,1)),1,0))</f>
        <v/>
      </c>
      <c r="R113" s="10" t="inlineStr">
        <is>
          <t>GUP-VEH0009</t>
        </is>
      </c>
      <c r="S113" s="11" t="n">
        <v>45475</v>
      </c>
      <c r="T113" s="10" t="inlineStr">
        <is>
          <t>546</t>
        </is>
      </c>
      <c r="U113" s="10" t="inlineStr">
        <is>
          <t>VEHICLE</t>
        </is>
      </c>
      <c r="V113" s="10" t="inlineStr">
        <is>
          <t>T</t>
        </is>
      </c>
      <c r="W113" s="10" t="inlineStr">
        <is>
          <t>VIVEK B</t>
        </is>
      </c>
    </row>
    <row r="114">
      <c r="A114" s="10" t="inlineStr">
        <is>
          <t>TN57AU3636</t>
        </is>
      </c>
      <c r="B114" s="10" t="inlineStr">
        <is>
          <t>SOCKS</t>
        </is>
      </c>
      <c r="C114" s="10" t="inlineStr">
        <is>
          <t>ROAD TAX</t>
        </is>
      </c>
      <c r="D114" s="10" t="inlineStr">
        <is>
          <t>ROAD TAX</t>
        </is>
      </c>
      <c r="E114" s="10" t="inlineStr">
        <is>
          <t>YEARLY</t>
        </is>
      </c>
      <c r="F114" s="11" t="n">
        <v>45383</v>
      </c>
      <c r="G114" s="11" t="n">
        <v>45747</v>
      </c>
      <c r="H114" s="12">
        <f>IF(OR($F114="",$G114=""),"",$G114-$F114+1)</f>
        <v/>
      </c>
      <c r="I114" s="10">
        <f>IF($F114="","",IF(MONTH($F114)&gt;=4,YEAR($F114)&amp;"-"&amp;TEXT(YEAR($F114)+1-2000,"00"),YEAR($F114)-1&amp;"-"&amp;TEXT(YEAR($F114)-2000,"00")))</f>
        <v/>
      </c>
      <c r="J114" s="13" t="n">
        <v>24240</v>
      </c>
      <c r="K114" s="14">
        <f>IFERROR($L114/$J114,"")</f>
        <v/>
      </c>
      <c r="L114" s="13" t="n">
        <v>24240</v>
      </c>
      <c r="M114" s="13">
        <f>IFERROR($L114/$H114,"")</f>
        <v/>
      </c>
      <c r="N114" s="11" t="n">
        <v>45649</v>
      </c>
      <c r="O114" s="10">
        <f>IF($N114="","No","Yes")</f>
        <v/>
      </c>
      <c r="P114" s="12">
        <f>IF(OR($F114="",$G114=""),0,IF(AND($F114&lt;=README!$B$4,README!$B$4&lt;=$G114),1,0))</f>
        <v/>
      </c>
      <c r="Q114" s="12">
        <f>IF(OR($F114="",$G114=""),0,IF(AND($F114&lt;=DATE(README!$B$5,12,31),$G114&gt;=DATE(README!$B$5,1,1)),1,0))</f>
        <v/>
      </c>
      <c r="R114" s="10" t="inlineStr">
        <is>
          <t>GUP-VEH0011</t>
        </is>
      </c>
      <c r="S114" s="11" t="n">
        <v>45477</v>
      </c>
      <c r="T114" s="10" t="inlineStr">
        <is>
          <t>548</t>
        </is>
      </c>
      <c r="U114" s="10" t="inlineStr">
        <is>
          <t>VEHICLE</t>
        </is>
      </c>
      <c r="V114" s="10" t="inlineStr">
        <is>
          <t>T</t>
        </is>
      </c>
      <c r="W114" s="10" t="inlineStr">
        <is>
          <t>VIVEK B</t>
        </is>
      </c>
    </row>
    <row r="115">
      <c r="A115" s="10" t="inlineStr">
        <is>
          <t>TN57AU3636</t>
        </is>
      </c>
      <c r="B115" s="10" t="inlineStr">
        <is>
          <t>SOCKS</t>
        </is>
      </c>
      <c r="C115" s="10" t="inlineStr">
        <is>
          <t>ROAD TAX</t>
        </is>
      </c>
      <c r="D115" s="10" t="inlineStr">
        <is>
          <t>ROAD TAX</t>
        </is>
      </c>
      <c r="E115" s="10" t="inlineStr">
        <is>
          <t>YEARLY</t>
        </is>
      </c>
      <c r="F115" s="11" t="n">
        <v>45383</v>
      </c>
      <c r="G115" s="11" t="n">
        <v>45747</v>
      </c>
      <c r="H115" s="12">
        <f>IF(OR($F115="",$G115=""),"",$G115-$F115+1)</f>
        <v/>
      </c>
      <c r="I115" s="10">
        <f>IF($F115="","",IF(MONTH($F115)&gt;=4,YEAR($F115)&amp;"-"&amp;TEXT(YEAR($F115)+1-2000,"00"),YEAR($F115)-1&amp;"-"&amp;TEXT(YEAR($F115)-2000,"00")))</f>
        <v/>
      </c>
      <c r="J115" s="13" t="n">
        <v>24240</v>
      </c>
      <c r="K115" s="14">
        <f>IFERROR($L115/$J115,"")</f>
        <v/>
      </c>
      <c r="L115" s="13" t="n">
        <v>24240</v>
      </c>
      <c r="M115" s="13">
        <f>IFERROR($L115/$H115,"")</f>
        <v/>
      </c>
      <c r="N115" s="11" t="n">
        <v>45569</v>
      </c>
      <c r="O115" s="10">
        <f>IF($N115="","No","Yes")</f>
        <v/>
      </c>
      <c r="P115" s="12">
        <f>IF(OR($F115="",$G115=""),0,IF(AND($F115&lt;=README!$B$4,README!$B$4&lt;=$G115),1,0))</f>
        <v/>
      </c>
      <c r="Q115" s="12">
        <f>IF(OR($F115="",$G115=""),0,IF(AND($F115&lt;=DATE(README!$B$5,12,31),$G115&gt;=DATE(README!$B$5,1,1)),1,0))</f>
        <v/>
      </c>
      <c r="R115" s="10" t="inlineStr">
        <is>
          <t>GUP-VEH0011</t>
        </is>
      </c>
      <c r="S115" s="11" t="n">
        <v>45477</v>
      </c>
      <c r="T115" s="10" t="inlineStr">
        <is>
          <t>548</t>
        </is>
      </c>
      <c r="U115" s="10" t="inlineStr">
        <is>
          <t>VEHICLE</t>
        </is>
      </c>
      <c r="V115" s="10" t="inlineStr">
        <is>
          <t>T</t>
        </is>
      </c>
      <c r="W115" s="10" t="inlineStr">
        <is>
          <t>VIVEK B</t>
        </is>
      </c>
    </row>
    <row r="116">
      <c r="A116" s="10" t="inlineStr">
        <is>
          <t>TN57AU3636</t>
        </is>
      </c>
      <c r="B116" s="10" t="inlineStr">
        <is>
          <t>SOCKS</t>
        </is>
      </c>
      <c r="C116" s="10" t="inlineStr">
        <is>
          <t>ROAD TAX</t>
        </is>
      </c>
      <c r="D116" s="10" t="inlineStr">
        <is>
          <t>GREEN TAX</t>
        </is>
      </c>
      <c r="E116" s="10" t="inlineStr">
        <is>
          <t>YEARLY</t>
        </is>
      </c>
      <c r="F116" s="11" t="n">
        <v>45383</v>
      </c>
      <c r="G116" s="11" t="n">
        <v>45747</v>
      </c>
      <c r="H116" s="12">
        <f>IF(OR($F116="",$G116=""),"",$G116-$F116+1)</f>
        <v/>
      </c>
      <c r="I116" s="10">
        <f>IF($F116="","",IF(MONTH($F116)&gt;=4,YEAR($F116)&amp;"-"&amp;TEXT(YEAR($F116)+1-2000,"00"),YEAR($F116)-1&amp;"-"&amp;TEXT(YEAR($F116)-2000,"00")))</f>
        <v/>
      </c>
      <c r="J116" s="13" t="n">
        <v>190</v>
      </c>
      <c r="K116" s="14">
        <f>IFERROR($L116/$J116,"")</f>
        <v/>
      </c>
      <c r="L116" s="13" t="n">
        <v>190</v>
      </c>
      <c r="M116" s="13">
        <f>IFERROR($L116/$H116,"")</f>
        <v/>
      </c>
      <c r="N116" s="11" t="n">
        <v>45481</v>
      </c>
      <c r="O116" s="10">
        <f>IF($N116="","No","Yes")</f>
        <v/>
      </c>
      <c r="P116" s="12">
        <f>IF(OR($F116="",$G116=""),0,IF(AND($F116&lt;=README!$B$4,README!$B$4&lt;=$G116),1,0))</f>
        <v/>
      </c>
      <c r="Q116" s="12">
        <f>IF(OR($F116="",$G116=""),0,IF(AND($F116&lt;=DATE(README!$B$5,12,31),$G116&gt;=DATE(README!$B$5,1,1)),1,0))</f>
        <v/>
      </c>
      <c r="R116" s="10" t="inlineStr">
        <is>
          <t>GUP-VEH0011</t>
        </is>
      </c>
      <c r="S116" s="11" t="n">
        <v>45477</v>
      </c>
      <c r="T116" s="10" t="inlineStr">
        <is>
          <t>548</t>
        </is>
      </c>
      <c r="U116" s="10" t="inlineStr">
        <is>
          <t>VEHICLE</t>
        </is>
      </c>
      <c r="V116" s="10" t="inlineStr">
        <is>
          <t>T</t>
        </is>
      </c>
      <c r="W116" s="10" t="inlineStr">
        <is>
          <t>VIVEK B</t>
        </is>
      </c>
    </row>
    <row r="117">
      <c r="A117" s="10" t="inlineStr">
        <is>
          <t>TN57AU3636</t>
        </is>
      </c>
      <c r="B117" s="10" t="inlineStr">
        <is>
          <t>SOCKS</t>
        </is>
      </c>
      <c r="C117" s="10" t="inlineStr">
        <is>
          <t>ROAD TAX</t>
        </is>
      </c>
      <c r="D117" s="10" t="inlineStr">
        <is>
          <t>ROAD TAX</t>
        </is>
      </c>
      <c r="E117" s="10" t="inlineStr">
        <is>
          <t>YEARLY</t>
        </is>
      </c>
      <c r="F117" s="11" t="n">
        <v>45383</v>
      </c>
      <c r="G117" s="11" t="n">
        <v>45747</v>
      </c>
      <c r="H117" s="12">
        <f>IF(OR($F117="",$G117=""),"",$G117-$F117+1)</f>
        <v/>
      </c>
      <c r="I117" s="10">
        <f>IF($F117="","",IF(MONTH($F117)&gt;=4,YEAR($F117)&amp;"-"&amp;TEXT(YEAR($F117)+1-2000,"00"),YEAR($F117)-1&amp;"-"&amp;TEXT(YEAR($F117)-2000,"00")))</f>
        <v/>
      </c>
      <c r="J117" s="13" t="n">
        <v>24240</v>
      </c>
      <c r="K117" s="14">
        <f>IFERROR($L117/$J117,"")</f>
        <v/>
      </c>
      <c r="L117" s="13" t="n">
        <v>24240</v>
      </c>
      <c r="M117" s="13">
        <f>IFERROR($L117/$H117,"")</f>
        <v/>
      </c>
      <c r="N117" s="11" t="n">
        <v>45481</v>
      </c>
      <c r="O117" s="10">
        <f>IF($N117="","No","Yes")</f>
        <v/>
      </c>
      <c r="P117" s="12">
        <f>IF(OR($F117="",$G117=""),0,IF(AND($F117&lt;=README!$B$4,README!$B$4&lt;=$G117),1,0))</f>
        <v/>
      </c>
      <c r="Q117" s="12">
        <f>IF(OR($F117="",$G117=""),0,IF(AND($F117&lt;=DATE(README!$B$5,12,31),$G117&gt;=DATE(README!$B$5,1,1)),1,0))</f>
        <v/>
      </c>
      <c r="R117" s="10" t="inlineStr">
        <is>
          <t>GUP-VEH0011</t>
        </is>
      </c>
      <c r="S117" s="11" t="n">
        <v>45477</v>
      </c>
      <c r="T117" s="10" t="inlineStr">
        <is>
          <t>548</t>
        </is>
      </c>
      <c r="U117" s="10" t="inlineStr">
        <is>
          <t>VEHICLE</t>
        </is>
      </c>
      <c r="V117" s="10" t="inlineStr">
        <is>
          <t>T</t>
        </is>
      </c>
      <c r="W117" s="10" t="inlineStr">
        <is>
          <t>VIVEK B</t>
        </is>
      </c>
    </row>
    <row r="118">
      <c r="A118" s="10" t="inlineStr">
        <is>
          <t>TN57AU3636</t>
        </is>
      </c>
      <c r="B118" s="10" t="inlineStr">
        <is>
          <t>SOCKS</t>
        </is>
      </c>
      <c r="C118" s="10" t="inlineStr">
        <is>
          <t>TYRE</t>
        </is>
      </c>
      <c r="D118" s="10" t="inlineStr">
        <is>
          <t>TYRE</t>
        </is>
      </c>
      <c r="E118" s="10" t="inlineStr">
        <is>
          <t>YEARLY</t>
        </is>
      </c>
      <c r="F118" s="11" t="n">
        <v>45383</v>
      </c>
      <c r="G118" s="11" t="n">
        <v>45747</v>
      </c>
      <c r="H118" s="12">
        <f>IF(OR($F118="",$G118=""),"",$G118-$F118+1)</f>
        <v/>
      </c>
      <c r="I118" s="10">
        <f>IF($F118="","",IF(MONTH($F118)&gt;=4,YEAR($F118)&amp;"-"&amp;TEXT(YEAR($F118)+1-2000,"00"),YEAR($F118)-1&amp;"-"&amp;TEXT(YEAR($F118)-2000,"00")))</f>
        <v/>
      </c>
      <c r="J118" s="13" t="n">
        <v>19200</v>
      </c>
      <c r="K118" s="14">
        <f>IFERROR($L118/$J118,"")</f>
        <v/>
      </c>
      <c r="L118" s="13" t="n">
        <v>19200</v>
      </c>
      <c r="M118" s="13">
        <f>IFERROR($L118/$H118,"")</f>
        <v/>
      </c>
      <c r="N118" s="11" t="n">
        <v>45443</v>
      </c>
      <c r="O118" s="10">
        <f>IF($N118="","No","Yes")</f>
        <v/>
      </c>
      <c r="P118" s="12">
        <f>IF(OR($F118="",$G118=""),0,IF(AND($F118&lt;=README!$B$4,README!$B$4&lt;=$G118),1,0))</f>
        <v/>
      </c>
      <c r="Q118" s="12">
        <f>IF(OR($F118="",$G118=""),0,IF(AND($F118&lt;=DATE(README!$B$5,12,31),$G118&gt;=DATE(README!$B$5,1,1)),1,0))</f>
        <v/>
      </c>
      <c r="R118" s="10" t="inlineStr">
        <is>
          <t>GUP-VEH0006</t>
        </is>
      </c>
      <c r="S118" s="11" t="n">
        <v>45442</v>
      </c>
      <c r="T118" s="10" t="inlineStr">
        <is>
          <t>522</t>
        </is>
      </c>
      <c r="U118" s="10" t="inlineStr">
        <is>
          <t>VEHICLE</t>
        </is>
      </c>
      <c r="V118" s="10" t="inlineStr">
        <is>
          <t>T</t>
        </is>
      </c>
      <c r="W118" s="10" t="inlineStr">
        <is>
          <t>VIVEK B</t>
        </is>
      </c>
    </row>
    <row r="119">
      <c r="A119" s="10" t="inlineStr">
        <is>
          <t>TN57AU3636</t>
        </is>
      </c>
      <c r="B119" s="10" t="inlineStr">
        <is>
          <t>SOCKS</t>
        </is>
      </c>
      <c r="C119" s="10" t="inlineStr">
        <is>
          <t>VEHICLE INSURANCE</t>
        </is>
      </c>
      <c r="D119" s="10" t="inlineStr">
        <is>
          <t>VEHICLE INSURANCE</t>
        </is>
      </c>
      <c r="E119" s="10" t="inlineStr">
        <is>
          <t>YEARLY</t>
        </is>
      </c>
      <c r="F119" s="11" t="n">
        <v>45383</v>
      </c>
      <c r="G119" s="11" t="n">
        <v>45747</v>
      </c>
      <c r="H119" s="12">
        <f>IF(OR($F119="",$G119=""),"",$G119-$F119+1)</f>
        <v/>
      </c>
      <c r="I119" s="10">
        <f>IF($F119="","",IF(MONTH($F119)&gt;=4,YEAR($F119)&amp;"-"&amp;TEXT(YEAR($F119)+1-2000,"00"),YEAR($F119)-1&amp;"-"&amp;TEXT(YEAR($F119)-2000,"00")))</f>
        <v/>
      </c>
      <c r="J119" s="13" t="n">
        <v>59350</v>
      </c>
      <c r="K119" s="14">
        <f>IFERROR($L119/$J119,"")</f>
        <v/>
      </c>
      <c r="L119" s="13" t="n">
        <v>59350</v>
      </c>
      <c r="M119" s="13">
        <f>IFERROR($L119/$H119,"")</f>
        <v/>
      </c>
      <c r="N119" s="11" t="n">
        <v>45565</v>
      </c>
      <c r="O119" s="10">
        <f>IF($N119="","No","Yes")</f>
        <v/>
      </c>
      <c r="P119" s="12">
        <f>IF(OR($F119="",$G119=""),0,IF(AND($F119&lt;=README!$B$4,README!$B$4&lt;=$G119),1,0))</f>
        <v/>
      </c>
      <c r="Q119" s="12">
        <f>IF(OR($F119="",$G119=""),0,IF(AND($F119&lt;=DATE(README!$B$5,12,31),$G119&gt;=DATE(README!$B$5,1,1)),1,0))</f>
        <v/>
      </c>
      <c r="R119" s="10" t="inlineStr">
        <is>
          <t>GUP-VEH0013</t>
        </is>
      </c>
      <c r="S119" s="11" t="n">
        <v>45478</v>
      </c>
      <c r="T119" s="10" t="inlineStr">
        <is>
          <t>550</t>
        </is>
      </c>
      <c r="U119" s="10" t="inlineStr">
        <is>
          <t>VEHICLE</t>
        </is>
      </c>
      <c r="V119" s="10" t="inlineStr">
        <is>
          <t>T</t>
        </is>
      </c>
      <c r="W119" s="10" t="inlineStr">
        <is>
          <t>VIVEK B</t>
        </is>
      </c>
    </row>
    <row r="120">
      <c r="A120" s="10" t="inlineStr">
        <is>
          <t>TN57AU3636</t>
        </is>
      </c>
      <c r="B120" s="10" t="inlineStr">
        <is>
          <t>SOCKS</t>
        </is>
      </c>
      <c r="C120" s="10" t="inlineStr">
        <is>
          <t>FC WORK</t>
        </is>
      </c>
      <c r="D120" s="10" t="inlineStr">
        <is>
          <t>FC WORK</t>
        </is>
      </c>
      <c r="E120" s="10" t="inlineStr">
        <is>
          <t>YEARLY</t>
        </is>
      </c>
      <c r="F120" s="11" t="n">
        <v>45748</v>
      </c>
      <c r="G120" s="11" t="n">
        <v>46112</v>
      </c>
      <c r="H120" s="12">
        <f>IF(OR($F120="",$G120=""),"",$G120-$F120+1)</f>
        <v/>
      </c>
      <c r="I120" s="10">
        <f>IF($F120="","",IF(MONTH($F120)&gt;=4,YEAR($F120)&amp;"-"&amp;TEXT(YEAR($F120)+1-2000,"00"),YEAR($F120)-1&amp;"-"&amp;TEXT(YEAR($F120)-2000,"00")))</f>
        <v/>
      </c>
      <c r="J120" s="13" t="n">
        <v>50000</v>
      </c>
      <c r="K120" s="14">
        <f>IFERROR($L120/$J120,"")</f>
        <v/>
      </c>
      <c r="L120" s="13" t="n">
        <v>50000</v>
      </c>
      <c r="M120" s="13">
        <f>IFERROR($L120/$H120,"")</f>
        <v/>
      </c>
      <c r="N120" s="11" t="n">
        <v>45854</v>
      </c>
      <c r="O120" s="10">
        <f>IF($N120="","No","Yes")</f>
        <v/>
      </c>
      <c r="P120" s="12">
        <f>IF(OR($F120="",$G120=""),0,IF(AND($F120&lt;=README!$B$4,README!$B$4&lt;=$G120),1,0))</f>
        <v/>
      </c>
      <c r="Q120" s="12">
        <f>IF(OR($F120="",$G120=""),0,IF(AND($F120&lt;=DATE(README!$B$5,12,31),$G120&gt;=DATE(README!$B$5,1,1)),1,0))</f>
        <v/>
      </c>
      <c r="R120" s="10" t="inlineStr">
        <is>
          <t>GUP-VEH0021</t>
        </is>
      </c>
      <c r="S120" s="11" t="n">
        <v>45832</v>
      </c>
      <c r="T120" s="10" t="inlineStr">
        <is>
          <t>654</t>
        </is>
      </c>
      <c r="U120" s="10" t="inlineStr">
        <is>
          <t>VEHICLE</t>
        </is>
      </c>
      <c r="V120" s="10" t="inlineStr">
        <is>
          <t>T</t>
        </is>
      </c>
      <c r="W120" s="10" t="inlineStr">
        <is>
          <t>VIVEK B</t>
        </is>
      </c>
    </row>
    <row r="121">
      <c r="A121" s="10" t="inlineStr">
        <is>
          <t>TN57AU3636</t>
        </is>
      </c>
      <c r="B121" s="10" t="inlineStr">
        <is>
          <t>SOCKS</t>
        </is>
      </c>
      <c r="C121" s="10" t="inlineStr">
        <is>
          <t>ROAD TAX</t>
        </is>
      </c>
      <c r="D121" s="10" t="inlineStr">
        <is>
          <t>ROAD TAX</t>
        </is>
      </c>
      <c r="E121" s="10" t="inlineStr">
        <is>
          <t>QUARTER - I</t>
        </is>
      </c>
      <c r="F121" s="11" t="n">
        <v>45748</v>
      </c>
      <c r="G121" s="11" t="n">
        <v>45838</v>
      </c>
      <c r="H121" s="12">
        <f>IF(OR($F121="",$G121=""),"",$G121-$F121+1)</f>
        <v/>
      </c>
      <c r="I121" s="10">
        <f>IF($F121="","",IF(MONTH($F121)&gt;=4,YEAR($F121)&amp;"-"&amp;TEXT(YEAR($F121)+1-2000,"00"),YEAR($F121)-1&amp;"-"&amp;TEXT(YEAR($F121)-2000,"00")))</f>
        <v/>
      </c>
      <c r="J121" s="13" t="n">
        <v>24240</v>
      </c>
      <c r="K121" s="14">
        <f>IFERROR($L121/$J121,"")</f>
        <v/>
      </c>
      <c r="L121" s="13" t="n">
        <v>24240</v>
      </c>
      <c r="M121" s="13">
        <f>IFERROR($L121/$H121,"")</f>
        <v/>
      </c>
      <c r="N121" s="11" t="n">
        <v>46030</v>
      </c>
      <c r="O121" s="10">
        <f>IF($N121="","No","Yes")</f>
        <v/>
      </c>
      <c r="P121" s="12">
        <f>IF(OR($F121="",$G121=""),0,IF(AND($F121&lt;=README!$B$4,README!$B$4&lt;=$G121),1,0))</f>
        <v/>
      </c>
      <c r="Q121" s="12">
        <f>IF(OR($F121="",$G121=""),0,IF(AND($F121&lt;=DATE(README!$B$5,12,31),$G121&gt;=DATE(README!$B$5,1,1)),1,0))</f>
        <v/>
      </c>
      <c r="R121" s="10" t="inlineStr">
        <is>
          <t>GUP-VEH0014</t>
        </is>
      </c>
      <c r="S121" s="11" t="n">
        <v>45748</v>
      </c>
      <c r="T121" s="10" t="inlineStr">
        <is>
          <t>609</t>
        </is>
      </c>
      <c r="U121" s="10" t="inlineStr">
        <is>
          <t>VEHICLE</t>
        </is>
      </c>
      <c r="V121" s="10" t="inlineStr">
        <is>
          <t>T</t>
        </is>
      </c>
      <c r="W121" s="10" t="inlineStr">
        <is>
          <t>VIVEK B</t>
        </is>
      </c>
    </row>
    <row r="122">
      <c r="A122" s="10" t="inlineStr">
        <is>
          <t>TN57AU3636</t>
        </is>
      </c>
      <c r="B122" s="10" t="inlineStr">
        <is>
          <t>SOCKS</t>
        </is>
      </c>
      <c r="C122" s="10" t="inlineStr">
        <is>
          <t>RTO EXPENSE</t>
        </is>
      </c>
      <c r="D122" s="10" t="inlineStr">
        <is>
          <t>RTO EXPENSE</t>
        </is>
      </c>
      <c r="E122" s="10" t="inlineStr">
        <is>
          <t>YEARLY</t>
        </is>
      </c>
      <c r="F122" s="11" t="n">
        <v>45748</v>
      </c>
      <c r="G122" s="11" t="n">
        <v>46112</v>
      </c>
      <c r="H122" s="12">
        <f>IF(OR($F122="",$G122=""),"",$G122-$F122+1)</f>
        <v/>
      </c>
      <c r="I122" s="10">
        <f>IF($F122="","",IF(MONTH($F122)&gt;=4,YEAR($F122)&amp;"-"&amp;TEXT(YEAR($F122)+1-2000,"00"),YEAR($F122)-1&amp;"-"&amp;TEXT(YEAR($F122)-2000,"00")))</f>
        <v/>
      </c>
      <c r="J122" s="13" t="n">
        <v>7500</v>
      </c>
      <c r="K122" s="14">
        <f>IFERROR($L122/$J122,"")</f>
        <v/>
      </c>
      <c r="L122" s="13" t="n">
        <v>7500</v>
      </c>
      <c r="M122" s="13">
        <f>IFERROR($L122/$H122,"")</f>
        <v/>
      </c>
      <c r="N122" s="11" t="n">
        <v>45854</v>
      </c>
      <c r="O122" s="10">
        <f>IF($N122="","No","Yes")</f>
        <v/>
      </c>
      <c r="P122" s="12">
        <f>IF(OR($F122="",$G122=""),0,IF(AND($F122&lt;=README!$B$4,README!$B$4&lt;=$G122),1,0))</f>
        <v/>
      </c>
      <c r="Q122" s="12">
        <f>IF(OR($F122="",$G122=""),0,IF(AND($F122&lt;=DATE(README!$B$5,12,31),$G122&gt;=DATE(README!$B$5,1,1)),1,0))</f>
        <v/>
      </c>
      <c r="R122" s="10" t="inlineStr">
        <is>
          <t>GUP-VEH0022</t>
        </is>
      </c>
      <c r="S122" s="11" t="n">
        <v>45834</v>
      </c>
      <c r="T122" s="10" t="inlineStr">
        <is>
          <t>655</t>
        </is>
      </c>
      <c r="U122" s="10" t="inlineStr">
        <is>
          <t>VEHICLE</t>
        </is>
      </c>
      <c r="V122" s="10" t="inlineStr">
        <is>
          <t>T</t>
        </is>
      </c>
      <c r="W122" s="10" t="inlineStr">
        <is>
          <t>VIVEK B</t>
        </is>
      </c>
    </row>
    <row r="123">
      <c r="A123" s="10" t="inlineStr">
        <is>
          <t>TN57AU3636</t>
        </is>
      </c>
      <c r="B123" s="10" t="inlineStr">
        <is>
          <t>SOCKS</t>
        </is>
      </c>
      <c r="C123" s="10" t="inlineStr">
        <is>
          <t>VEHICLE INSURANCE</t>
        </is>
      </c>
      <c r="D123" s="10" t="inlineStr">
        <is>
          <t>VEHICLE INSURANCE</t>
        </is>
      </c>
      <c r="E123" s="10" t="inlineStr">
        <is>
          <t>YEARLY</t>
        </is>
      </c>
      <c r="F123" s="11" t="n">
        <v>45748</v>
      </c>
      <c r="G123" s="11" t="n">
        <v>46112</v>
      </c>
      <c r="H123" s="12">
        <f>IF(OR($F123="",$G123=""),"",$G123-$F123+1)</f>
        <v/>
      </c>
      <c r="I123" s="10">
        <f>IF($F123="","",IF(MONTH($F123)&gt;=4,YEAR($F123)&amp;"-"&amp;TEXT(YEAR($F123)+1-2000,"00"),YEAR($F123)-1&amp;"-"&amp;TEXT(YEAR($F123)-2000,"00")))</f>
        <v/>
      </c>
      <c r="J123" s="13" t="n">
        <v>59077</v>
      </c>
      <c r="K123" s="14">
        <f>IFERROR($L123/$J123,"")</f>
        <v/>
      </c>
      <c r="L123" s="13" t="n">
        <v>59077</v>
      </c>
      <c r="M123" s="13">
        <f>IFERROR($L123/$H123,"")</f>
        <v/>
      </c>
      <c r="N123" s="11" t="n">
        <v>45930</v>
      </c>
      <c r="O123" s="10">
        <f>IF($N123="","No","Yes")</f>
        <v/>
      </c>
      <c r="P123" s="12">
        <f>IF(OR($F123="",$G123=""),0,IF(AND($F123&lt;=README!$B$4,README!$B$4&lt;=$G123),1,0))</f>
        <v/>
      </c>
      <c r="Q123" s="12">
        <f>IF(OR($F123="",$G123=""),0,IF(AND($F123&lt;=DATE(README!$B$5,12,31),$G123&gt;=DATE(README!$B$5,1,1)),1,0))</f>
        <v/>
      </c>
      <c r="R123" s="10" t="inlineStr">
        <is>
          <t>GUP-VEH0020</t>
        </is>
      </c>
      <c r="S123" s="11" t="n">
        <v>45799</v>
      </c>
      <c r="T123" s="10" t="inlineStr">
        <is>
          <t>645</t>
        </is>
      </c>
      <c r="U123" s="10" t="inlineStr">
        <is>
          <t>VEHICLE</t>
        </is>
      </c>
      <c r="V123" s="10" t="inlineStr">
        <is>
          <t>T</t>
        </is>
      </c>
      <c r="W123" s="10" t="inlineStr">
        <is>
          <t>VIVEK B</t>
        </is>
      </c>
    </row>
    <row r="124">
      <c r="A124" s="10" t="inlineStr">
        <is>
          <t>TN57AU3636</t>
        </is>
      </c>
      <c r="B124" s="10" t="inlineStr">
        <is>
          <t>SOCKS</t>
        </is>
      </c>
      <c r="C124" s="10" t="inlineStr">
        <is>
          <t>ROAD TAX</t>
        </is>
      </c>
      <c r="D124" s="10" t="inlineStr">
        <is>
          <t>ROAD TAX</t>
        </is>
      </c>
      <c r="E124" s="10" t="inlineStr">
        <is>
          <t>QUARTER - II</t>
        </is>
      </c>
      <c r="F124" s="11" t="n">
        <v>45839</v>
      </c>
      <c r="G124" s="11" t="n">
        <v>45930</v>
      </c>
      <c r="H124" s="12">
        <f>IF(OR($F124="",$G124=""),"",$G124-$F124+1)</f>
        <v/>
      </c>
      <c r="I124" s="10">
        <f>IF($F124="","",IF(MONTH($F124)&gt;=4,YEAR($F124)&amp;"-"&amp;TEXT(YEAR($F124)+1-2000,"00"),YEAR($F124)-1&amp;"-"&amp;TEXT(YEAR($F124)-2000,"00")))</f>
        <v/>
      </c>
      <c r="J124" s="13" t="n">
        <v>24240</v>
      </c>
      <c r="K124" s="14">
        <f>IFERROR($L124/$J124,"")</f>
        <v/>
      </c>
      <c r="L124" s="13" t="n">
        <v>24240</v>
      </c>
      <c r="M124" s="13">
        <f>IFERROR($L124/$H124,"")</f>
        <v/>
      </c>
      <c r="N124" s="11" t="n">
        <v>46030</v>
      </c>
      <c r="O124" s="10">
        <f>IF($N124="","No","Yes")</f>
        <v/>
      </c>
      <c r="P124" s="12">
        <f>IF(OR($F124="",$G124=""),0,IF(AND($F124&lt;=README!$B$4,README!$B$4&lt;=$G124),1,0))</f>
        <v/>
      </c>
      <c r="Q124" s="12">
        <f>IF(OR($F124="",$G124=""),0,IF(AND($F124&lt;=DATE(README!$B$5,12,31),$G124&gt;=DATE(README!$B$5,1,1)),1,0))</f>
        <v/>
      </c>
      <c r="R124" s="10" t="inlineStr">
        <is>
          <t>GUP-VEH0014</t>
        </is>
      </c>
      <c r="S124" s="11" t="n">
        <v>45748</v>
      </c>
      <c r="T124" s="10" t="inlineStr">
        <is>
          <t>609</t>
        </is>
      </c>
      <c r="U124" s="10" t="inlineStr">
        <is>
          <t>VEHICLE</t>
        </is>
      </c>
      <c r="V124" s="10" t="inlineStr">
        <is>
          <t>T</t>
        </is>
      </c>
      <c r="W124" s="10" t="inlineStr">
        <is>
          <t>VIVEK B</t>
        </is>
      </c>
    </row>
    <row r="125">
      <c r="A125" s="10" t="inlineStr">
        <is>
          <t>TN57AU3636</t>
        </is>
      </c>
      <c r="B125" s="10" t="inlineStr">
        <is>
          <t>SOCKS</t>
        </is>
      </c>
      <c r="C125" s="10" t="inlineStr">
        <is>
          <t>ROAD TAX</t>
        </is>
      </c>
      <c r="D125" s="10" t="inlineStr">
        <is>
          <t>ROAD TAX</t>
        </is>
      </c>
      <c r="E125" s="10" t="inlineStr">
        <is>
          <t>QUARTER - III</t>
        </is>
      </c>
      <c r="F125" s="11" t="n">
        <v>45931</v>
      </c>
      <c r="G125" s="11" t="n">
        <v>46022</v>
      </c>
      <c r="H125" s="12">
        <f>IF(OR($F125="",$G125=""),"",$G125-$F125+1)</f>
        <v/>
      </c>
      <c r="I125" s="10">
        <f>IF($F125="","",IF(MONTH($F125)&gt;=4,YEAR($F125)&amp;"-"&amp;TEXT(YEAR($F125)+1-2000,"00"),YEAR($F125)-1&amp;"-"&amp;TEXT(YEAR($F125)-2000,"00")))</f>
        <v/>
      </c>
      <c r="J125" s="13" t="n">
        <v>24250</v>
      </c>
      <c r="K125" s="14">
        <f>IFERROR($L125/$J125,"")</f>
        <v/>
      </c>
      <c r="L125" s="13" t="n">
        <v>24250</v>
      </c>
      <c r="M125" s="13">
        <f>IFERROR($L125/$H125,"")</f>
        <v/>
      </c>
      <c r="N125" s="11" t="n">
        <v>46030</v>
      </c>
      <c r="O125" s="10">
        <f>IF($N125="","No","Yes")</f>
        <v/>
      </c>
      <c r="P125" s="12">
        <f>IF(OR($F125="",$G125=""),0,IF(AND($F125&lt;=README!$B$4,README!$B$4&lt;=$G125),1,0))</f>
        <v/>
      </c>
      <c r="Q125" s="12">
        <f>IF(OR($F125="",$G125=""),0,IF(AND($F125&lt;=DATE(README!$B$5,12,31),$G125&gt;=DATE(README!$B$5,1,1)),1,0))</f>
        <v/>
      </c>
      <c r="R125" s="10" t="inlineStr">
        <is>
          <t>GUP-VEH0014</t>
        </is>
      </c>
      <c r="S125" s="11" t="n">
        <v>45748</v>
      </c>
      <c r="T125" s="10" t="inlineStr">
        <is>
          <t>609</t>
        </is>
      </c>
      <c r="U125" s="10" t="inlineStr">
        <is>
          <t>VEHICLE</t>
        </is>
      </c>
      <c r="V125" s="10" t="inlineStr">
        <is>
          <t>T</t>
        </is>
      </c>
      <c r="W125" s="10" t="inlineStr">
        <is>
          <t>VIVEK B</t>
        </is>
      </c>
    </row>
    <row r="126">
      <c r="A126" s="10" t="inlineStr">
        <is>
          <t>TN57AU3636</t>
        </is>
      </c>
      <c r="B126" s="10" t="inlineStr">
        <is>
          <t>SOCKS</t>
        </is>
      </c>
      <c r="C126" s="10" t="inlineStr">
        <is>
          <t>ROAD TAX</t>
        </is>
      </c>
      <c r="D126" s="10" t="inlineStr">
        <is>
          <t>ROAD TAX</t>
        </is>
      </c>
      <c r="E126" s="10" t="inlineStr">
        <is>
          <t>QUARTER - IV</t>
        </is>
      </c>
      <c r="F126" s="11" t="n">
        <v>46023</v>
      </c>
      <c r="G126" s="11" t="n">
        <v>46112</v>
      </c>
      <c r="H126" s="12">
        <f>IF(OR($F126="",$G126=""),"",$G126-$F126+1)</f>
        <v/>
      </c>
      <c r="I126" s="10">
        <f>IF($F126="","",IF(MONTH($F126)&gt;=4,YEAR($F126)&amp;"-"&amp;TEXT(YEAR($F126)+1-2000,"00"),YEAR($F126)-1&amp;"-"&amp;TEXT(YEAR($F126)-2000,"00")))</f>
        <v/>
      </c>
      <c r="J126" s="13" t="n">
        <v>24250</v>
      </c>
      <c r="K126" s="14">
        <f>IFERROR($L126/$J126,"")</f>
        <v/>
      </c>
      <c r="L126" s="13" t="n">
        <v>24250</v>
      </c>
      <c r="M126" s="13">
        <f>IFERROR($L126/$H126,"")</f>
        <v/>
      </c>
      <c r="N126" s="11" t="n">
        <v>46030</v>
      </c>
      <c r="O126" s="10">
        <f>IF($N126="","No","Yes")</f>
        <v/>
      </c>
      <c r="P126" s="12">
        <f>IF(OR($F126="",$G126=""),0,IF(AND($F126&lt;=README!$B$4,README!$B$4&lt;=$G126),1,0))</f>
        <v/>
      </c>
      <c r="Q126" s="12">
        <f>IF(OR($F126="",$G126=""),0,IF(AND($F126&lt;=DATE(README!$B$5,12,31),$G126&gt;=DATE(README!$B$5,1,1)),1,0))</f>
        <v/>
      </c>
      <c r="R126" s="10" t="inlineStr">
        <is>
          <t>GUP-VEH0014</t>
        </is>
      </c>
      <c r="S126" s="11" t="n">
        <v>45748</v>
      </c>
      <c r="T126" s="10" t="inlineStr">
        <is>
          <t>609</t>
        </is>
      </c>
      <c r="U126" s="10" t="inlineStr">
        <is>
          <t>VEHICLE</t>
        </is>
      </c>
      <c r="V126" s="10" t="inlineStr">
        <is>
          <t>T</t>
        </is>
      </c>
      <c r="W126" s="10" t="inlineStr">
        <is>
          <t>VIVEK B</t>
        </is>
      </c>
    </row>
    <row r="127">
      <c r="A127" s="10" t="inlineStr">
        <is>
          <t>TN57AU3636</t>
        </is>
      </c>
      <c r="B127" s="10" t="inlineStr">
        <is>
          <t>SOCKS</t>
        </is>
      </c>
      <c r="C127" s="10" t="inlineStr">
        <is>
          <t>TYRE</t>
        </is>
      </c>
      <c r="D127" s="10" t="inlineStr">
        <is>
          <t>TYRE</t>
        </is>
      </c>
      <c r="E127" s="10" t="inlineStr">
        <is>
          <t>FEBRUARY</t>
        </is>
      </c>
      <c r="F127" s="11" t="n">
        <v>46054</v>
      </c>
      <c r="G127" s="11" t="n">
        <v>46081</v>
      </c>
      <c r="H127" s="12">
        <f>IF(OR($F127="",$G127=""),"",$G127-$F127+1)</f>
        <v/>
      </c>
      <c r="I127" s="10">
        <f>IF($F127="","",IF(MONTH($F127)&gt;=4,YEAR($F127)&amp;"-"&amp;TEXT(YEAR($F127)+1-2000,"00"),YEAR($F127)-1&amp;"-"&amp;TEXT(YEAR($F127)-2000,"00")))</f>
        <v/>
      </c>
      <c r="J127" s="13" t="n">
        <v>19200</v>
      </c>
      <c r="K127" s="14">
        <f>IFERROR($L127/$J127,"")</f>
        <v/>
      </c>
      <c r="L127" s="13" t="n">
        <v>19200</v>
      </c>
      <c r="M127" s="13">
        <f>IFERROR($L127/$H127,"")</f>
        <v/>
      </c>
      <c r="N127" s="11" t="n">
        <v>46072</v>
      </c>
      <c r="O127" s="10">
        <f>IF($N127="","No","Yes")</f>
        <v/>
      </c>
      <c r="P127" s="12">
        <f>IF(OR($F127="",$G127=""),0,IF(AND($F127&lt;=README!$B$4,README!$B$4&lt;=$G127),1,0))</f>
        <v/>
      </c>
      <c r="Q127" s="12">
        <f>IF(OR($F127="",$G127=""),0,IF(AND($F127&lt;=DATE(README!$B$5,12,31),$G127&gt;=DATE(README!$B$5,1,1)),1,0))</f>
        <v/>
      </c>
      <c r="R127" s="10" t="inlineStr">
        <is>
          <t>GUP-VEH0025</t>
        </is>
      </c>
      <c r="S127" s="11" t="n">
        <v>45957</v>
      </c>
      <c r="T127" s="10" t="inlineStr">
        <is>
          <t>726</t>
        </is>
      </c>
      <c r="U127" s="10" t="inlineStr">
        <is>
          <t>VEHICLE</t>
        </is>
      </c>
      <c r="V127" s="10" t="inlineStr">
        <is>
          <t>T</t>
        </is>
      </c>
      <c r="W127" s="10" t="inlineStr">
        <is>
          <t>VIVEK B</t>
        </is>
      </c>
    </row>
    <row r="128">
      <c r="A128" s="10" t="inlineStr">
        <is>
          <t>TN57AU3636</t>
        </is>
      </c>
      <c r="B128" s="10" t="inlineStr">
        <is>
          <t>SOCKS</t>
        </is>
      </c>
      <c r="C128" s="10" t="inlineStr">
        <is>
          <t>ROAD TAX</t>
        </is>
      </c>
      <c r="D128" s="10" t="inlineStr">
        <is>
          <t>ROAD TAX</t>
        </is>
      </c>
      <c r="E128" s="10" t="inlineStr">
        <is>
          <t>QUARTER - I</t>
        </is>
      </c>
      <c r="F128" s="11" t="n">
        <v>46113</v>
      </c>
      <c r="G128" s="11" t="n">
        <v>46203</v>
      </c>
      <c r="H128" s="12">
        <f>IF(OR($F128="",$G128=""),"",$G128-$F128+1)</f>
        <v/>
      </c>
      <c r="I128" s="10">
        <f>IF($F128="","",IF(MONTH($F128)&gt;=4,YEAR($F128)&amp;"-"&amp;TEXT(YEAR($F128)+1-2000,"00"),YEAR($F128)-1&amp;"-"&amp;TEXT(YEAR($F128)-2000,"00")))</f>
        <v/>
      </c>
      <c r="J128" s="13" t="n">
        <v>24250</v>
      </c>
      <c r="K128" s="14">
        <f>IFERROR($L128/$J128,"")</f>
        <v/>
      </c>
      <c r="L128" s="13" t="n">
        <v>24250</v>
      </c>
      <c r="M128" s="13">
        <f>IFERROR($L128/$H128,"")</f>
        <v/>
      </c>
      <c r="N128" s="11" t="n">
        <v>46088</v>
      </c>
      <c r="O128" s="10">
        <f>IF($N128="","No","Yes")</f>
        <v/>
      </c>
      <c r="P128" s="12">
        <f>IF(OR($F128="",$G128=""),0,IF(AND($F128&lt;=README!$B$4,README!$B$4&lt;=$G128),1,0))</f>
        <v/>
      </c>
      <c r="Q128" s="12">
        <f>IF(OR($F128="",$G128=""),0,IF(AND($F128&lt;=DATE(README!$B$5,12,31),$G128&gt;=DATE(README!$B$5,1,1)),1,0))</f>
        <v/>
      </c>
      <c r="R128" s="10" t="inlineStr">
        <is>
          <t>GUP-VEH0030</t>
        </is>
      </c>
      <c r="S128" s="11" t="n">
        <v>46113</v>
      </c>
      <c r="T128" s="10" t="inlineStr">
        <is>
          <t>796</t>
        </is>
      </c>
      <c r="U128" s="10" t="inlineStr">
        <is>
          <t>VEHICLE</t>
        </is>
      </c>
      <c r="V128" s="10" t="inlineStr">
        <is>
          <t>T</t>
        </is>
      </c>
      <c r="W128" s="10" t="inlineStr">
        <is>
          <t>VIVEK B</t>
        </is>
      </c>
    </row>
    <row r="129">
      <c r="A129" s="10" t="inlineStr">
        <is>
          <t>TN57AU3636</t>
        </is>
      </c>
      <c r="B129" s="10" t="inlineStr">
        <is>
          <t>SOCKS</t>
        </is>
      </c>
      <c r="C129" s="10" t="inlineStr">
        <is>
          <t>VEHICLE OUTSIDE SERVICES</t>
        </is>
      </c>
      <c r="D129" s="10" t="inlineStr">
        <is>
          <t>POLICE STATION - VEHICLE</t>
        </is>
      </c>
      <c r="E129" s="10" t="inlineStr">
        <is>
          <t>MAY</t>
        </is>
      </c>
      <c r="F129" s="11" t="n">
        <v>46143</v>
      </c>
      <c r="G129" s="11" t="n">
        <v>46173</v>
      </c>
      <c r="H129" s="12">
        <f>IF(OR($F129="",$G129=""),"",$G129-$F129+1)</f>
        <v/>
      </c>
      <c r="I129" s="10">
        <f>IF($F129="","",IF(MONTH($F129)&gt;=4,YEAR($F129)&amp;"-"&amp;TEXT(YEAR($F129)+1-2000,"00"),YEAR($F129)-1&amp;"-"&amp;TEXT(YEAR($F129)-2000,"00")))</f>
        <v/>
      </c>
      <c r="J129" s="13" t="n">
        <v>6000</v>
      </c>
      <c r="K129" s="14">
        <f>IFERROR($L129/$J129,"")</f>
        <v/>
      </c>
      <c r="L129" s="13" t="n">
        <v>6000</v>
      </c>
      <c r="M129" s="13">
        <f>IFERROR($L129/$H129,"")</f>
        <v/>
      </c>
      <c r="N129" s="11" t="n">
        <v>46150</v>
      </c>
      <c r="O129" s="10">
        <f>IF($N129="","No","Yes")</f>
        <v/>
      </c>
      <c r="P129" s="12">
        <f>IF(OR($F129="",$G129=""),0,IF(AND($F129&lt;=README!$B$4,README!$B$4&lt;=$G129),1,0))</f>
        <v/>
      </c>
      <c r="Q129" s="12">
        <f>IF(OR($F129="",$G129=""),0,IF(AND($F129&lt;=DATE(README!$B$5,12,31),$G129&gt;=DATE(README!$B$5,1,1)),1,0))</f>
        <v/>
      </c>
      <c r="R129" s="10" t="inlineStr">
        <is>
          <t>GUP-VEH0031</t>
        </is>
      </c>
      <c r="S129" s="11" t="n">
        <v>46114</v>
      </c>
      <c r="T129" s="10" t="inlineStr">
        <is>
          <t>810</t>
        </is>
      </c>
      <c r="U129" s="10" t="inlineStr">
        <is>
          <t>VEHICLE</t>
        </is>
      </c>
      <c r="V129" s="10" t="inlineStr">
        <is>
          <t>T</t>
        </is>
      </c>
      <c r="W129" s="10" t="inlineStr">
        <is>
          <t>VIVEK B</t>
        </is>
      </c>
    </row>
    <row r="130">
      <c r="A130" s="10" t="inlineStr">
        <is>
          <t>TN57AU3636</t>
        </is>
      </c>
      <c r="B130" s="10" t="inlineStr">
        <is>
          <t>SOCKS</t>
        </is>
      </c>
      <c r="C130" s="10" t="inlineStr">
        <is>
          <t>VEHICLE OUTSIDE SERVICES</t>
        </is>
      </c>
      <c r="D130" s="10" t="inlineStr">
        <is>
          <t xml:space="preserve">MAINTENANCE SERVICE </t>
        </is>
      </c>
      <c r="E130" s="10" t="inlineStr">
        <is>
          <t>JUNE</t>
        </is>
      </c>
      <c r="F130" s="11" t="n">
        <v>46174</v>
      </c>
      <c r="G130" s="11" t="n">
        <v>46203</v>
      </c>
      <c r="H130" s="12">
        <f>IF(OR($F130="",$G130=""),"",$G130-$F130+1)</f>
        <v/>
      </c>
      <c r="I130" s="10">
        <f>IF($F130="","",IF(MONTH($F130)&gt;=4,YEAR($F130)&amp;"-"&amp;TEXT(YEAR($F130)+1-2000,"00"),YEAR($F130)-1&amp;"-"&amp;TEXT(YEAR($F130)-2000,"00")))</f>
        <v/>
      </c>
      <c r="J130" s="13" t="n">
        <v>15300</v>
      </c>
      <c r="K130" s="14">
        <f>IFERROR($L130/$J130,"")</f>
        <v/>
      </c>
      <c r="L130" s="13" t="n">
        <v>15300</v>
      </c>
      <c r="M130" s="13">
        <f>IFERROR($L130/$H130,"")</f>
        <v/>
      </c>
      <c r="N130" s="11" t="n">
        <v>46186</v>
      </c>
      <c r="O130" s="10">
        <f>IF($N130="","No","Yes")</f>
        <v/>
      </c>
      <c r="P130" s="12">
        <f>IF(OR($F130="",$G130=""),0,IF(AND($F130&lt;=README!$B$4,README!$B$4&lt;=$G130),1,0))</f>
        <v/>
      </c>
      <c r="Q130" s="12">
        <f>IF(OR($F130="",$G130=""),0,IF(AND($F130&lt;=DATE(README!$B$5,12,31),$G130&gt;=DATE(README!$B$5,1,1)),1,0))</f>
        <v/>
      </c>
      <c r="R130" s="10" t="inlineStr">
        <is>
          <t>GUP-VEH0031</t>
        </is>
      </c>
      <c r="S130" s="11" t="n">
        <v>46114</v>
      </c>
      <c r="T130" s="10" t="inlineStr">
        <is>
          <t>810</t>
        </is>
      </c>
      <c r="U130" s="10" t="inlineStr">
        <is>
          <t>VEHICLE</t>
        </is>
      </c>
      <c r="V130" s="10" t="inlineStr">
        <is>
          <t>T</t>
        </is>
      </c>
      <c r="W130" s="10" t="inlineStr">
        <is>
          <t>VIVEK B</t>
        </is>
      </c>
    </row>
    <row r="131">
      <c r="A131" s="10" t="inlineStr">
        <is>
          <t>TN57AU3636</t>
        </is>
      </c>
      <c r="B131" s="10" t="inlineStr">
        <is>
          <t>SOCKS</t>
        </is>
      </c>
      <c r="C131" s="10" t="inlineStr">
        <is>
          <t>ROAD TAX</t>
        </is>
      </c>
      <c r="D131" s="10" t="inlineStr">
        <is>
          <t>ROAD TAX</t>
        </is>
      </c>
      <c r="E131" s="10" t="inlineStr">
        <is>
          <t>QUARTER - II</t>
        </is>
      </c>
      <c r="F131" s="11" t="n">
        <v>46204</v>
      </c>
      <c r="G131" s="11" t="n">
        <v>46295</v>
      </c>
      <c r="H131" s="12">
        <f>IF(OR($F131="",$G131=""),"",$G131-$F131+1)</f>
        <v/>
      </c>
      <c r="I131" s="10">
        <f>IF($F131="","",IF(MONTH($F131)&gt;=4,YEAR($F131)&amp;"-"&amp;TEXT(YEAR($F131)+1-2000,"00"),YEAR($F131)-1&amp;"-"&amp;TEXT(YEAR($F131)-2000,"00")))</f>
        <v/>
      </c>
      <c r="J131" s="13" t="n">
        <v>24250</v>
      </c>
      <c r="K131" s="14">
        <f>IFERROR($L131/$J131,"")</f>
        <v/>
      </c>
      <c r="L131" s="13" t="n">
        <v>24250</v>
      </c>
      <c r="M131" s="13">
        <f>IFERROR($L131/$H131,"")</f>
        <v/>
      </c>
      <c r="N131" s="11" t="n">
        <v>46196</v>
      </c>
      <c r="O131" s="10">
        <f>IF($N131="","No","Yes")</f>
        <v/>
      </c>
      <c r="P131" s="12">
        <f>IF(OR($F131="",$G131=""),0,IF(AND($F131&lt;=README!$B$4,README!$B$4&lt;=$G131),1,0))</f>
        <v/>
      </c>
      <c r="Q131" s="12">
        <f>IF(OR($F131="",$G131=""),0,IF(AND($F131&lt;=DATE(README!$B$5,12,31),$G131&gt;=DATE(README!$B$5,1,1)),1,0))</f>
        <v/>
      </c>
      <c r="R131" s="10" t="inlineStr">
        <is>
          <t>GUP-VEH0030</t>
        </is>
      </c>
      <c r="S131" s="11" t="n">
        <v>46113</v>
      </c>
      <c r="T131" s="10" t="inlineStr">
        <is>
          <t>796</t>
        </is>
      </c>
      <c r="U131" s="10" t="inlineStr">
        <is>
          <t>VEHICLE</t>
        </is>
      </c>
      <c r="V131" s="10" t="inlineStr">
        <is>
          <t>T</t>
        </is>
      </c>
      <c r="W131" s="10" t="inlineStr">
        <is>
          <t>VIVEK B</t>
        </is>
      </c>
    </row>
    <row r="132">
      <c r="A132" s="10" t="inlineStr">
        <is>
          <t>TN57BC3636</t>
        </is>
      </c>
      <c r="B132" s="10" t="inlineStr">
        <is>
          <t>SOCKS</t>
        </is>
      </c>
      <c r="C132" s="10" t="inlineStr">
        <is>
          <t>FC WORK</t>
        </is>
      </c>
      <c r="D132" s="10" t="inlineStr">
        <is>
          <t>FC WORK</t>
        </is>
      </c>
      <c r="E132" s="10" t="inlineStr">
        <is>
          <t>YEARLY</t>
        </is>
      </c>
      <c r="F132" s="11" t="n">
        <v>45383</v>
      </c>
      <c r="G132" s="11" t="n">
        <v>45747</v>
      </c>
      <c r="H132" s="12">
        <f>IF(OR($F132="",$G132=""),"",$G132-$F132+1)</f>
        <v/>
      </c>
      <c r="I132" s="10">
        <f>IF($F132="","",IF(MONTH($F132)&gt;=4,YEAR($F132)&amp;"-"&amp;TEXT(YEAR($F132)+1-2000,"00"),YEAR($F132)-1&amp;"-"&amp;TEXT(YEAR($F132)-2000,"00")))</f>
        <v/>
      </c>
      <c r="J132" s="13" t="n">
        <v>40330</v>
      </c>
      <c r="K132" s="14">
        <f>IFERROR($L132/$J132,"")</f>
        <v/>
      </c>
      <c r="L132" s="13" t="n">
        <v>40330</v>
      </c>
      <c r="M132" s="13">
        <f>IFERROR($L132/$H132,"")</f>
        <v/>
      </c>
      <c r="N132" s="11" t="n">
        <v>45638</v>
      </c>
      <c r="O132" s="10">
        <f>IF($N132="","No","Yes")</f>
        <v/>
      </c>
      <c r="P132" s="12">
        <f>IF(OR($F132="",$G132=""),0,IF(AND($F132&lt;=README!$B$4,README!$B$4&lt;=$G132),1,0))</f>
        <v/>
      </c>
      <c r="Q132" s="12">
        <f>IF(OR($F132="",$G132=""),0,IF(AND($F132&lt;=DATE(README!$B$5,12,31),$G132&gt;=DATE(README!$B$5,1,1)),1,0))</f>
        <v/>
      </c>
      <c r="R132" s="10" t="inlineStr">
        <is>
          <t>GUP-VEH0009</t>
        </is>
      </c>
      <c r="S132" s="11" t="n">
        <v>45475</v>
      </c>
      <c r="T132" s="10" t="inlineStr">
        <is>
          <t>546</t>
        </is>
      </c>
      <c r="U132" s="10" t="inlineStr">
        <is>
          <t>VEHICLE</t>
        </is>
      </c>
      <c r="V132" s="10" t="inlineStr">
        <is>
          <t>T</t>
        </is>
      </c>
      <c r="W132" s="10" t="inlineStr">
        <is>
          <t>VIVEK B</t>
        </is>
      </c>
    </row>
    <row r="133">
      <c r="A133" s="10" t="inlineStr">
        <is>
          <t>TN57BC3636</t>
        </is>
      </c>
      <c r="B133" s="10" t="inlineStr">
        <is>
          <t>SOCKS</t>
        </is>
      </c>
      <c r="C133" s="10" t="inlineStr">
        <is>
          <t>ROAD TAX</t>
        </is>
      </c>
      <c r="D133" s="10" t="inlineStr">
        <is>
          <t>ROAD TAX</t>
        </is>
      </c>
      <c r="E133" s="10" t="inlineStr">
        <is>
          <t>YEARLY</t>
        </is>
      </c>
      <c r="F133" s="11" t="n">
        <v>45383</v>
      </c>
      <c r="G133" s="11" t="n">
        <v>45747</v>
      </c>
      <c r="H133" s="12">
        <f>IF(OR($F133="",$G133=""),"",$G133-$F133+1)</f>
        <v/>
      </c>
      <c r="I133" s="10">
        <f>IF($F133="","",IF(MONTH($F133)&gt;=4,YEAR($F133)&amp;"-"&amp;TEXT(YEAR($F133)+1-2000,"00"),YEAR($F133)-1&amp;"-"&amp;TEXT(YEAR($F133)-2000,"00")))</f>
        <v/>
      </c>
      <c r="J133" s="13" t="n">
        <v>30300</v>
      </c>
      <c r="K133" s="14">
        <f>IFERROR($L133/$J133,"")</f>
        <v/>
      </c>
      <c r="L133" s="13" t="n">
        <v>30300</v>
      </c>
      <c r="M133" s="13">
        <f>IFERROR($L133/$H133,"")</f>
        <v/>
      </c>
      <c r="N133" s="11" t="n">
        <v>45649</v>
      </c>
      <c r="O133" s="10">
        <f>IF($N133="","No","Yes")</f>
        <v/>
      </c>
      <c r="P133" s="12">
        <f>IF(OR($F133="",$G133=""),0,IF(AND($F133&lt;=README!$B$4,README!$B$4&lt;=$G133),1,0))</f>
        <v/>
      </c>
      <c r="Q133" s="12">
        <f>IF(OR($F133="",$G133=""),0,IF(AND($F133&lt;=DATE(README!$B$5,12,31),$G133&gt;=DATE(README!$B$5,1,1)),1,0))</f>
        <v/>
      </c>
      <c r="R133" s="10" t="inlineStr">
        <is>
          <t>GUP-VEH0011</t>
        </is>
      </c>
      <c r="S133" s="11" t="n">
        <v>45477</v>
      </c>
      <c r="T133" s="10" t="inlineStr">
        <is>
          <t>548</t>
        </is>
      </c>
      <c r="U133" s="10" t="inlineStr">
        <is>
          <t>VEHICLE</t>
        </is>
      </c>
      <c r="V133" s="10" t="inlineStr">
        <is>
          <t>T</t>
        </is>
      </c>
      <c r="W133" s="10" t="inlineStr">
        <is>
          <t>VIVEK B</t>
        </is>
      </c>
    </row>
    <row r="134">
      <c r="A134" s="10" t="inlineStr">
        <is>
          <t>TN57BC3636</t>
        </is>
      </c>
      <c r="B134" s="10" t="inlineStr">
        <is>
          <t>SOCKS</t>
        </is>
      </c>
      <c r="C134" s="10" t="inlineStr">
        <is>
          <t>ROAD TAX</t>
        </is>
      </c>
      <c r="D134" s="10" t="inlineStr">
        <is>
          <t>ROAD TAX</t>
        </is>
      </c>
      <c r="E134" s="10" t="inlineStr">
        <is>
          <t>YEARLY</t>
        </is>
      </c>
      <c r="F134" s="11" t="n">
        <v>45383</v>
      </c>
      <c r="G134" s="11" t="n">
        <v>45747</v>
      </c>
      <c r="H134" s="12">
        <f>IF(OR($F134="",$G134=""),"",$G134-$F134+1)</f>
        <v/>
      </c>
      <c r="I134" s="10">
        <f>IF($F134="","",IF(MONTH($F134)&gt;=4,YEAR($F134)&amp;"-"&amp;TEXT(YEAR($F134)+1-2000,"00"),YEAR($F134)-1&amp;"-"&amp;TEXT(YEAR($F134)-2000,"00")))</f>
        <v/>
      </c>
      <c r="J134" s="13" t="n">
        <v>30300</v>
      </c>
      <c r="K134" s="14">
        <f>IFERROR($L134/$J134,"")</f>
        <v/>
      </c>
      <c r="L134" s="13" t="n">
        <v>30300</v>
      </c>
      <c r="M134" s="13">
        <f>IFERROR($L134/$H134,"")</f>
        <v/>
      </c>
      <c r="N134" s="11" t="n">
        <v>45569</v>
      </c>
      <c r="O134" s="10">
        <f>IF($N134="","No","Yes")</f>
        <v/>
      </c>
      <c r="P134" s="12">
        <f>IF(OR($F134="",$G134=""),0,IF(AND($F134&lt;=README!$B$4,README!$B$4&lt;=$G134),1,0))</f>
        <v/>
      </c>
      <c r="Q134" s="12">
        <f>IF(OR($F134="",$G134=""),0,IF(AND($F134&lt;=DATE(README!$B$5,12,31),$G134&gt;=DATE(README!$B$5,1,1)),1,0))</f>
        <v/>
      </c>
      <c r="R134" s="10" t="inlineStr">
        <is>
          <t>GUP-VEH0011</t>
        </is>
      </c>
      <c r="S134" s="11" t="n">
        <v>45477</v>
      </c>
      <c r="T134" s="10" t="inlineStr">
        <is>
          <t>548</t>
        </is>
      </c>
      <c r="U134" s="10" t="inlineStr">
        <is>
          <t>VEHICLE</t>
        </is>
      </c>
      <c r="V134" s="10" t="inlineStr">
        <is>
          <t>T</t>
        </is>
      </c>
      <c r="W134" s="10" t="inlineStr">
        <is>
          <t>VIVEK B</t>
        </is>
      </c>
    </row>
    <row r="135">
      <c r="A135" s="10" t="inlineStr">
        <is>
          <t>TN57BC3636</t>
        </is>
      </c>
      <c r="B135" s="10" t="inlineStr">
        <is>
          <t>SOCKS</t>
        </is>
      </c>
      <c r="C135" s="10" t="inlineStr">
        <is>
          <t>ROAD TAX</t>
        </is>
      </c>
      <c r="D135" s="10" t="inlineStr">
        <is>
          <t>GREEN TAX</t>
        </is>
      </c>
      <c r="E135" s="10" t="inlineStr">
        <is>
          <t>YEARLY</t>
        </is>
      </c>
      <c r="F135" s="11" t="n">
        <v>45383</v>
      </c>
      <c r="G135" s="11" t="n">
        <v>45747</v>
      </c>
      <c r="H135" s="12">
        <f>IF(OR($F135="",$G135=""),"",$G135-$F135+1)</f>
        <v/>
      </c>
      <c r="I135" s="10">
        <f>IF($F135="","",IF(MONTH($F135)&gt;=4,YEAR($F135)&amp;"-"&amp;TEXT(YEAR($F135)+1-2000,"00"),YEAR($F135)-1&amp;"-"&amp;TEXT(YEAR($F135)-2000,"00")))</f>
        <v/>
      </c>
      <c r="J135" s="13" t="n">
        <v>190</v>
      </c>
      <c r="K135" s="14">
        <f>IFERROR($L135/$J135,"")</f>
        <v/>
      </c>
      <c r="L135" s="13" t="n">
        <v>190</v>
      </c>
      <c r="M135" s="13">
        <f>IFERROR($L135/$H135,"")</f>
        <v/>
      </c>
      <c r="N135" s="11" t="n">
        <v>45481</v>
      </c>
      <c r="O135" s="10">
        <f>IF($N135="","No","Yes")</f>
        <v/>
      </c>
      <c r="P135" s="12">
        <f>IF(OR($F135="",$G135=""),0,IF(AND($F135&lt;=README!$B$4,README!$B$4&lt;=$G135),1,0))</f>
        <v/>
      </c>
      <c r="Q135" s="12">
        <f>IF(OR($F135="",$G135=""),0,IF(AND($F135&lt;=DATE(README!$B$5,12,31),$G135&gt;=DATE(README!$B$5,1,1)),1,0))</f>
        <v/>
      </c>
      <c r="R135" s="10" t="inlineStr">
        <is>
          <t>GUP-VEH0011</t>
        </is>
      </c>
      <c r="S135" s="11" t="n">
        <v>45477</v>
      </c>
      <c r="T135" s="10" t="inlineStr">
        <is>
          <t>548</t>
        </is>
      </c>
      <c r="U135" s="10" t="inlineStr">
        <is>
          <t>VEHICLE</t>
        </is>
      </c>
      <c r="V135" s="10" t="inlineStr">
        <is>
          <t>T</t>
        </is>
      </c>
      <c r="W135" s="10" t="inlineStr">
        <is>
          <t>VIVEK B</t>
        </is>
      </c>
    </row>
    <row r="136">
      <c r="A136" s="10" t="inlineStr">
        <is>
          <t>TN57BC3636</t>
        </is>
      </c>
      <c r="B136" s="10" t="inlineStr">
        <is>
          <t>SOCKS</t>
        </is>
      </c>
      <c r="C136" s="10" t="inlineStr">
        <is>
          <t>ROAD TAX</t>
        </is>
      </c>
      <c r="D136" s="10" t="inlineStr">
        <is>
          <t>ROAD TAX</t>
        </is>
      </c>
      <c r="E136" s="10" t="inlineStr">
        <is>
          <t>YEARLY</t>
        </is>
      </c>
      <c r="F136" s="11" t="n">
        <v>45383</v>
      </c>
      <c r="G136" s="11" t="n">
        <v>45747</v>
      </c>
      <c r="H136" s="12">
        <f>IF(OR($F136="",$G136=""),"",$G136-$F136+1)</f>
        <v/>
      </c>
      <c r="I136" s="10">
        <f>IF($F136="","",IF(MONTH($F136)&gt;=4,YEAR($F136)&amp;"-"&amp;TEXT(YEAR($F136)+1-2000,"00"),YEAR($F136)-1&amp;"-"&amp;TEXT(YEAR($F136)-2000,"00")))</f>
        <v/>
      </c>
      <c r="J136" s="13" t="n">
        <v>30300</v>
      </c>
      <c r="K136" s="14">
        <f>IFERROR($L136/$J136,"")</f>
        <v/>
      </c>
      <c r="L136" s="13" t="n">
        <v>30300</v>
      </c>
      <c r="M136" s="13">
        <f>IFERROR($L136/$H136,"")</f>
        <v/>
      </c>
      <c r="N136" s="11" t="n">
        <v>45481</v>
      </c>
      <c r="O136" s="10">
        <f>IF($N136="","No","Yes")</f>
        <v/>
      </c>
      <c r="P136" s="12">
        <f>IF(OR($F136="",$G136=""),0,IF(AND($F136&lt;=README!$B$4,README!$B$4&lt;=$G136),1,0))</f>
        <v/>
      </c>
      <c r="Q136" s="12">
        <f>IF(OR($F136="",$G136=""),0,IF(AND($F136&lt;=DATE(README!$B$5,12,31),$G136&gt;=DATE(README!$B$5,1,1)),1,0))</f>
        <v/>
      </c>
      <c r="R136" s="10" t="inlineStr">
        <is>
          <t>GUP-VEH0011</t>
        </is>
      </c>
      <c r="S136" s="11" t="n">
        <v>45477</v>
      </c>
      <c r="T136" s="10" t="inlineStr">
        <is>
          <t>548</t>
        </is>
      </c>
      <c r="U136" s="10" t="inlineStr">
        <is>
          <t>VEHICLE</t>
        </is>
      </c>
      <c r="V136" s="10" t="inlineStr">
        <is>
          <t>T</t>
        </is>
      </c>
      <c r="W136" s="10" t="inlineStr">
        <is>
          <t>VIVEK B</t>
        </is>
      </c>
    </row>
    <row r="137">
      <c r="A137" s="10" t="inlineStr">
        <is>
          <t>TN57BC3636</t>
        </is>
      </c>
      <c r="B137" s="10" t="inlineStr">
        <is>
          <t>SOCKS</t>
        </is>
      </c>
      <c r="C137" s="10" t="inlineStr">
        <is>
          <t>RTO EXPENSE</t>
        </is>
      </c>
      <c r="D137" s="10" t="inlineStr">
        <is>
          <t>RTO EXPENSE</t>
        </is>
      </c>
      <c r="E137" s="10" t="inlineStr">
        <is>
          <t>YEARLY</t>
        </is>
      </c>
      <c r="F137" s="11" t="n">
        <v>45383</v>
      </c>
      <c r="G137" s="11" t="n">
        <v>45747</v>
      </c>
      <c r="H137" s="12">
        <f>IF(OR($F137="",$G137=""),"",$G137-$F137+1)</f>
        <v/>
      </c>
      <c r="I137" s="10">
        <f>IF($F137="","",IF(MONTH($F137)&gt;=4,YEAR($F137)&amp;"-"&amp;TEXT(YEAR($F137)+1-2000,"00"),YEAR($F137)-1&amp;"-"&amp;TEXT(YEAR($F137)-2000,"00")))</f>
        <v/>
      </c>
      <c r="J137" s="13" t="n">
        <v>7500</v>
      </c>
      <c r="K137" s="14">
        <f>IFERROR($L137/$J137,"")</f>
        <v/>
      </c>
      <c r="L137" s="13" t="n">
        <v>7500</v>
      </c>
      <c r="M137" s="13">
        <f>IFERROR($L137/$H137,"")</f>
        <v/>
      </c>
      <c r="N137" s="11" t="n">
        <v>45638</v>
      </c>
      <c r="O137" s="10">
        <f>IF($N137="","No","Yes")</f>
        <v/>
      </c>
      <c r="P137" s="12">
        <f>IF(OR($F137="",$G137=""),0,IF(AND($F137&lt;=README!$B$4,README!$B$4&lt;=$G137),1,0))</f>
        <v/>
      </c>
      <c r="Q137" s="12">
        <f>IF(OR($F137="",$G137=""),0,IF(AND($F137&lt;=DATE(README!$B$5,12,31),$G137&gt;=DATE(README!$B$5,1,1)),1,0))</f>
        <v/>
      </c>
      <c r="R137" s="10" t="inlineStr">
        <is>
          <t>GUP-VEH0010</t>
        </is>
      </c>
      <c r="S137" s="11" t="n">
        <v>45475</v>
      </c>
      <c r="T137" s="10" t="inlineStr">
        <is>
          <t>547</t>
        </is>
      </c>
      <c r="U137" s="10" t="inlineStr">
        <is>
          <t>VEHICLE</t>
        </is>
      </c>
      <c r="V137" s="10" t="inlineStr">
        <is>
          <t>T</t>
        </is>
      </c>
      <c r="W137" s="10" t="inlineStr">
        <is>
          <t>VIVEK B</t>
        </is>
      </c>
    </row>
    <row r="138">
      <c r="A138" s="10" t="inlineStr">
        <is>
          <t>TN57BC3636</t>
        </is>
      </c>
      <c r="B138" s="10" t="inlineStr">
        <is>
          <t>SOCKS</t>
        </is>
      </c>
      <c r="C138" s="10" t="inlineStr">
        <is>
          <t>TYRE</t>
        </is>
      </c>
      <c r="D138" s="10" t="inlineStr">
        <is>
          <t>TYRE</t>
        </is>
      </c>
      <c r="E138" s="10" t="inlineStr">
        <is>
          <t>YEARLY</t>
        </is>
      </c>
      <c r="F138" s="11" t="n">
        <v>45383</v>
      </c>
      <c r="G138" s="11" t="n">
        <v>45747</v>
      </c>
      <c r="H138" s="12">
        <f>IF(OR($F138="",$G138=""),"",$G138-$F138+1)</f>
        <v/>
      </c>
      <c r="I138" s="10">
        <f>IF($F138="","",IF(MONTH($F138)&gt;=4,YEAR($F138)&amp;"-"&amp;TEXT(YEAR($F138)+1-2000,"00"),YEAR($F138)-1&amp;"-"&amp;TEXT(YEAR($F138)-2000,"00")))</f>
        <v/>
      </c>
      <c r="J138" s="13" t="n">
        <v>21800</v>
      </c>
      <c r="K138" s="14">
        <f>IFERROR($L138/$J138,"")</f>
        <v/>
      </c>
      <c r="L138" s="13" t="n">
        <v>0</v>
      </c>
      <c r="M138" s="13">
        <f>IFERROR($L138/$H138,"")</f>
        <v/>
      </c>
      <c r="N138" s="11" t="n"/>
      <c r="O138" s="10">
        <f>IF($N138="","No","Yes")</f>
        <v/>
      </c>
      <c r="P138" s="12">
        <f>IF(OR($F138="",$G138=""),0,IF(AND($F138&lt;=README!$B$4,README!$B$4&lt;=$G138),1,0))</f>
        <v/>
      </c>
      <c r="Q138" s="12">
        <f>IF(OR($F138="",$G138=""),0,IF(AND($F138&lt;=DATE(README!$B$5,12,31),$G138&gt;=DATE(README!$B$5,1,1)),1,0))</f>
        <v/>
      </c>
      <c r="R138" s="10" t="inlineStr">
        <is>
          <t>GUP-VEH0006</t>
        </is>
      </c>
      <c r="S138" s="11" t="n">
        <v>45442</v>
      </c>
      <c r="T138" s="10" t="inlineStr">
        <is>
          <t>522</t>
        </is>
      </c>
      <c r="U138" s="10" t="inlineStr">
        <is>
          <t>VEHICLE</t>
        </is>
      </c>
      <c r="V138" s="10" t="inlineStr">
        <is>
          <t>T</t>
        </is>
      </c>
      <c r="W138" s="10" t="inlineStr">
        <is>
          <t>VIVEK B</t>
        </is>
      </c>
    </row>
    <row r="139">
      <c r="A139" s="10" t="inlineStr">
        <is>
          <t>TN57BC3636</t>
        </is>
      </c>
      <c r="B139" s="10" t="inlineStr">
        <is>
          <t>SOCKS</t>
        </is>
      </c>
      <c r="C139" s="10" t="inlineStr">
        <is>
          <t>VEHICLE INSURANCE</t>
        </is>
      </c>
      <c r="D139" s="10" t="inlineStr">
        <is>
          <t>VEHICLE INSURANCE</t>
        </is>
      </c>
      <c r="E139" s="10" t="inlineStr">
        <is>
          <t>YEARLY</t>
        </is>
      </c>
      <c r="F139" s="11" t="n">
        <v>45383</v>
      </c>
      <c r="G139" s="11" t="n">
        <v>45747</v>
      </c>
      <c r="H139" s="12">
        <f>IF(OR($F139="",$G139=""),"",$G139-$F139+1)</f>
        <v/>
      </c>
      <c r="I139" s="10">
        <f>IF($F139="","",IF(MONTH($F139)&gt;=4,YEAR($F139)&amp;"-"&amp;TEXT(YEAR($F139)+1-2000,"00"),YEAR($F139)-1&amp;"-"&amp;TEXT(YEAR($F139)-2000,"00")))</f>
        <v/>
      </c>
      <c r="J139" s="13" t="n">
        <v>71861</v>
      </c>
      <c r="K139" s="14">
        <f>IFERROR($L139/$J139,"")</f>
        <v/>
      </c>
      <c r="L139" s="13" t="n">
        <v>71861</v>
      </c>
      <c r="M139" s="13">
        <f>IFERROR($L139/$H139,"")</f>
        <v/>
      </c>
      <c r="N139" s="11" t="n">
        <v>45565</v>
      </c>
      <c r="O139" s="10">
        <f>IF($N139="","No","Yes")</f>
        <v/>
      </c>
      <c r="P139" s="12">
        <f>IF(OR($F139="",$G139=""),0,IF(AND($F139&lt;=README!$B$4,README!$B$4&lt;=$G139),1,0))</f>
        <v/>
      </c>
      <c r="Q139" s="12">
        <f>IF(OR($F139="",$G139=""),0,IF(AND($F139&lt;=DATE(README!$B$5,12,31),$G139&gt;=DATE(README!$B$5,1,1)),1,0))</f>
        <v/>
      </c>
      <c r="R139" s="10" t="inlineStr">
        <is>
          <t>GUP-VEH0013</t>
        </is>
      </c>
      <c r="S139" s="11" t="n">
        <v>45478</v>
      </c>
      <c r="T139" s="10" t="inlineStr">
        <is>
          <t>550</t>
        </is>
      </c>
      <c r="U139" s="10" t="inlineStr">
        <is>
          <t>VEHICLE</t>
        </is>
      </c>
      <c r="V139" s="10" t="inlineStr">
        <is>
          <t>T</t>
        </is>
      </c>
      <c r="W139" s="10" t="inlineStr">
        <is>
          <t>VIVEK B</t>
        </is>
      </c>
    </row>
    <row r="140">
      <c r="A140" s="10" t="inlineStr">
        <is>
          <t>TN57BC3636</t>
        </is>
      </c>
      <c r="B140" s="10" t="inlineStr">
        <is>
          <t>SOCKS</t>
        </is>
      </c>
      <c r="C140" s="10" t="inlineStr">
        <is>
          <t>FC WORK</t>
        </is>
      </c>
      <c r="D140" s="10" t="inlineStr">
        <is>
          <t>FC WORK</t>
        </is>
      </c>
      <c r="E140" s="10" t="inlineStr">
        <is>
          <t>YEARLY</t>
        </is>
      </c>
      <c r="F140" s="11" t="n">
        <v>45748</v>
      </c>
      <c r="G140" s="11" t="n">
        <v>46112</v>
      </c>
      <c r="H140" s="12">
        <f>IF(OR($F140="",$G140=""),"",$G140-$F140+1)</f>
        <v/>
      </c>
      <c r="I140" s="10">
        <f>IF($F140="","",IF(MONTH($F140)&gt;=4,YEAR($F140)&amp;"-"&amp;TEXT(YEAR($F140)+1-2000,"00"),YEAR($F140)-1&amp;"-"&amp;TEXT(YEAR($F140)-2000,"00")))</f>
        <v/>
      </c>
      <c r="J140" s="13" t="n">
        <v>58100</v>
      </c>
      <c r="K140" s="14">
        <f>IFERROR($L140/$J140,"")</f>
        <v/>
      </c>
      <c r="L140" s="13" t="n">
        <v>58100</v>
      </c>
      <c r="M140" s="13">
        <f>IFERROR($L140/$H140,"")</f>
        <v/>
      </c>
      <c r="N140" s="11" t="n">
        <v>46028</v>
      </c>
      <c r="O140" s="10">
        <f>IF($N140="","No","Yes")</f>
        <v/>
      </c>
      <c r="P140" s="12">
        <f>IF(OR($F140="",$G140=""),0,IF(AND($F140&lt;=README!$B$4,README!$B$4&lt;=$G140),1,0))</f>
        <v/>
      </c>
      <c r="Q140" s="12">
        <f>IF(OR($F140="",$G140=""),0,IF(AND($F140&lt;=DATE(README!$B$5,12,31),$G140&gt;=DATE(README!$B$5,1,1)),1,0))</f>
        <v/>
      </c>
      <c r="R140" s="10" t="inlineStr">
        <is>
          <t>GUP-VEH0021</t>
        </is>
      </c>
      <c r="S140" s="11" t="n">
        <v>45832</v>
      </c>
      <c r="T140" s="10" t="inlineStr">
        <is>
          <t>654</t>
        </is>
      </c>
      <c r="U140" s="10" t="inlineStr">
        <is>
          <t>VEHICLE</t>
        </is>
      </c>
      <c r="V140" s="10" t="inlineStr">
        <is>
          <t>T</t>
        </is>
      </c>
      <c r="W140" s="10" t="inlineStr">
        <is>
          <t>VIVEK B</t>
        </is>
      </c>
    </row>
    <row r="141">
      <c r="A141" s="10" t="inlineStr">
        <is>
          <t>TN57BC3636</t>
        </is>
      </c>
      <c r="B141" s="10" t="inlineStr">
        <is>
          <t>SOCKS</t>
        </is>
      </c>
      <c r="C141" s="10" t="inlineStr">
        <is>
          <t>ROAD TAX</t>
        </is>
      </c>
      <c r="D141" s="10" t="inlineStr">
        <is>
          <t>GREEN TAX</t>
        </is>
      </c>
      <c r="E141" s="10" t="inlineStr">
        <is>
          <t>QUARTER - I</t>
        </is>
      </c>
      <c r="F141" s="11" t="n">
        <v>45748</v>
      </c>
      <c r="G141" s="11" t="n">
        <v>45838</v>
      </c>
      <c r="H141" s="12">
        <f>IF(OR($F141="",$G141=""),"",$G141-$F141+1)</f>
        <v/>
      </c>
      <c r="I141" s="10">
        <f>IF($F141="","",IF(MONTH($F141)&gt;=4,YEAR($F141)&amp;"-"&amp;TEXT(YEAR($F141)+1-2000,"00"),YEAR($F141)-1&amp;"-"&amp;TEXT(YEAR($F141)-2000,"00")))</f>
        <v/>
      </c>
      <c r="J141" s="13" t="n">
        <v>190</v>
      </c>
      <c r="K141" s="14">
        <f>IFERROR($L141/$J141,"")</f>
        <v/>
      </c>
      <c r="L141" s="13" t="n">
        <v>190</v>
      </c>
      <c r="M141" s="13">
        <f>IFERROR($L141/$H141,"")</f>
        <v/>
      </c>
      <c r="N141" s="11" t="n">
        <v>46030</v>
      </c>
      <c r="O141" s="10">
        <f>IF($N141="","No","Yes")</f>
        <v/>
      </c>
      <c r="P141" s="12">
        <f>IF(OR($F141="",$G141=""),0,IF(AND($F141&lt;=README!$B$4,README!$B$4&lt;=$G141),1,0))</f>
        <v/>
      </c>
      <c r="Q141" s="12">
        <f>IF(OR($F141="",$G141=""),0,IF(AND($F141&lt;=DATE(README!$B$5,12,31),$G141&gt;=DATE(README!$B$5,1,1)),1,0))</f>
        <v/>
      </c>
      <c r="R141" s="10" t="inlineStr">
        <is>
          <t>GUP-VEH0014</t>
        </is>
      </c>
      <c r="S141" s="11" t="n">
        <v>45748</v>
      </c>
      <c r="T141" s="10" t="inlineStr">
        <is>
          <t>609</t>
        </is>
      </c>
      <c r="U141" s="10" t="inlineStr">
        <is>
          <t>VEHICLE</t>
        </is>
      </c>
      <c r="V141" s="10" t="inlineStr">
        <is>
          <t>T</t>
        </is>
      </c>
      <c r="W141" s="10" t="inlineStr">
        <is>
          <t>VIVEK B</t>
        </is>
      </c>
    </row>
    <row r="142">
      <c r="A142" s="10" t="inlineStr">
        <is>
          <t>TN57BC3636</t>
        </is>
      </c>
      <c r="B142" s="10" t="inlineStr">
        <is>
          <t>SOCKS</t>
        </is>
      </c>
      <c r="C142" s="10" t="inlineStr">
        <is>
          <t>ROAD TAX</t>
        </is>
      </c>
      <c r="D142" s="10" t="inlineStr">
        <is>
          <t>ROAD TAX</t>
        </is>
      </c>
      <c r="E142" s="10" t="inlineStr">
        <is>
          <t>QUARTER - I</t>
        </is>
      </c>
      <c r="F142" s="11" t="n">
        <v>45748</v>
      </c>
      <c r="G142" s="11" t="n">
        <v>45838</v>
      </c>
      <c r="H142" s="12">
        <f>IF(OR($F142="",$G142=""),"",$G142-$F142+1)</f>
        <v/>
      </c>
      <c r="I142" s="10">
        <f>IF($F142="","",IF(MONTH($F142)&gt;=4,YEAR($F142)&amp;"-"&amp;TEXT(YEAR($F142)+1-2000,"00"),YEAR($F142)-1&amp;"-"&amp;TEXT(YEAR($F142)-2000,"00")))</f>
        <v/>
      </c>
      <c r="J142" s="13" t="n">
        <v>30300</v>
      </c>
      <c r="K142" s="14">
        <f>IFERROR($L142/$J142,"")</f>
        <v/>
      </c>
      <c r="L142" s="13" t="n">
        <v>30300</v>
      </c>
      <c r="M142" s="13">
        <f>IFERROR($L142/$H142,"")</f>
        <v/>
      </c>
      <c r="N142" s="11" t="n">
        <v>46030</v>
      </c>
      <c r="O142" s="10">
        <f>IF($N142="","No","Yes")</f>
        <v/>
      </c>
      <c r="P142" s="12">
        <f>IF(OR($F142="",$G142=""),0,IF(AND($F142&lt;=README!$B$4,README!$B$4&lt;=$G142),1,0))</f>
        <v/>
      </c>
      <c r="Q142" s="12">
        <f>IF(OR($F142="",$G142=""),0,IF(AND($F142&lt;=DATE(README!$B$5,12,31),$G142&gt;=DATE(README!$B$5,1,1)),1,0))</f>
        <v/>
      </c>
      <c r="R142" s="10" t="inlineStr">
        <is>
          <t>GUP-VEH0014</t>
        </is>
      </c>
      <c r="S142" s="11" t="n">
        <v>45748</v>
      </c>
      <c r="T142" s="10" t="inlineStr">
        <is>
          <t>609</t>
        </is>
      </c>
      <c r="U142" s="10" t="inlineStr">
        <is>
          <t>VEHICLE</t>
        </is>
      </c>
      <c r="V142" s="10" t="inlineStr">
        <is>
          <t>T</t>
        </is>
      </c>
      <c r="W142" s="10" t="inlineStr">
        <is>
          <t>VIVEK B</t>
        </is>
      </c>
    </row>
    <row r="143">
      <c r="A143" s="10" t="inlineStr">
        <is>
          <t>TN57BC3636</t>
        </is>
      </c>
      <c r="B143" s="10" t="inlineStr">
        <is>
          <t>SOCKS</t>
        </is>
      </c>
      <c r="C143" s="10" t="inlineStr">
        <is>
          <t>RTO EXPENSE</t>
        </is>
      </c>
      <c r="D143" s="10" t="inlineStr">
        <is>
          <t>GREEN TAX</t>
        </is>
      </c>
      <c r="E143" s="10" t="inlineStr">
        <is>
          <t>YEARLY</t>
        </is>
      </c>
      <c r="F143" s="11" t="n">
        <v>45748</v>
      </c>
      <c r="G143" s="11" t="n">
        <v>46112</v>
      </c>
      <c r="H143" s="12">
        <f>IF(OR($F143="",$G143=""),"",$G143-$F143+1)</f>
        <v/>
      </c>
      <c r="I143" s="10">
        <f>IF($F143="","",IF(MONTH($F143)&gt;=4,YEAR($F143)&amp;"-"&amp;TEXT(YEAR($F143)+1-2000,"00"),YEAR($F143)-1&amp;"-"&amp;TEXT(YEAR($F143)-2000,"00")))</f>
        <v/>
      </c>
      <c r="J143" s="13" t="n">
        <v>758</v>
      </c>
      <c r="K143" s="14">
        <f>IFERROR($L143/$J143,"")</f>
        <v/>
      </c>
      <c r="L143" s="13" t="n">
        <v>758</v>
      </c>
      <c r="M143" s="13">
        <f>IFERROR($L143/$H143,"")</f>
        <v/>
      </c>
      <c r="N143" s="11" t="n">
        <v>46020</v>
      </c>
      <c r="O143" s="10">
        <f>IF($N143="","No","Yes")</f>
        <v/>
      </c>
      <c r="P143" s="12">
        <f>IF(OR($F143="",$G143=""),0,IF(AND($F143&lt;=README!$B$4,README!$B$4&lt;=$G143),1,0))</f>
        <v/>
      </c>
      <c r="Q143" s="12">
        <f>IF(OR($F143="",$G143=""),0,IF(AND($F143&lt;=DATE(README!$B$5,12,31),$G143&gt;=DATE(README!$B$5,1,1)),1,0))</f>
        <v/>
      </c>
      <c r="R143" s="10" t="inlineStr">
        <is>
          <t>GUP-VEH0022</t>
        </is>
      </c>
      <c r="S143" s="11" t="n">
        <v>45834</v>
      </c>
      <c r="T143" s="10" t="inlineStr">
        <is>
          <t>655</t>
        </is>
      </c>
      <c r="U143" s="10" t="inlineStr">
        <is>
          <t>VEHICLE</t>
        </is>
      </c>
      <c r="V143" s="10" t="inlineStr">
        <is>
          <t>T</t>
        </is>
      </c>
      <c r="W143" s="10" t="inlineStr">
        <is>
          <t>VIVEK B</t>
        </is>
      </c>
    </row>
    <row r="144">
      <c r="A144" s="10" t="inlineStr">
        <is>
          <t>TN57BC3636</t>
        </is>
      </c>
      <c r="B144" s="10" t="inlineStr">
        <is>
          <t>SOCKS</t>
        </is>
      </c>
      <c r="C144" s="10" t="inlineStr">
        <is>
          <t>TYRE</t>
        </is>
      </c>
      <c r="D144" s="10" t="inlineStr">
        <is>
          <t>TYRE</t>
        </is>
      </c>
      <c r="E144" s="10" t="inlineStr">
        <is>
          <t>YEARLY</t>
        </is>
      </c>
      <c r="F144" s="11" t="n">
        <v>45748</v>
      </c>
      <c r="G144" s="11" t="n">
        <v>46112</v>
      </c>
      <c r="H144" s="12">
        <f>IF(OR($F144="",$G144=""),"",$G144-$F144+1)</f>
        <v/>
      </c>
      <c r="I144" s="10">
        <f>IF($F144="","",IF(MONTH($F144)&gt;=4,YEAR($F144)&amp;"-"&amp;TEXT(YEAR($F144)+1-2000,"00"),YEAR($F144)-1&amp;"-"&amp;TEXT(YEAR($F144)-2000,"00")))</f>
        <v/>
      </c>
      <c r="J144" s="13" t="n">
        <v>21800</v>
      </c>
      <c r="K144" s="14">
        <f>IFERROR($L144/$J144,"")</f>
        <v/>
      </c>
      <c r="L144" s="13" t="n">
        <v>21800</v>
      </c>
      <c r="M144" s="13">
        <f>IFERROR($L144/$H144,"")</f>
        <v/>
      </c>
      <c r="N144" s="11" t="n">
        <v>45986</v>
      </c>
      <c r="O144" s="10">
        <f>IF($N144="","No","Yes")</f>
        <v/>
      </c>
      <c r="P144" s="12">
        <f>IF(OR($F144="",$G144=""),0,IF(AND($F144&lt;=README!$B$4,README!$B$4&lt;=$G144),1,0))</f>
        <v/>
      </c>
      <c r="Q144" s="12">
        <f>IF(OR($F144="",$G144=""),0,IF(AND($F144&lt;=DATE(README!$B$5,12,31),$G144&gt;=DATE(README!$B$5,1,1)),1,0))</f>
        <v/>
      </c>
      <c r="R144" s="10" t="inlineStr">
        <is>
          <t>GUP-VEH0025</t>
        </is>
      </c>
      <c r="S144" s="11" t="n">
        <v>45957</v>
      </c>
      <c r="T144" s="10" t="inlineStr">
        <is>
          <t>726</t>
        </is>
      </c>
      <c r="U144" s="10" t="inlineStr">
        <is>
          <t>VEHICLE</t>
        </is>
      </c>
      <c r="V144" s="10" t="inlineStr">
        <is>
          <t>T</t>
        </is>
      </c>
      <c r="W144" s="10" t="inlineStr">
        <is>
          <t>VIVEK B</t>
        </is>
      </c>
    </row>
    <row r="145">
      <c r="A145" s="10" t="inlineStr">
        <is>
          <t>TN57BC3636</t>
        </is>
      </c>
      <c r="B145" s="10" t="inlineStr">
        <is>
          <t>SOCKS</t>
        </is>
      </c>
      <c r="C145" s="10" t="inlineStr">
        <is>
          <t>VEHICLE INSURANCE</t>
        </is>
      </c>
      <c r="D145" s="10" t="inlineStr">
        <is>
          <t>VEHICLE INSURANCE</t>
        </is>
      </c>
      <c r="E145" s="10" t="inlineStr">
        <is>
          <t>YEARLY</t>
        </is>
      </c>
      <c r="F145" s="11" t="n">
        <v>45748</v>
      </c>
      <c r="G145" s="11" t="n">
        <v>46112</v>
      </c>
      <c r="H145" s="12">
        <f>IF(OR($F145="",$G145=""),"",$G145-$F145+1)</f>
        <v/>
      </c>
      <c r="I145" s="10">
        <f>IF($F145="","",IF(MONTH($F145)&gt;=4,YEAR($F145)&amp;"-"&amp;TEXT(YEAR($F145)+1-2000,"00"),YEAR($F145)-1&amp;"-"&amp;TEXT(YEAR($F145)-2000,"00")))</f>
        <v/>
      </c>
      <c r="J145" s="13" t="n">
        <v>71651</v>
      </c>
      <c r="K145" s="14">
        <f>IFERROR($L145/$J145,"")</f>
        <v/>
      </c>
      <c r="L145" s="13" t="n">
        <v>71651</v>
      </c>
      <c r="M145" s="13">
        <f>IFERROR($L145/$H145,"")</f>
        <v/>
      </c>
      <c r="N145" s="11" t="n">
        <v>45930</v>
      </c>
      <c r="O145" s="10">
        <f>IF($N145="","No","Yes")</f>
        <v/>
      </c>
      <c r="P145" s="12">
        <f>IF(OR($F145="",$G145=""),0,IF(AND($F145&lt;=README!$B$4,README!$B$4&lt;=$G145),1,0))</f>
        <v/>
      </c>
      <c r="Q145" s="12">
        <f>IF(OR($F145="",$G145=""),0,IF(AND($F145&lt;=DATE(README!$B$5,12,31),$G145&gt;=DATE(README!$B$5,1,1)),1,0))</f>
        <v/>
      </c>
      <c r="R145" s="10" t="inlineStr">
        <is>
          <t>GUP-VEH0020</t>
        </is>
      </c>
      <c r="S145" s="11" t="n">
        <v>45799</v>
      </c>
      <c r="T145" s="10" t="inlineStr">
        <is>
          <t>645</t>
        </is>
      </c>
      <c r="U145" s="10" t="inlineStr">
        <is>
          <t>VEHICLE</t>
        </is>
      </c>
      <c r="V145" s="10" t="inlineStr">
        <is>
          <t>T</t>
        </is>
      </c>
      <c r="W145" s="10" t="inlineStr">
        <is>
          <t>VIVEK B</t>
        </is>
      </c>
    </row>
    <row r="146">
      <c r="A146" s="10" t="inlineStr">
        <is>
          <t>TN57BC3636</t>
        </is>
      </c>
      <c r="B146" s="10" t="inlineStr">
        <is>
          <t>GENERAL</t>
        </is>
      </c>
      <c r="C146" s="10" t="inlineStr">
        <is>
          <t>VEHICLE OUTSIDE SERVICES</t>
        </is>
      </c>
      <c r="D146" s="10" t="inlineStr">
        <is>
          <t xml:space="preserve">MAINTENANCE SERVICE </t>
        </is>
      </c>
      <c r="E146" s="10" t="inlineStr">
        <is>
          <t>YEARLY</t>
        </is>
      </c>
      <c r="F146" s="11" t="n">
        <v>45748</v>
      </c>
      <c r="G146" s="11" t="n">
        <v>46112</v>
      </c>
      <c r="H146" s="12">
        <f>IF(OR($F146="",$G146=""),"",$G146-$F146+1)</f>
        <v/>
      </c>
      <c r="I146" s="10">
        <f>IF($F146="","",IF(MONTH($F146)&gt;=4,YEAR($F146)&amp;"-"&amp;TEXT(YEAR($F146)+1-2000,"00"),YEAR($F146)-1&amp;"-"&amp;TEXT(YEAR($F146)-2000,"00")))</f>
        <v/>
      </c>
      <c r="J146" s="13" t="n">
        <v>3050</v>
      </c>
      <c r="K146" s="14">
        <f>IFERROR($L146/$J146,"")</f>
        <v/>
      </c>
      <c r="L146" s="13" t="n">
        <v>3050</v>
      </c>
      <c r="M146" s="13">
        <f>IFERROR($L146/$H146,"")</f>
        <v/>
      </c>
      <c r="N146" s="11" t="n">
        <v>45811</v>
      </c>
      <c r="O146" s="10">
        <f>IF($N146="","No","Yes")</f>
        <v/>
      </c>
      <c r="P146" s="12">
        <f>IF(OR($F146="",$G146=""),0,IF(AND($F146&lt;=README!$B$4,README!$B$4&lt;=$G146),1,0))</f>
        <v/>
      </c>
      <c r="Q146" s="12">
        <f>IF(OR($F146="",$G146=""),0,IF(AND($F146&lt;=DATE(README!$B$5,12,31),$G146&gt;=DATE(README!$B$5,1,1)),1,0))</f>
        <v/>
      </c>
      <c r="R146" s="10" t="inlineStr">
        <is>
          <t>GUP-VEH0019</t>
        </is>
      </c>
      <c r="S146" s="11" t="n">
        <v>45777</v>
      </c>
      <c r="T146" s="10" t="inlineStr">
        <is>
          <t>638</t>
        </is>
      </c>
      <c r="U146" s="10" t="inlineStr">
        <is>
          <t>VEHICLE</t>
        </is>
      </c>
      <c r="V146" s="10" t="inlineStr">
        <is>
          <t>T</t>
        </is>
      </c>
      <c r="W146" s="10" t="inlineStr">
        <is>
          <t>VIVEK B</t>
        </is>
      </c>
    </row>
    <row r="147">
      <c r="A147" s="10" t="inlineStr">
        <is>
          <t>TN57BC3636</t>
        </is>
      </c>
      <c r="B147" s="10" t="inlineStr">
        <is>
          <t>GENERAL</t>
        </is>
      </c>
      <c r="C147" s="10" t="inlineStr">
        <is>
          <t>VEHICLE OUTSIDE SERVICES</t>
        </is>
      </c>
      <c r="D147" s="10" t="inlineStr">
        <is>
          <t>MAINTENANCE SERVICE - 2</t>
        </is>
      </c>
      <c r="E147" s="10" t="inlineStr">
        <is>
          <t>YEARLY</t>
        </is>
      </c>
      <c r="F147" s="11" t="n">
        <v>45748</v>
      </c>
      <c r="G147" s="11" t="n">
        <v>46112</v>
      </c>
      <c r="H147" s="12">
        <f>IF(OR($F147="",$G147=""),"",$G147-$F147+1)</f>
        <v/>
      </c>
      <c r="I147" s="10">
        <f>IF($F147="","",IF(MONTH($F147)&gt;=4,YEAR($F147)&amp;"-"&amp;TEXT(YEAR($F147)+1-2000,"00"),YEAR($F147)-1&amp;"-"&amp;TEXT(YEAR($F147)-2000,"00")))</f>
        <v/>
      </c>
      <c r="J147" s="13" t="n">
        <v>7100</v>
      </c>
      <c r="K147" s="14">
        <f>IFERROR($L147/$J147,"")</f>
        <v/>
      </c>
      <c r="L147" s="13" t="n">
        <v>7100</v>
      </c>
      <c r="M147" s="13">
        <f>IFERROR($L147/$H147,"")</f>
        <v/>
      </c>
      <c r="N147" s="11" t="n">
        <v>45934</v>
      </c>
      <c r="O147" s="10">
        <f>IF($N147="","No","Yes")</f>
        <v/>
      </c>
      <c r="P147" s="12">
        <f>IF(OR($F147="",$G147=""),0,IF(AND($F147&lt;=README!$B$4,README!$B$4&lt;=$G147),1,0))</f>
        <v/>
      </c>
      <c r="Q147" s="12">
        <f>IF(OR($F147="",$G147=""),0,IF(AND($F147&lt;=DATE(README!$B$5,12,31),$G147&gt;=DATE(README!$B$5,1,1)),1,0))</f>
        <v/>
      </c>
      <c r="R147" s="10" t="inlineStr">
        <is>
          <t>GUP-VEH0019</t>
        </is>
      </c>
      <c r="S147" s="11" t="n">
        <v>45777</v>
      </c>
      <c r="T147" s="10" t="inlineStr">
        <is>
          <t>638</t>
        </is>
      </c>
      <c r="U147" s="10" t="inlineStr">
        <is>
          <t>VEHICLE</t>
        </is>
      </c>
      <c r="V147" s="10" t="inlineStr">
        <is>
          <t>T</t>
        </is>
      </c>
      <c r="W147" s="10" t="inlineStr">
        <is>
          <t>VIVEK B</t>
        </is>
      </c>
    </row>
    <row r="148">
      <c r="A148" s="10" t="inlineStr">
        <is>
          <t>TN57BC3636</t>
        </is>
      </c>
      <c r="B148" s="10" t="inlineStr">
        <is>
          <t>SOCKS</t>
        </is>
      </c>
      <c r="C148" s="10" t="inlineStr">
        <is>
          <t>ROAD TAX</t>
        </is>
      </c>
      <c r="D148" s="10" t="inlineStr">
        <is>
          <t>ROAD TAX</t>
        </is>
      </c>
      <c r="E148" s="10" t="inlineStr">
        <is>
          <t>QUARTER - II</t>
        </is>
      </c>
      <c r="F148" s="11" t="n">
        <v>45839</v>
      </c>
      <c r="G148" s="11" t="n">
        <v>45930</v>
      </c>
      <c r="H148" s="12">
        <f>IF(OR($F148="",$G148=""),"",$G148-$F148+1)</f>
        <v/>
      </c>
      <c r="I148" s="10">
        <f>IF($F148="","",IF(MONTH($F148)&gt;=4,YEAR($F148)&amp;"-"&amp;TEXT(YEAR($F148)+1-2000,"00"),YEAR($F148)-1&amp;"-"&amp;TEXT(YEAR($F148)-2000,"00")))</f>
        <v/>
      </c>
      <c r="J148" s="13" t="n">
        <v>30300</v>
      </c>
      <c r="K148" s="14">
        <f>IFERROR($L148/$J148,"")</f>
        <v/>
      </c>
      <c r="L148" s="13" t="n">
        <v>30300</v>
      </c>
      <c r="M148" s="13">
        <f>IFERROR($L148/$H148,"")</f>
        <v/>
      </c>
      <c r="N148" s="11" t="n">
        <v>46030</v>
      </c>
      <c r="O148" s="10">
        <f>IF($N148="","No","Yes")</f>
        <v/>
      </c>
      <c r="P148" s="12">
        <f>IF(OR($F148="",$G148=""),0,IF(AND($F148&lt;=README!$B$4,README!$B$4&lt;=$G148),1,0))</f>
        <v/>
      </c>
      <c r="Q148" s="12">
        <f>IF(OR($F148="",$G148=""),0,IF(AND($F148&lt;=DATE(README!$B$5,12,31),$G148&gt;=DATE(README!$B$5,1,1)),1,0))</f>
        <v/>
      </c>
      <c r="R148" s="10" t="inlineStr">
        <is>
          <t>GUP-VEH0014</t>
        </is>
      </c>
      <c r="S148" s="11" t="n">
        <v>45748</v>
      </c>
      <c r="T148" s="10" t="inlineStr">
        <is>
          <t>609</t>
        </is>
      </c>
      <c r="U148" s="10" t="inlineStr">
        <is>
          <t>VEHICLE</t>
        </is>
      </c>
      <c r="V148" s="10" t="inlineStr">
        <is>
          <t>T</t>
        </is>
      </c>
      <c r="W148" s="10" t="inlineStr">
        <is>
          <t>VIVEK B</t>
        </is>
      </c>
    </row>
    <row r="149">
      <c r="A149" s="10" t="inlineStr">
        <is>
          <t>TN57BC3636</t>
        </is>
      </c>
      <c r="B149" s="10" t="inlineStr">
        <is>
          <t>SOCKS</t>
        </is>
      </c>
      <c r="C149" s="10" t="inlineStr">
        <is>
          <t>ROAD TAX</t>
        </is>
      </c>
      <c r="D149" s="10" t="inlineStr">
        <is>
          <t>ROAD TAX</t>
        </is>
      </c>
      <c r="E149" s="10" t="inlineStr">
        <is>
          <t>QUARTER - III</t>
        </is>
      </c>
      <c r="F149" s="11" t="n">
        <v>45931</v>
      </c>
      <c r="G149" s="11" t="n">
        <v>46022</v>
      </c>
      <c r="H149" s="12">
        <f>IF(OR($F149="",$G149=""),"",$G149-$F149+1)</f>
        <v/>
      </c>
      <c r="I149" s="10">
        <f>IF($F149="","",IF(MONTH($F149)&gt;=4,YEAR($F149)&amp;"-"&amp;TEXT(YEAR($F149)+1-2000,"00"),YEAR($F149)-1&amp;"-"&amp;TEXT(YEAR($F149)-2000,"00")))</f>
        <v/>
      </c>
      <c r="J149" s="13" t="n">
        <v>30310</v>
      </c>
      <c r="K149" s="14">
        <f>IFERROR($L149/$J149,"")</f>
        <v/>
      </c>
      <c r="L149" s="13" t="n">
        <v>30310</v>
      </c>
      <c r="M149" s="13">
        <f>IFERROR($L149/$H149,"")</f>
        <v/>
      </c>
      <c r="N149" s="11" t="n">
        <v>46030</v>
      </c>
      <c r="O149" s="10">
        <f>IF($N149="","No","Yes")</f>
        <v/>
      </c>
      <c r="P149" s="12">
        <f>IF(OR($F149="",$G149=""),0,IF(AND($F149&lt;=README!$B$4,README!$B$4&lt;=$G149),1,0))</f>
        <v/>
      </c>
      <c r="Q149" s="12">
        <f>IF(OR($F149="",$G149=""),0,IF(AND($F149&lt;=DATE(README!$B$5,12,31),$G149&gt;=DATE(README!$B$5,1,1)),1,0))</f>
        <v/>
      </c>
      <c r="R149" s="10" t="inlineStr">
        <is>
          <t>GUP-VEH0014</t>
        </is>
      </c>
      <c r="S149" s="11" t="n">
        <v>45748</v>
      </c>
      <c r="T149" s="10" t="inlineStr">
        <is>
          <t>609</t>
        </is>
      </c>
      <c r="U149" s="10" t="inlineStr">
        <is>
          <t>VEHICLE</t>
        </is>
      </c>
      <c r="V149" s="10" t="inlineStr">
        <is>
          <t>T</t>
        </is>
      </c>
      <c r="W149" s="10" t="inlineStr">
        <is>
          <t>VIVEK B</t>
        </is>
      </c>
    </row>
    <row r="150">
      <c r="A150" s="10" t="inlineStr">
        <is>
          <t>TN57BC3636</t>
        </is>
      </c>
      <c r="B150" s="10" t="inlineStr">
        <is>
          <t>SOCKS</t>
        </is>
      </c>
      <c r="C150" s="10" t="inlineStr">
        <is>
          <t>RTO EXPENSE</t>
        </is>
      </c>
      <c r="D150" s="10" t="inlineStr">
        <is>
          <t>RTO EXPENSE</t>
        </is>
      </c>
      <c r="E150" s="10" t="inlineStr">
        <is>
          <t>DECEMBER</t>
        </is>
      </c>
      <c r="F150" s="11" t="n">
        <v>45992</v>
      </c>
      <c r="G150" s="11" t="n">
        <v>46022</v>
      </c>
      <c r="H150" s="12">
        <f>IF(OR($F150="",$G150=""),"",$G150-$F150+1)</f>
        <v/>
      </c>
      <c r="I150" s="10">
        <f>IF($F150="","",IF(MONTH($F150)&gt;=4,YEAR($F150)&amp;"-"&amp;TEXT(YEAR($F150)+1-2000,"00"),YEAR($F150)-1&amp;"-"&amp;TEXT(YEAR($F150)-2000,"00")))</f>
        <v/>
      </c>
      <c r="J150" s="13" t="n">
        <v>7500</v>
      </c>
      <c r="K150" s="14">
        <f>IFERROR($L150/$J150,"")</f>
        <v/>
      </c>
      <c r="L150" s="13" t="n">
        <v>7500</v>
      </c>
      <c r="M150" s="13">
        <f>IFERROR($L150/$H150,"")</f>
        <v/>
      </c>
      <c r="N150" s="11" t="n">
        <v>46015</v>
      </c>
      <c r="O150" s="10">
        <f>IF($N150="","No","Yes")</f>
        <v/>
      </c>
      <c r="P150" s="12">
        <f>IF(OR($F150="",$G150=""),0,IF(AND($F150&lt;=README!$B$4,README!$B$4&lt;=$G150),1,0))</f>
        <v/>
      </c>
      <c r="Q150" s="12">
        <f>IF(OR($F150="",$G150=""),0,IF(AND($F150&lt;=DATE(README!$B$5,12,31),$G150&gt;=DATE(README!$B$5,1,1)),1,0))</f>
        <v/>
      </c>
      <c r="R150" s="10" t="inlineStr">
        <is>
          <t>GUP-VEH0022</t>
        </is>
      </c>
      <c r="S150" s="11" t="n">
        <v>45834</v>
      </c>
      <c r="T150" s="10" t="inlineStr">
        <is>
          <t>655</t>
        </is>
      </c>
      <c r="U150" s="10" t="inlineStr">
        <is>
          <t>VEHICLE</t>
        </is>
      </c>
      <c r="V150" s="10" t="inlineStr">
        <is>
          <t>T</t>
        </is>
      </c>
      <c r="W150" s="10" t="inlineStr">
        <is>
          <t>VIVEK B</t>
        </is>
      </c>
    </row>
    <row r="151">
      <c r="A151" s="10" t="inlineStr">
        <is>
          <t>TN57BC3636</t>
        </is>
      </c>
      <c r="B151" s="10" t="inlineStr">
        <is>
          <t>SOCKS</t>
        </is>
      </c>
      <c r="C151" s="10" t="inlineStr">
        <is>
          <t>ROAD TAX</t>
        </is>
      </c>
      <c r="D151" s="10" t="inlineStr">
        <is>
          <t>ROAD TAX</t>
        </is>
      </c>
      <c r="E151" s="10" t="inlineStr">
        <is>
          <t>QUARTER - IV</t>
        </is>
      </c>
      <c r="F151" s="11" t="n">
        <v>46023</v>
      </c>
      <c r="G151" s="11" t="n">
        <v>46112</v>
      </c>
      <c r="H151" s="12">
        <f>IF(OR($F151="",$G151=""),"",$G151-$F151+1)</f>
        <v/>
      </c>
      <c r="I151" s="10">
        <f>IF($F151="","",IF(MONTH($F151)&gt;=4,YEAR($F151)&amp;"-"&amp;TEXT(YEAR($F151)+1-2000,"00"),YEAR($F151)-1&amp;"-"&amp;TEXT(YEAR($F151)-2000,"00")))</f>
        <v/>
      </c>
      <c r="J151" s="13" t="n">
        <v>30310</v>
      </c>
      <c r="K151" s="14">
        <f>IFERROR($L151/$J151,"")</f>
        <v/>
      </c>
      <c r="L151" s="13" t="n">
        <v>30310</v>
      </c>
      <c r="M151" s="13">
        <f>IFERROR($L151/$H151,"")</f>
        <v/>
      </c>
      <c r="N151" s="11" t="n">
        <v>46030</v>
      </c>
      <c r="O151" s="10">
        <f>IF($N151="","No","Yes")</f>
        <v/>
      </c>
      <c r="P151" s="12">
        <f>IF(OR($F151="",$G151=""),0,IF(AND($F151&lt;=README!$B$4,README!$B$4&lt;=$G151),1,0))</f>
        <v/>
      </c>
      <c r="Q151" s="12">
        <f>IF(OR($F151="",$G151=""),0,IF(AND($F151&lt;=DATE(README!$B$5,12,31),$G151&gt;=DATE(README!$B$5,1,1)),1,0))</f>
        <v/>
      </c>
      <c r="R151" s="10" t="inlineStr">
        <is>
          <t>GUP-VEH0014</t>
        </is>
      </c>
      <c r="S151" s="11" t="n">
        <v>45748</v>
      </c>
      <c r="T151" s="10" t="inlineStr">
        <is>
          <t>609</t>
        </is>
      </c>
      <c r="U151" s="10" t="inlineStr">
        <is>
          <t>VEHICLE</t>
        </is>
      </c>
      <c r="V151" s="10" t="inlineStr">
        <is>
          <t>T</t>
        </is>
      </c>
      <c r="W151" s="10" t="inlineStr">
        <is>
          <t>VIVEK B</t>
        </is>
      </c>
    </row>
    <row r="152">
      <c r="A152" s="10" t="inlineStr">
        <is>
          <t>TN57BC3636</t>
        </is>
      </c>
      <c r="B152" s="10" t="inlineStr">
        <is>
          <t>SOCKS</t>
        </is>
      </c>
      <c r="C152" s="10" t="inlineStr">
        <is>
          <t>ROAD TAX</t>
        </is>
      </c>
      <c r="D152" s="10" t="inlineStr">
        <is>
          <t>ROAD TAX</t>
        </is>
      </c>
      <c r="E152" s="10" t="inlineStr">
        <is>
          <t>QUARTER - I</t>
        </is>
      </c>
      <c r="F152" s="11" t="n">
        <v>46113</v>
      </c>
      <c r="G152" s="11" t="n">
        <v>46203</v>
      </c>
      <c r="H152" s="12">
        <f>IF(OR($F152="",$G152=""),"",$G152-$F152+1)</f>
        <v/>
      </c>
      <c r="I152" s="10">
        <f>IF($F152="","",IF(MONTH($F152)&gt;=4,YEAR($F152)&amp;"-"&amp;TEXT(YEAR($F152)+1-2000,"00"),YEAR($F152)-1&amp;"-"&amp;TEXT(YEAR($F152)-2000,"00")))</f>
        <v/>
      </c>
      <c r="J152" s="13" t="n">
        <v>30310</v>
      </c>
      <c r="K152" s="14">
        <f>IFERROR($L152/$J152,"")</f>
        <v/>
      </c>
      <c r="L152" s="13" t="n">
        <v>30310</v>
      </c>
      <c r="M152" s="13">
        <f>IFERROR($L152/$H152,"")</f>
        <v/>
      </c>
      <c r="N152" s="11" t="n">
        <v>46088</v>
      </c>
      <c r="O152" s="10">
        <f>IF($N152="","No","Yes")</f>
        <v/>
      </c>
      <c r="P152" s="12">
        <f>IF(OR($F152="",$G152=""),0,IF(AND($F152&lt;=README!$B$4,README!$B$4&lt;=$G152),1,0))</f>
        <v/>
      </c>
      <c r="Q152" s="12">
        <f>IF(OR($F152="",$G152=""),0,IF(AND($F152&lt;=DATE(README!$B$5,12,31),$G152&gt;=DATE(README!$B$5,1,1)),1,0))</f>
        <v/>
      </c>
      <c r="R152" s="10" t="inlineStr">
        <is>
          <t>GUP-VEH0030</t>
        </is>
      </c>
      <c r="S152" s="11" t="n">
        <v>46113</v>
      </c>
      <c r="T152" s="10" t="inlineStr">
        <is>
          <t>796</t>
        </is>
      </c>
      <c r="U152" s="10" t="inlineStr">
        <is>
          <t>VEHICLE</t>
        </is>
      </c>
      <c r="V152" s="10" t="inlineStr">
        <is>
          <t>T</t>
        </is>
      </c>
      <c r="W152" s="10" t="inlineStr">
        <is>
          <t>VIVEK B</t>
        </is>
      </c>
    </row>
    <row r="153">
      <c r="A153" s="10" t="inlineStr">
        <is>
          <t>TN57BC3636</t>
        </is>
      </c>
      <c r="B153" s="10" t="inlineStr">
        <is>
          <t>SOCKS</t>
        </is>
      </c>
      <c r="C153" s="10" t="inlineStr">
        <is>
          <t>VEHICLE OUTSIDE SERVICES</t>
        </is>
      </c>
      <c r="D153" s="10" t="inlineStr">
        <is>
          <t xml:space="preserve">MAINTENANCE SERVICE </t>
        </is>
      </c>
      <c r="E153" s="10" t="inlineStr">
        <is>
          <t>MAY</t>
        </is>
      </c>
      <c r="F153" s="11" t="n">
        <v>46143</v>
      </c>
      <c r="G153" s="11" t="n">
        <v>46173</v>
      </c>
      <c r="H153" s="12">
        <f>IF(OR($F153="",$G153=""),"",$G153-$F153+1)</f>
        <v/>
      </c>
      <c r="I153" s="10">
        <f>IF($F153="","",IF(MONTH($F153)&gt;=4,YEAR($F153)&amp;"-"&amp;TEXT(YEAR($F153)+1-2000,"00"),YEAR($F153)-1&amp;"-"&amp;TEXT(YEAR($F153)-2000,"00")))</f>
        <v/>
      </c>
      <c r="J153" s="13" t="n">
        <v>11192.52</v>
      </c>
      <c r="K153" s="14">
        <f>IFERROR($L153/$J153,"")</f>
        <v/>
      </c>
      <c r="L153" s="13" t="n">
        <v>11192.52</v>
      </c>
      <c r="M153" s="13">
        <f>IFERROR($L153/$H153,"")</f>
        <v/>
      </c>
      <c r="N153" s="11" t="n">
        <v>46176</v>
      </c>
      <c r="O153" s="10">
        <f>IF($N153="","No","Yes")</f>
        <v/>
      </c>
      <c r="P153" s="12">
        <f>IF(OR($F153="",$G153=""),0,IF(AND($F153&lt;=README!$B$4,README!$B$4&lt;=$G153),1,0))</f>
        <v/>
      </c>
      <c r="Q153" s="12">
        <f>IF(OR($F153="",$G153=""),0,IF(AND($F153&lt;=DATE(README!$B$5,12,31),$G153&gt;=DATE(README!$B$5,1,1)),1,0))</f>
        <v/>
      </c>
      <c r="R153" s="10" t="inlineStr">
        <is>
          <t>GUP-VEH0031</t>
        </is>
      </c>
      <c r="S153" s="11" t="n">
        <v>46114</v>
      </c>
      <c r="T153" s="10" t="inlineStr">
        <is>
          <t>810</t>
        </is>
      </c>
      <c r="U153" s="10" t="inlineStr">
        <is>
          <t>VEHICLE</t>
        </is>
      </c>
      <c r="V153" s="10" t="inlineStr">
        <is>
          <t>T</t>
        </is>
      </c>
      <c r="W153" s="10" t="inlineStr">
        <is>
          <t>VIVEK B</t>
        </is>
      </c>
    </row>
    <row r="154">
      <c r="A154" s="10" t="inlineStr">
        <is>
          <t>TN57BC3636</t>
        </is>
      </c>
      <c r="B154" s="10" t="inlineStr">
        <is>
          <t>SOCKS</t>
        </is>
      </c>
      <c r="C154" s="10" t="inlineStr">
        <is>
          <t>ROAD TAX</t>
        </is>
      </c>
      <c r="D154" s="10" t="inlineStr">
        <is>
          <t>ROAD TAX</t>
        </is>
      </c>
      <c r="E154" s="10" t="inlineStr">
        <is>
          <t>QUARTER - II</t>
        </is>
      </c>
      <c r="F154" s="11" t="n">
        <v>46204</v>
      </c>
      <c r="G154" s="11" t="n">
        <v>46295</v>
      </c>
      <c r="H154" s="12">
        <f>IF(OR($F154="",$G154=""),"",$G154-$F154+1)</f>
        <v/>
      </c>
      <c r="I154" s="10">
        <f>IF($F154="","",IF(MONTH($F154)&gt;=4,YEAR($F154)&amp;"-"&amp;TEXT(YEAR($F154)+1-2000,"00"),YEAR($F154)-1&amp;"-"&amp;TEXT(YEAR($F154)-2000,"00")))</f>
        <v/>
      </c>
      <c r="J154" s="13" t="n">
        <v>30310</v>
      </c>
      <c r="K154" s="14">
        <f>IFERROR($L154/$J154,"")</f>
        <v/>
      </c>
      <c r="L154" s="13" t="n">
        <v>30310</v>
      </c>
      <c r="M154" s="13">
        <f>IFERROR($L154/$H154,"")</f>
        <v/>
      </c>
      <c r="N154" s="11" t="n">
        <v>46196</v>
      </c>
      <c r="O154" s="10">
        <f>IF($N154="","No","Yes")</f>
        <v/>
      </c>
      <c r="P154" s="12">
        <f>IF(OR($F154="",$G154=""),0,IF(AND($F154&lt;=README!$B$4,README!$B$4&lt;=$G154),1,0))</f>
        <v/>
      </c>
      <c r="Q154" s="12">
        <f>IF(OR($F154="",$G154=""),0,IF(AND($F154&lt;=DATE(README!$B$5,12,31),$G154&gt;=DATE(README!$B$5,1,1)),1,0))</f>
        <v/>
      </c>
      <c r="R154" s="10" t="inlineStr">
        <is>
          <t>GUP-VEH0030</t>
        </is>
      </c>
      <c r="S154" s="11" t="n">
        <v>46113</v>
      </c>
      <c r="T154" s="10" t="inlineStr">
        <is>
          <t>796</t>
        </is>
      </c>
      <c r="U154" s="10" t="inlineStr">
        <is>
          <t>VEHICLE</t>
        </is>
      </c>
      <c r="V154" s="10" t="inlineStr">
        <is>
          <t>T</t>
        </is>
      </c>
      <c r="W154" s="10" t="inlineStr">
        <is>
          <t>VIVEK B</t>
        </is>
      </c>
    </row>
    <row r="155">
      <c r="A155" s="10" t="inlineStr">
        <is>
          <t>TN57BE3636</t>
        </is>
      </c>
      <c r="B155" s="10" t="inlineStr">
        <is>
          <t>SOCKS</t>
        </is>
      </c>
      <c r="C155" s="10" t="inlineStr">
        <is>
          <t>TYRE</t>
        </is>
      </c>
      <c r="D155" s="10" t="inlineStr">
        <is>
          <t>TYRE</t>
        </is>
      </c>
      <c r="E155" s="10" t="inlineStr">
        <is>
          <t>YEARLY</t>
        </is>
      </c>
      <c r="F155" s="11" t="n">
        <v>45383</v>
      </c>
      <c r="G155" s="11" t="n">
        <v>45747</v>
      </c>
      <c r="H155" s="12">
        <f>IF(OR($F155="",$G155=""),"",$G155-$F155+1)</f>
        <v/>
      </c>
      <c r="I155" s="10">
        <f>IF($F155="","",IF(MONTH($F155)&gt;=4,YEAR($F155)&amp;"-"&amp;TEXT(YEAR($F155)+1-2000,"00"),YEAR($F155)-1&amp;"-"&amp;TEXT(YEAR($F155)-2000,"00")))</f>
        <v/>
      </c>
      <c r="J155" s="13" t="n">
        <v>6540</v>
      </c>
      <c r="K155" s="14">
        <f>IFERROR($L155/$J155,"")</f>
        <v/>
      </c>
      <c r="L155" s="13" t="n">
        <v>26160</v>
      </c>
      <c r="M155" s="13">
        <f>IFERROR($L155/$H155,"")</f>
        <v/>
      </c>
      <c r="N155" s="11" t="n">
        <v>45618</v>
      </c>
      <c r="O155" s="10">
        <f>IF($N155="","No","Yes")</f>
        <v/>
      </c>
      <c r="P155" s="12">
        <f>IF(OR($F155="",$G155=""),0,IF(AND($F155&lt;=README!$B$4,README!$B$4&lt;=$G155),1,0))</f>
        <v/>
      </c>
      <c r="Q155" s="12">
        <f>IF(OR($F155="",$G155=""),0,IF(AND($F155&lt;=DATE(README!$B$5,12,31),$G155&gt;=DATE(README!$B$5,1,1)),1,0))</f>
        <v/>
      </c>
      <c r="R155" s="10" t="inlineStr">
        <is>
          <t>GUP-VEH0006</t>
        </is>
      </c>
      <c r="S155" s="11" t="n">
        <v>45442</v>
      </c>
      <c r="T155" s="10" t="inlineStr">
        <is>
          <t>522</t>
        </is>
      </c>
      <c r="U155" s="10" t="inlineStr">
        <is>
          <t>VEHICLE</t>
        </is>
      </c>
      <c r="V155" s="10" t="inlineStr">
        <is>
          <t>T</t>
        </is>
      </c>
      <c r="W155" s="10" t="inlineStr">
        <is>
          <t>VIVEK B</t>
        </is>
      </c>
    </row>
    <row r="156">
      <c r="A156" s="10" t="inlineStr">
        <is>
          <t>TN57BE3636</t>
        </is>
      </c>
      <c r="B156" s="10" t="inlineStr">
        <is>
          <t>SOCKS</t>
        </is>
      </c>
      <c r="C156" s="10" t="inlineStr">
        <is>
          <t>VEHICLE INSURANCE</t>
        </is>
      </c>
      <c r="D156" s="10" t="inlineStr">
        <is>
          <t>VEHICLE INSURANCE</t>
        </is>
      </c>
      <c r="E156" s="10" t="inlineStr">
        <is>
          <t>YEARLY</t>
        </is>
      </c>
      <c r="F156" s="11" t="n">
        <v>45383</v>
      </c>
      <c r="G156" s="11" t="n">
        <v>45747</v>
      </c>
      <c r="H156" s="12">
        <f>IF(OR($F156="",$G156=""),"",$G156-$F156+1)</f>
        <v/>
      </c>
      <c r="I156" s="10">
        <f>IF($F156="","",IF(MONTH($F156)&gt;=4,YEAR($F156)&amp;"-"&amp;TEXT(YEAR($F156)+1-2000,"00"),YEAR($F156)-1&amp;"-"&amp;TEXT(YEAR($F156)-2000,"00")))</f>
        <v/>
      </c>
      <c r="J156" s="13" t="n">
        <v>10249</v>
      </c>
      <c r="K156" s="14">
        <f>IFERROR($L156/$J156,"")</f>
        <v/>
      </c>
      <c r="L156" s="13" t="n">
        <v>10249</v>
      </c>
      <c r="M156" s="13">
        <f>IFERROR($L156/$H156,"")</f>
        <v/>
      </c>
      <c r="N156" s="11" t="n">
        <v>45510</v>
      </c>
      <c r="O156" s="10">
        <f>IF($N156="","No","Yes")</f>
        <v/>
      </c>
      <c r="P156" s="12">
        <f>IF(OR($F156="",$G156=""),0,IF(AND($F156&lt;=README!$B$4,README!$B$4&lt;=$G156),1,0))</f>
        <v/>
      </c>
      <c r="Q156" s="12">
        <f>IF(OR($F156="",$G156=""),0,IF(AND($F156&lt;=DATE(README!$B$5,12,31),$G156&gt;=DATE(README!$B$5,1,1)),1,0))</f>
        <v/>
      </c>
      <c r="R156" s="10" t="inlineStr">
        <is>
          <t>GUP-VEH0013</t>
        </is>
      </c>
      <c r="S156" s="11" t="n">
        <v>45478</v>
      </c>
      <c r="T156" s="10" t="inlineStr">
        <is>
          <t>550</t>
        </is>
      </c>
      <c r="U156" s="10" t="inlineStr">
        <is>
          <t>VEHICLE</t>
        </is>
      </c>
      <c r="V156" s="10" t="inlineStr">
        <is>
          <t>T</t>
        </is>
      </c>
      <c r="W156" s="10" t="inlineStr">
        <is>
          <t>VIVEK B</t>
        </is>
      </c>
    </row>
    <row r="157">
      <c r="A157" s="10" t="inlineStr">
        <is>
          <t>TN57BE3636</t>
        </is>
      </c>
      <c r="B157" s="10" t="inlineStr">
        <is>
          <t>SOCKS</t>
        </is>
      </c>
      <c r="C157" s="10" t="inlineStr">
        <is>
          <t>VEHICLE OUTSIDE SERVICES</t>
        </is>
      </c>
      <c r="D157" s="10" t="inlineStr">
        <is>
          <t>GENERAL SERVICE</t>
        </is>
      </c>
      <c r="E157" s="10" t="inlineStr">
        <is>
          <t>YEARLY</t>
        </is>
      </c>
      <c r="F157" s="11" t="n">
        <v>45383</v>
      </c>
      <c r="G157" s="11" t="n">
        <v>45747</v>
      </c>
      <c r="H157" s="12">
        <f>IF(OR($F157="",$G157=""),"",$G157-$F157+1)</f>
        <v/>
      </c>
      <c r="I157" s="10">
        <f>IF($F157="","",IF(MONTH($F157)&gt;=4,YEAR($F157)&amp;"-"&amp;TEXT(YEAR($F157)+1-2000,"00"),YEAR($F157)-1&amp;"-"&amp;TEXT(YEAR($F157)-2000,"00")))</f>
        <v/>
      </c>
      <c r="J157" s="13" t="n">
        <v>31365</v>
      </c>
      <c r="K157" s="14">
        <f>IFERROR($L157/$J157,"")</f>
        <v/>
      </c>
      <c r="L157" s="13" t="n">
        <v>31365</v>
      </c>
      <c r="M157" s="13">
        <f>IFERROR($L157/$H157,"")</f>
        <v/>
      </c>
      <c r="N157" s="11" t="n">
        <v>45486</v>
      </c>
      <c r="O157" s="10">
        <f>IF($N157="","No","Yes")</f>
        <v/>
      </c>
      <c r="P157" s="12">
        <f>IF(OR($F157="",$G157=""),0,IF(AND($F157&lt;=README!$B$4,README!$B$4&lt;=$G157),1,0))</f>
        <v/>
      </c>
      <c r="Q157" s="12">
        <f>IF(OR($F157="",$G157=""),0,IF(AND($F157&lt;=DATE(README!$B$5,12,31),$G157&gt;=DATE(README!$B$5,1,1)),1,0))</f>
        <v/>
      </c>
      <c r="R157" s="10" t="inlineStr">
        <is>
          <t>GUP-VEH0012</t>
        </is>
      </c>
      <c r="S157" s="11" t="n">
        <v>45477</v>
      </c>
      <c r="T157" s="10" t="inlineStr">
        <is>
          <t>549</t>
        </is>
      </c>
      <c r="U157" s="10" t="inlineStr">
        <is>
          <t>VEHICLE</t>
        </is>
      </c>
      <c r="V157" s="10" t="inlineStr">
        <is>
          <t>T</t>
        </is>
      </c>
      <c r="W157" s="10" t="inlineStr">
        <is>
          <t>VIVEK B</t>
        </is>
      </c>
    </row>
    <row r="158">
      <c r="A158" s="10" t="inlineStr">
        <is>
          <t>TN57BE3636</t>
        </is>
      </c>
      <c r="B158" s="10" t="inlineStr">
        <is>
          <t>SOCKS</t>
        </is>
      </c>
      <c r="C158" s="10" t="inlineStr">
        <is>
          <t>VEHICLE OUTSIDE SERVICES</t>
        </is>
      </c>
      <c r="D158" s="10" t="inlineStr">
        <is>
          <t>MAINTENANCE SERVICE - 6</t>
        </is>
      </c>
      <c r="E158" s="10" t="inlineStr">
        <is>
          <t>YEARLY</t>
        </is>
      </c>
      <c r="F158" s="11" t="n">
        <v>45383</v>
      </c>
      <c r="G158" s="11" t="n">
        <v>45747</v>
      </c>
      <c r="H158" s="12">
        <f>IF(OR($F158="",$G158=""),"",$G158-$F158+1)</f>
        <v/>
      </c>
      <c r="I158" s="10">
        <f>IF($F158="","",IF(MONTH($F158)&gt;=4,YEAR($F158)&amp;"-"&amp;TEXT(YEAR($F158)+1-2000,"00"),YEAR($F158)-1&amp;"-"&amp;TEXT(YEAR($F158)-2000,"00")))</f>
        <v/>
      </c>
      <c r="J158" s="13" t="n">
        <v>13493</v>
      </c>
      <c r="K158" s="14">
        <f>IFERROR($L158/$J158,"")</f>
        <v/>
      </c>
      <c r="L158" s="13" t="n">
        <v>13493</v>
      </c>
      <c r="M158" s="13">
        <f>IFERROR($L158/$H158,"")</f>
        <v/>
      </c>
      <c r="N158" s="11" t="n">
        <v>45764</v>
      </c>
      <c r="O158" s="10">
        <f>IF($N158="","No","Yes")</f>
        <v/>
      </c>
      <c r="P158" s="12">
        <f>IF(OR($F158="",$G158=""),0,IF(AND($F158&lt;=README!$B$4,README!$B$4&lt;=$G158),1,0))</f>
        <v/>
      </c>
      <c r="Q158" s="12">
        <f>IF(OR($F158="",$G158=""),0,IF(AND($F158&lt;=DATE(README!$B$5,12,31),$G158&gt;=DATE(README!$B$5,1,1)),1,0))</f>
        <v/>
      </c>
      <c r="R158" s="10" t="inlineStr">
        <is>
          <t>GUP-VEH0012</t>
        </is>
      </c>
      <c r="S158" s="11" t="n">
        <v>45477</v>
      </c>
      <c r="T158" s="10" t="inlineStr">
        <is>
          <t>549</t>
        </is>
      </c>
      <c r="U158" s="10" t="inlineStr">
        <is>
          <t>VEHICLE</t>
        </is>
      </c>
      <c r="V158" s="10" t="inlineStr">
        <is>
          <t>T</t>
        </is>
      </c>
      <c r="W158" s="10" t="inlineStr">
        <is>
          <t>VIVEK B</t>
        </is>
      </c>
    </row>
    <row r="159">
      <c r="A159" s="10" t="inlineStr">
        <is>
          <t>TN57BE3636</t>
        </is>
      </c>
      <c r="B159" s="10" t="inlineStr">
        <is>
          <t>SOCKS</t>
        </is>
      </c>
      <c r="C159" s="10" t="inlineStr">
        <is>
          <t>VEHICLE OUTSIDE SERVICES</t>
        </is>
      </c>
      <c r="D159" s="10" t="inlineStr">
        <is>
          <t>MAINTENANCE SERVICE - 4</t>
        </is>
      </c>
      <c r="E159" s="10" t="inlineStr">
        <is>
          <t>YEARLY</t>
        </is>
      </c>
      <c r="F159" s="11" t="n">
        <v>45383</v>
      </c>
      <c r="G159" s="11" t="n">
        <v>45747</v>
      </c>
      <c r="H159" s="12">
        <f>IF(OR($F159="",$G159=""),"",$G159-$F159+1)</f>
        <v/>
      </c>
      <c r="I159" s="10">
        <f>IF($F159="","",IF(MONTH($F159)&gt;=4,YEAR($F159)&amp;"-"&amp;TEXT(YEAR($F159)+1-2000,"00"),YEAR($F159)-1&amp;"-"&amp;TEXT(YEAR($F159)-2000,"00")))</f>
        <v/>
      </c>
      <c r="J159" s="13" t="n">
        <v>15762</v>
      </c>
      <c r="K159" s="14">
        <f>IFERROR($L159/$J159,"")</f>
        <v/>
      </c>
      <c r="L159" s="13" t="n">
        <v>15762</v>
      </c>
      <c r="M159" s="13">
        <f>IFERROR($L159/$H159,"")</f>
        <v/>
      </c>
      <c r="N159" s="11" t="n">
        <v>45617</v>
      </c>
      <c r="O159" s="10">
        <f>IF($N159="","No","Yes")</f>
        <v/>
      </c>
      <c r="P159" s="12">
        <f>IF(OR($F159="",$G159=""),0,IF(AND($F159&lt;=README!$B$4,README!$B$4&lt;=$G159),1,0))</f>
        <v/>
      </c>
      <c r="Q159" s="12">
        <f>IF(OR($F159="",$G159=""),0,IF(AND($F159&lt;=DATE(README!$B$5,12,31),$G159&gt;=DATE(README!$B$5,1,1)),1,0))</f>
        <v/>
      </c>
      <c r="R159" s="10" t="inlineStr">
        <is>
          <t>GUP-VEH0012</t>
        </is>
      </c>
      <c r="S159" s="11" t="n">
        <v>45477</v>
      </c>
      <c r="T159" s="10" t="inlineStr">
        <is>
          <t>549</t>
        </is>
      </c>
      <c r="U159" s="10" t="inlineStr">
        <is>
          <t>VEHICLE</t>
        </is>
      </c>
      <c r="V159" s="10" t="inlineStr">
        <is>
          <t>T</t>
        </is>
      </c>
      <c r="W159" s="10" t="inlineStr">
        <is>
          <t>VIVEK B</t>
        </is>
      </c>
    </row>
    <row r="160">
      <c r="A160" s="10" t="inlineStr">
        <is>
          <t>TN57BE3636</t>
        </is>
      </c>
      <c r="B160" s="10" t="inlineStr">
        <is>
          <t>SOCKS</t>
        </is>
      </c>
      <c r="C160" s="10" t="inlineStr">
        <is>
          <t>VEHICLE OUTSIDE SERVICES</t>
        </is>
      </c>
      <c r="D160" s="10" t="inlineStr">
        <is>
          <t>MAINTENANCE SERVICE - 2</t>
        </is>
      </c>
      <c r="E160" s="10" t="inlineStr">
        <is>
          <t>YEARLY</t>
        </is>
      </c>
      <c r="F160" s="11" t="n">
        <v>45383</v>
      </c>
      <c r="G160" s="11" t="n">
        <v>45747</v>
      </c>
      <c r="H160" s="12">
        <f>IF(OR($F160="",$G160=""),"",$G160-$F160+1)</f>
        <v/>
      </c>
      <c r="I160" s="10">
        <f>IF($F160="","",IF(MONTH($F160)&gt;=4,YEAR($F160)&amp;"-"&amp;TEXT(YEAR($F160)+1-2000,"00"),YEAR($F160)-1&amp;"-"&amp;TEXT(YEAR($F160)-2000,"00")))</f>
        <v/>
      </c>
      <c r="J160" s="13" t="n">
        <v>214881</v>
      </c>
      <c r="K160" s="14">
        <f>IFERROR($L160/$J160,"")</f>
        <v/>
      </c>
      <c r="L160" s="13" t="n">
        <v>214881</v>
      </c>
      <c r="M160" s="13">
        <f>IFERROR($L160/$H160,"")</f>
        <v/>
      </c>
      <c r="N160" s="11" t="n">
        <v>45545</v>
      </c>
      <c r="O160" s="10">
        <f>IF($N160="","No","Yes")</f>
        <v/>
      </c>
      <c r="P160" s="12">
        <f>IF(OR($F160="",$G160=""),0,IF(AND($F160&lt;=README!$B$4,README!$B$4&lt;=$G160),1,0))</f>
        <v/>
      </c>
      <c r="Q160" s="12">
        <f>IF(OR($F160="",$G160=""),0,IF(AND($F160&lt;=DATE(README!$B$5,12,31),$G160&gt;=DATE(README!$B$5,1,1)),1,0))</f>
        <v/>
      </c>
      <c r="R160" s="10" t="inlineStr">
        <is>
          <t>GUP-VEH0012</t>
        </is>
      </c>
      <c r="S160" s="11" t="n">
        <v>45477</v>
      </c>
      <c r="T160" s="10" t="inlineStr">
        <is>
          <t>549</t>
        </is>
      </c>
      <c r="U160" s="10" t="inlineStr">
        <is>
          <t>VEHICLE</t>
        </is>
      </c>
      <c r="V160" s="10" t="inlineStr">
        <is>
          <t>T</t>
        </is>
      </c>
      <c r="W160" s="10" t="inlineStr">
        <is>
          <t>VIVEK B</t>
        </is>
      </c>
    </row>
    <row r="161">
      <c r="A161" s="10" t="inlineStr">
        <is>
          <t>TN57BE3636</t>
        </is>
      </c>
      <c r="B161" s="10" t="inlineStr">
        <is>
          <t>SOCKS</t>
        </is>
      </c>
      <c r="C161" s="10" t="inlineStr">
        <is>
          <t>VEHICLE OUTSIDE SERVICES</t>
        </is>
      </c>
      <c r="D161" s="10" t="inlineStr">
        <is>
          <t>MAINTENANCE SERVICE - 5</t>
        </is>
      </c>
      <c r="E161" s="10" t="inlineStr">
        <is>
          <t>YEARLY</t>
        </is>
      </c>
      <c r="F161" s="11" t="n">
        <v>45383</v>
      </c>
      <c r="G161" s="11" t="n">
        <v>45747</v>
      </c>
      <c r="H161" s="12">
        <f>IF(OR($F161="",$G161=""),"",$G161-$F161+1)</f>
        <v/>
      </c>
      <c r="I161" s="10">
        <f>IF($F161="","",IF(MONTH($F161)&gt;=4,YEAR($F161)&amp;"-"&amp;TEXT(YEAR($F161)+1-2000,"00"),YEAR($F161)-1&amp;"-"&amp;TEXT(YEAR($F161)-2000,"00")))</f>
        <v/>
      </c>
      <c r="J161" s="13" t="n">
        <v>32892</v>
      </c>
      <c r="K161" s="14">
        <f>IFERROR($L161/$J161,"")</f>
        <v/>
      </c>
      <c r="L161" s="13" t="n">
        <v>32892</v>
      </c>
      <c r="M161" s="13">
        <f>IFERROR($L161/$H161,"")</f>
        <v/>
      </c>
      <c r="N161" s="11" t="n">
        <v>45709</v>
      </c>
      <c r="O161" s="10">
        <f>IF($N161="","No","Yes")</f>
        <v/>
      </c>
      <c r="P161" s="12">
        <f>IF(OR($F161="",$G161=""),0,IF(AND($F161&lt;=README!$B$4,README!$B$4&lt;=$G161),1,0))</f>
        <v/>
      </c>
      <c r="Q161" s="12">
        <f>IF(OR($F161="",$G161=""),0,IF(AND($F161&lt;=DATE(README!$B$5,12,31),$G161&gt;=DATE(README!$B$5,1,1)),1,0))</f>
        <v/>
      </c>
      <c r="R161" s="10" t="inlineStr">
        <is>
          <t>GUP-VEH0012</t>
        </is>
      </c>
      <c r="S161" s="11" t="n">
        <v>45477</v>
      </c>
      <c r="T161" s="10" t="inlineStr">
        <is>
          <t>549</t>
        </is>
      </c>
      <c r="U161" s="10" t="inlineStr">
        <is>
          <t>VEHICLE</t>
        </is>
      </c>
      <c r="V161" s="10" t="inlineStr">
        <is>
          <t>T</t>
        </is>
      </c>
      <c r="W161" s="10" t="inlineStr">
        <is>
          <t>VIVEK B</t>
        </is>
      </c>
    </row>
    <row r="162">
      <c r="A162" s="10" t="inlineStr">
        <is>
          <t>TN57BE3636</t>
        </is>
      </c>
      <c r="B162" s="10" t="inlineStr">
        <is>
          <t>SOCKS</t>
        </is>
      </c>
      <c r="C162" s="10" t="inlineStr">
        <is>
          <t>VEHICLE OUTSIDE SERVICES</t>
        </is>
      </c>
      <c r="D162" s="10" t="inlineStr">
        <is>
          <t>MAINTENANCE SERVICE - 3</t>
        </is>
      </c>
      <c r="E162" s="10" t="inlineStr">
        <is>
          <t>YEARLY</t>
        </is>
      </c>
      <c r="F162" s="11" t="n">
        <v>45383</v>
      </c>
      <c r="G162" s="11" t="n">
        <v>45747</v>
      </c>
      <c r="H162" s="12">
        <f>IF(OR($F162="",$G162=""),"",$G162-$F162+1)</f>
        <v/>
      </c>
      <c r="I162" s="10">
        <f>IF($F162="","",IF(MONTH($F162)&gt;=4,YEAR($F162)&amp;"-"&amp;TEXT(YEAR($F162)+1-2000,"00"),YEAR($F162)-1&amp;"-"&amp;TEXT(YEAR($F162)-2000,"00")))</f>
        <v/>
      </c>
      <c r="J162" s="13" t="n">
        <v>16129</v>
      </c>
      <c r="K162" s="14">
        <f>IFERROR($L162/$J162,"")</f>
        <v/>
      </c>
      <c r="L162" s="13" t="n">
        <v>16129</v>
      </c>
      <c r="M162" s="13">
        <f>IFERROR($L162/$H162,"")</f>
        <v/>
      </c>
      <c r="N162" s="11" t="n">
        <v>45583</v>
      </c>
      <c r="O162" s="10">
        <f>IF($N162="","No","Yes")</f>
        <v/>
      </c>
      <c r="P162" s="12">
        <f>IF(OR($F162="",$G162=""),0,IF(AND($F162&lt;=README!$B$4,README!$B$4&lt;=$G162),1,0))</f>
        <v/>
      </c>
      <c r="Q162" s="12">
        <f>IF(OR($F162="",$G162=""),0,IF(AND($F162&lt;=DATE(README!$B$5,12,31),$G162&gt;=DATE(README!$B$5,1,1)),1,0))</f>
        <v/>
      </c>
      <c r="R162" s="10" t="inlineStr">
        <is>
          <t>GUP-VEH0012</t>
        </is>
      </c>
      <c r="S162" s="11" t="n">
        <v>45477</v>
      </c>
      <c r="T162" s="10" t="inlineStr">
        <is>
          <t>549</t>
        </is>
      </c>
      <c r="U162" s="10" t="inlineStr">
        <is>
          <t>VEHICLE</t>
        </is>
      </c>
      <c r="V162" s="10" t="inlineStr">
        <is>
          <t>T</t>
        </is>
      </c>
      <c r="W162" s="10" t="inlineStr">
        <is>
          <t>VIVEK B</t>
        </is>
      </c>
    </row>
    <row r="163">
      <c r="A163" s="10" t="inlineStr">
        <is>
          <t>TN57BE3636</t>
        </is>
      </c>
      <c r="B163" s="10" t="inlineStr">
        <is>
          <t>SOCKS</t>
        </is>
      </c>
      <c r="C163" s="10" t="inlineStr">
        <is>
          <t>VEHICLE INSURANCE</t>
        </is>
      </c>
      <c r="D163" s="10" t="inlineStr">
        <is>
          <t>VEHICLE INSURANCE</t>
        </is>
      </c>
      <c r="E163" s="10" t="inlineStr">
        <is>
          <t>YEARLY</t>
        </is>
      </c>
      <c r="F163" s="11" t="n">
        <v>45748</v>
      </c>
      <c r="G163" s="11" t="n">
        <v>46112</v>
      </c>
      <c r="H163" s="12">
        <f>IF(OR($F163="",$G163=""),"",$G163-$F163+1)</f>
        <v/>
      </c>
      <c r="I163" s="10">
        <f>IF($F163="","",IF(MONTH($F163)&gt;=4,YEAR($F163)&amp;"-"&amp;TEXT(YEAR($F163)+1-2000,"00"),YEAR($F163)-1&amp;"-"&amp;TEXT(YEAR($F163)-2000,"00")))</f>
        <v/>
      </c>
      <c r="J163" s="13" t="n">
        <v>9828</v>
      </c>
      <c r="K163" s="14">
        <f>IFERROR($L163/$J163,"")</f>
        <v/>
      </c>
      <c r="L163" s="13" t="n">
        <v>9828</v>
      </c>
      <c r="M163" s="13">
        <f>IFERROR($L163/$H163,"")</f>
        <v/>
      </c>
      <c r="N163" s="11" t="n">
        <v>45881</v>
      </c>
      <c r="O163" s="10">
        <f>IF($N163="","No","Yes")</f>
        <v/>
      </c>
      <c r="P163" s="12">
        <f>IF(OR($F163="",$G163=""),0,IF(AND($F163&lt;=README!$B$4,README!$B$4&lt;=$G163),1,0))</f>
        <v/>
      </c>
      <c r="Q163" s="12">
        <f>IF(OR($F163="",$G163=""),0,IF(AND($F163&lt;=DATE(README!$B$5,12,31),$G163&gt;=DATE(README!$B$5,1,1)),1,0))</f>
        <v/>
      </c>
      <c r="R163" s="10" t="inlineStr">
        <is>
          <t>GUP-VEH0020</t>
        </is>
      </c>
      <c r="S163" s="11" t="n">
        <v>45799</v>
      </c>
      <c r="T163" s="10" t="inlineStr">
        <is>
          <t>645</t>
        </is>
      </c>
      <c r="U163" s="10" t="inlineStr">
        <is>
          <t>VEHICLE</t>
        </is>
      </c>
      <c r="V163" s="10" t="inlineStr">
        <is>
          <t>T</t>
        </is>
      </c>
      <c r="W163" s="10" t="inlineStr">
        <is>
          <t>VIVEK B</t>
        </is>
      </c>
    </row>
    <row r="164">
      <c r="A164" s="10" t="inlineStr">
        <is>
          <t>TN57BE3636</t>
        </is>
      </c>
      <c r="B164" s="10" t="inlineStr">
        <is>
          <t>GENERAL</t>
        </is>
      </c>
      <c r="C164" s="10" t="inlineStr">
        <is>
          <t>VEHICLE OUTSIDE SERVICES</t>
        </is>
      </c>
      <c r="D164" s="10" t="inlineStr">
        <is>
          <t xml:space="preserve">MAINTENANCE SERVICE </t>
        </is>
      </c>
      <c r="E164" s="10" t="inlineStr">
        <is>
          <t>YEARLY</t>
        </is>
      </c>
      <c r="F164" s="11" t="n">
        <v>45748</v>
      </c>
      <c r="G164" s="11" t="n">
        <v>46112</v>
      </c>
      <c r="H164" s="12">
        <f>IF(OR($F164="",$G164=""),"",$G164-$F164+1)</f>
        <v/>
      </c>
      <c r="I164" s="10">
        <f>IF($F164="","",IF(MONTH($F164)&gt;=4,YEAR($F164)&amp;"-"&amp;TEXT(YEAR($F164)+1-2000,"00"),YEAR($F164)-1&amp;"-"&amp;TEXT(YEAR($F164)-2000,"00")))</f>
        <v/>
      </c>
      <c r="J164" s="13" t="n">
        <v>37915</v>
      </c>
      <c r="K164" s="14">
        <f>IFERROR($L164/$J164,"")</f>
        <v/>
      </c>
      <c r="L164" s="13" t="n">
        <v>37915</v>
      </c>
      <c r="M164" s="13">
        <f>IFERROR($L164/$H164,"")</f>
        <v/>
      </c>
      <c r="N164" s="11" t="n">
        <v>45856</v>
      </c>
      <c r="O164" s="10">
        <f>IF($N164="","No","Yes")</f>
        <v/>
      </c>
      <c r="P164" s="12">
        <f>IF(OR($F164="",$G164=""),0,IF(AND($F164&lt;=README!$B$4,README!$B$4&lt;=$G164),1,0))</f>
        <v/>
      </c>
      <c r="Q164" s="12">
        <f>IF(OR($F164="",$G164=""),0,IF(AND($F164&lt;=DATE(README!$B$5,12,31),$G164&gt;=DATE(README!$B$5,1,1)),1,0))</f>
        <v/>
      </c>
      <c r="R164" s="10" t="inlineStr">
        <is>
          <t>GUP-VEH0019</t>
        </is>
      </c>
      <c r="S164" s="11" t="n">
        <v>45777</v>
      </c>
      <c r="T164" s="10" t="inlineStr">
        <is>
          <t>638</t>
        </is>
      </c>
      <c r="U164" s="10" t="inlineStr">
        <is>
          <t>VEHICLE</t>
        </is>
      </c>
      <c r="V164" s="10" t="inlineStr">
        <is>
          <t>T</t>
        </is>
      </c>
      <c r="W164" s="10" t="inlineStr">
        <is>
          <t>VIVEK B</t>
        </is>
      </c>
    </row>
    <row r="165">
      <c r="A165" s="10" t="inlineStr">
        <is>
          <t>TN57BH3636</t>
        </is>
      </c>
      <c r="B165" s="10" t="inlineStr">
        <is>
          <t>SOCKS</t>
        </is>
      </c>
      <c r="C165" s="10" t="inlineStr">
        <is>
          <t>FC WORK</t>
        </is>
      </c>
      <c r="D165" s="10" t="inlineStr">
        <is>
          <t>FC WORK</t>
        </is>
      </c>
      <c r="E165" s="10" t="inlineStr">
        <is>
          <t>YEARLY</t>
        </is>
      </c>
      <c r="F165" s="11" t="n">
        <v>45383</v>
      </c>
      <c r="G165" s="11" t="n">
        <v>45747</v>
      </c>
      <c r="H165" s="12">
        <f>IF(OR($F165="",$G165=""),"",$G165-$F165+1)</f>
        <v/>
      </c>
      <c r="I165" s="10">
        <f>IF($F165="","",IF(MONTH($F165)&gt;=4,YEAR($F165)&amp;"-"&amp;TEXT(YEAR($F165)+1-2000,"00"),YEAR($F165)-1&amp;"-"&amp;TEXT(YEAR($F165)-2000,"00")))</f>
        <v/>
      </c>
      <c r="J165" s="13" t="n">
        <v>110000</v>
      </c>
      <c r="K165" s="14">
        <f>IFERROR($L165/$J165,"")</f>
        <v/>
      </c>
      <c r="L165" s="13" t="n">
        <v>110000</v>
      </c>
      <c r="M165" s="13">
        <f>IFERROR($L165/$H165,"")</f>
        <v/>
      </c>
      <c r="N165" s="11" t="n">
        <v>45679</v>
      </c>
      <c r="O165" s="10">
        <f>IF($N165="","No","Yes")</f>
        <v/>
      </c>
      <c r="P165" s="12">
        <f>IF(OR($F165="",$G165=""),0,IF(AND($F165&lt;=README!$B$4,README!$B$4&lt;=$G165),1,0))</f>
        <v/>
      </c>
      <c r="Q165" s="12">
        <f>IF(OR($F165="",$G165=""),0,IF(AND($F165&lt;=DATE(README!$B$5,12,31),$G165&gt;=DATE(README!$B$5,1,1)),1,0))</f>
        <v/>
      </c>
      <c r="R165" s="10" t="inlineStr">
        <is>
          <t>GUP-VEH0009</t>
        </is>
      </c>
      <c r="S165" s="11" t="n">
        <v>45475</v>
      </c>
      <c r="T165" s="10" t="inlineStr">
        <is>
          <t>546</t>
        </is>
      </c>
      <c r="U165" s="10" t="inlineStr">
        <is>
          <t>VEHICLE</t>
        </is>
      </c>
      <c r="V165" s="10" t="inlineStr">
        <is>
          <t>T</t>
        </is>
      </c>
      <c r="W165" s="10" t="inlineStr">
        <is>
          <t>VIVEK B</t>
        </is>
      </c>
    </row>
    <row r="166">
      <c r="A166" s="10" t="inlineStr">
        <is>
          <t>TN57BH3636</t>
        </is>
      </c>
      <c r="B166" s="10" t="inlineStr">
        <is>
          <t>SOCKS</t>
        </is>
      </c>
      <c r="C166" s="10" t="inlineStr">
        <is>
          <t>ROAD TAX</t>
        </is>
      </c>
      <c r="D166" s="10" t="inlineStr">
        <is>
          <t>ROAD TAX</t>
        </is>
      </c>
      <c r="E166" s="10" t="inlineStr">
        <is>
          <t>YEARLY</t>
        </is>
      </c>
      <c r="F166" s="11" t="n">
        <v>45383</v>
      </c>
      <c r="G166" s="11" t="n">
        <v>45747</v>
      </c>
      <c r="H166" s="12">
        <f>IF(OR($F166="",$G166=""),"",$G166-$F166+1)</f>
        <v/>
      </c>
      <c r="I166" s="10">
        <f>IF($F166="","",IF(MONTH($F166)&gt;=4,YEAR($F166)&amp;"-"&amp;TEXT(YEAR($F166)+1-2000,"00"),YEAR($F166)-1&amp;"-"&amp;TEXT(YEAR($F166)-2000,"00")))</f>
        <v/>
      </c>
      <c r="J166" s="13" t="n">
        <v>23634</v>
      </c>
      <c r="K166" s="14">
        <f>IFERROR($L166/$J166,"")</f>
        <v/>
      </c>
      <c r="L166" s="13" t="n">
        <v>23634</v>
      </c>
      <c r="M166" s="13">
        <f>IFERROR($L166/$H166,"")</f>
        <v/>
      </c>
      <c r="N166" s="11" t="n">
        <v>45649</v>
      </c>
      <c r="O166" s="10">
        <f>IF($N166="","No","Yes")</f>
        <v/>
      </c>
      <c r="P166" s="12">
        <f>IF(OR($F166="",$G166=""),0,IF(AND($F166&lt;=README!$B$4,README!$B$4&lt;=$G166),1,0))</f>
        <v/>
      </c>
      <c r="Q166" s="12">
        <f>IF(OR($F166="",$G166=""),0,IF(AND($F166&lt;=DATE(README!$B$5,12,31),$G166&gt;=DATE(README!$B$5,1,1)),1,0))</f>
        <v/>
      </c>
      <c r="R166" s="10" t="inlineStr">
        <is>
          <t>GUP-VEH0011</t>
        </is>
      </c>
      <c r="S166" s="11" t="n">
        <v>45477</v>
      </c>
      <c r="T166" s="10" t="inlineStr">
        <is>
          <t>548</t>
        </is>
      </c>
      <c r="U166" s="10" t="inlineStr">
        <is>
          <t>VEHICLE</t>
        </is>
      </c>
      <c r="V166" s="10" t="inlineStr">
        <is>
          <t>T</t>
        </is>
      </c>
      <c r="W166" s="10" t="inlineStr">
        <is>
          <t>VIVEK B</t>
        </is>
      </c>
    </row>
    <row r="167">
      <c r="A167" s="10" t="inlineStr">
        <is>
          <t>TN57BH3636</t>
        </is>
      </c>
      <c r="B167" s="10" t="inlineStr">
        <is>
          <t>SOCKS</t>
        </is>
      </c>
      <c r="C167" s="10" t="inlineStr">
        <is>
          <t>ROAD TAX</t>
        </is>
      </c>
      <c r="D167" s="10" t="inlineStr">
        <is>
          <t>GREEN TAX</t>
        </is>
      </c>
      <c r="E167" s="10" t="inlineStr">
        <is>
          <t>YEARLY</t>
        </is>
      </c>
      <c r="F167" s="11" t="n">
        <v>45383</v>
      </c>
      <c r="G167" s="11" t="n">
        <v>45747</v>
      </c>
      <c r="H167" s="12">
        <f>IF(OR($F167="",$G167=""),"",$G167-$F167+1)</f>
        <v/>
      </c>
      <c r="I167" s="10">
        <f>IF($F167="","",IF(MONTH($F167)&gt;=4,YEAR($F167)&amp;"-"&amp;TEXT(YEAR($F167)+1-2000,"00"),YEAR($F167)-1&amp;"-"&amp;TEXT(YEAR($F167)-2000,"00")))</f>
        <v/>
      </c>
      <c r="J167" s="13" t="n">
        <v>190</v>
      </c>
      <c r="K167" s="14">
        <f>IFERROR($L167/$J167,"")</f>
        <v/>
      </c>
      <c r="L167" s="13" t="n">
        <v>190</v>
      </c>
      <c r="M167" s="13">
        <f>IFERROR($L167/$H167,"")</f>
        <v/>
      </c>
      <c r="N167" s="11" t="n">
        <v>45649</v>
      </c>
      <c r="O167" s="10">
        <f>IF($N167="","No","Yes")</f>
        <v/>
      </c>
      <c r="P167" s="12">
        <f>IF(OR($F167="",$G167=""),0,IF(AND($F167&lt;=README!$B$4,README!$B$4&lt;=$G167),1,0))</f>
        <v/>
      </c>
      <c r="Q167" s="12">
        <f>IF(OR($F167="",$G167=""),0,IF(AND($F167&lt;=DATE(README!$B$5,12,31),$G167&gt;=DATE(README!$B$5,1,1)),1,0))</f>
        <v/>
      </c>
      <c r="R167" s="10" t="inlineStr">
        <is>
          <t>GUP-VEH0011</t>
        </is>
      </c>
      <c r="S167" s="11" t="n">
        <v>45477</v>
      </c>
      <c r="T167" s="10" t="inlineStr">
        <is>
          <t>548</t>
        </is>
      </c>
      <c r="U167" s="10" t="inlineStr">
        <is>
          <t>VEHICLE</t>
        </is>
      </c>
      <c r="V167" s="10" t="inlineStr">
        <is>
          <t>T</t>
        </is>
      </c>
      <c r="W167" s="10" t="inlineStr">
        <is>
          <t>VIVEK B</t>
        </is>
      </c>
    </row>
    <row r="168">
      <c r="A168" s="10" t="inlineStr">
        <is>
          <t>TN57BH3636</t>
        </is>
      </c>
      <c r="B168" s="10" t="inlineStr">
        <is>
          <t>SOCKS</t>
        </is>
      </c>
      <c r="C168" s="10" t="inlineStr">
        <is>
          <t>ROAD TAX</t>
        </is>
      </c>
      <c r="D168" s="10" t="inlineStr">
        <is>
          <t>ROAD TAX</t>
        </is>
      </c>
      <c r="E168" s="10" t="inlineStr">
        <is>
          <t>YEARLY</t>
        </is>
      </c>
      <c r="F168" s="11" t="n">
        <v>45383</v>
      </c>
      <c r="G168" s="11" t="n">
        <v>45747</v>
      </c>
      <c r="H168" s="12">
        <f>IF(OR($F168="",$G168=""),"",$G168-$F168+1)</f>
        <v/>
      </c>
      <c r="I168" s="10">
        <f>IF($F168="","",IF(MONTH($F168)&gt;=4,YEAR($F168)&amp;"-"&amp;TEXT(YEAR($F168)+1-2000,"00"),YEAR($F168)-1&amp;"-"&amp;TEXT(YEAR($F168)-2000,"00")))</f>
        <v/>
      </c>
      <c r="J168" s="13" t="n">
        <v>23634</v>
      </c>
      <c r="K168" s="14">
        <f>IFERROR($L168/$J168,"")</f>
        <v/>
      </c>
      <c r="L168" s="13" t="n">
        <v>23634</v>
      </c>
      <c r="M168" s="13">
        <f>IFERROR($L168/$H168,"")</f>
        <v/>
      </c>
      <c r="N168" s="11" t="n">
        <v>45569</v>
      </c>
      <c r="O168" s="10">
        <f>IF($N168="","No","Yes")</f>
        <v/>
      </c>
      <c r="P168" s="12">
        <f>IF(OR($F168="",$G168=""),0,IF(AND($F168&lt;=README!$B$4,README!$B$4&lt;=$G168),1,0))</f>
        <v/>
      </c>
      <c r="Q168" s="12">
        <f>IF(OR($F168="",$G168=""),0,IF(AND($F168&lt;=DATE(README!$B$5,12,31),$G168&gt;=DATE(README!$B$5,1,1)),1,0))</f>
        <v/>
      </c>
      <c r="R168" s="10" t="inlineStr">
        <is>
          <t>GUP-VEH0011</t>
        </is>
      </c>
      <c r="S168" s="11" t="n">
        <v>45477</v>
      </c>
      <c r="T168" s="10" t="inlineStr">
        <is>
          <t>548</t>
        </is>
      </c>
      <c r="U168" s="10" t="inlineStr">
        <is>
          <t>VEHICLE</t>
        </is>
      </c>
      <c r="V168" s="10" t="inlineStr">
        <is>
          <t>T</t>
        </is>
      </c>
      <c r="W168" s="10" t="inlineStr">
        <is>
          <t>VIVEK B</t>
        </is>
      </c>
    </row>
    <row r="169">
      <c r="A169" s="10" t="inlineStr">
        <is>
          <t>TN57BH3636</t>
        </is>
      </c>
      <c r="B169" s="10" t="inlineStr">
        <is>
          <t>SOCKS</t>
        </is>
      </c>
      <c r="C169" s="10" t="inlineStr">
        <is>
          <t>ROAD TAX</t>
        </is>
      </c>
      <c r="D169" s="10" t="inlineStr">
        <is>
          <t>ROAD TAX</t>
        </is>
      </c>
      <c r="E169" s="10" t="inlineStr">
        <is>
          <t>YEARLY</t>
        </is>
      </c>
      <c r="F169" s="11" t="n">
        <v>45383</v>
      </c>
      <c r="G169" s="11" t="n">
        <v>45747</v>
      </c>
      <c r="H169" s="12">
        <f>IF(OR($F169="",$G169=""),"",$G169-$F169+1)</f>
        <v/>
      </c>
      <c r="I169" s="10">
        <f>IF($F169="","",IF(MONTH($F169)&gt;=4,YEAR($F169)&amp;"-"&amp;TEXT(YEAR($F169)+1-2000,"00"),YEAR($F169)-1&amp;"-"&amp;TEXT(YEAR($F169)-2000,"00")))</f>
        <v/>
      </c>
      <c r="J169" s="13" t="n">
        <v>23634</v>
      </c>
      <c r="K169" s="14">
        <f>IFERROR($L169/$J169,"")</f>
        <v/>
      </c>
      <c r="L169" s="13" t="n">
        <v>23634</v>
      </c>
      <c r="M169" s="13">
        <f>IFERROR($L169/$H169,"")</f>
        <v/>
      </c>
      <c r="N169" s="11" t="n">
        <v>45481</v>
      </c>
      <c r="O169" s="10">
        <f>IF($N169="","No","Yes")</f>
        <v/>
      </c>
      <c r="P169" s="12">
        <f>IF(OR($F169="",$G169=""),0,IF(AND($F169&lt;=README!$B$4,README!$B$4&lt;=$G169),1,0))</f>
        <v/>
      </c>
      <c r="Q169" s="12">
        <f>IF(OR($F169="",$G169=""),0,IF(AND($F169&lt;=DATE(README!$B$5,12,31),$G169&gt;=DATE(README!$B$5,1,1)),1,0))</f>
        <v/>
      </c>
      <c r="R169" s="10" t="inlineStr">
        <is>
          <t>GUP-VEH0011</t>
        </is>
      </c>
      <c r="S169" s="11" t="n">
        <v>45477</v>
      </c>
      <c r="T169" s="10" t="inlineStr">
        <is>
          <t>548</t>
        </is>
      </c>
      <c r="U169" s="10" t="inlineStr">
        <is>
          <t>VEHICLE</t>
        </is>
      </c>
      <c r="V169" s="10" t="inlineStr">
        <is>
          <t>T</t>
        </is>
      </c>
      <c r="W169" s="10" t="inlineStr">
        <is>
          <t>VIVEK B</t>
        </is>
      </c>
    </row>
    <row r="170">
      <c r="A170" s="10" t="inlineStr">
        <is>
          <t>TN57BH3636</t>
        </is>
      </c>
      <c r="B170" s="10" t="inlineStr">
        <is>
          <t>SOCKS</t>
        </is>
      </c>
      <c r="C170" s="10" t="inlineStr">
        <is>
          <t>RTO EXPENSE</t>
        </is>
      </c>
      <c r="D170" s="10" t="inlineStr">
        <is>
          <t>RTO EXPENSE</t>
        </is>
      </c>
      <c r="E170" s="10" t="inlineStr">
        <is>
          <t>YEARLY</t>
        </is>
      </c>
      <c r="F170" s="11" t="n">
        <v>45383</v>
      </c>
      <c r="G170" s="11" t="n">
        <v>45747</v>
      </c>
      <c r="H170" s="12">
        <f>IF(OR($F170="",$G170=""),"",$G170-$F170+1)</f>
        <v/>
      </c>
      <c r="I170" s="10">
        <f>IF($F170="","",IF(MONTH($F170)&gt;=4,YEAR($F170)&amp;"-"&amp;TEXT(YEAR($F170)+1-2000,"00"),YEAR($F170)-1&amp;"-"&amp;TEXT(YEAR($F170)-2000,"00")))</f>
        <v/>
      </c>
      <c r="J170" s="13" t="n">
        <v>7500</v>
      </c>
      <c r="K170" s="14">
        <f>IFERROR($L170/$J170,"")</f>
        <v/>
      </c>
      <c r="L170" s="13" t="n">
        <v>7500</v>
      </c>
      <c r="M170" s="13">
        <f>IFERROR($L170/$H170,"")</f>
        <v/>
      </c>
      <c r="N170" s="11" t="n">
        <v>45687</v>
      </c>
      <c r="O170" s="10">
        <f>IF($N170="","No","Yes")</f>
        <v/>
      </c>
      <c r="P170" s="12">
        <f>IF(OR($F170="",$G170=""),0,IF(AND($F170&lt;=README!$B$4,README!$B$4&lt;=$G170),1,0))</f>
        <v/>
      </c>
      <c r="Q170" s="12">
        <f>IF(OR($F170="",$G170=""),0,IF(AND($F170&lt;=DATE(README!$B$5,12,31),$G170&gt;=DATE(README!$B$5,1,1)),1,0))</f>
        <v/>
      </c>
      <c r="R170" s="10" t="inlineStr">
        <is>
          <t>GUP-VEH0010</t>
        </is>
      </c>
      <c r="S170" s="11" t="n">
        <v>45475</v>
      </c>
      <c r="T170" s="10" t="inlineStr">
        <is>
          <t>547</t>
        </is>
      </c>
      <c r="U170" s="10" t="inlineStr">
        <is>
          <t>VEHICLE</t>
        </is>
      </c>
      <c r="V170" s="10" t="inlineStr">
        <is>
          <t>T</t>
        </is>
      </c>
      <c r="W170" s="10" t="inlineStr">
        <is>
          <t>VIVEK B</t>
        </is>
      </c>
    </row>
    <row r="171">
      <c r="A171" s="10" t="inlineStr">
        <is>
          <t>TN57BH3636</t>
        </is>
      </c>
      <c r="B171" s="10" t="inlineStr">
        <is>
          <t>SOCKS</t>
        </is>
      </c>
      <c r="C171" s="10" t="inlineStr">
        <is>
          <t>TYRE</t>
        </is>
      </c>
      <c r="D171" s="10" t="inlineStr">
        <is>
          <t>TYRE</t>
        </is>
      </c>
      <c r="E171" s="10" t="inlineStr">
        <is>
          <t>YEARLY</t>
        </is>
      </c>
      <c r="F171" s="11" t="n">
        <v>45383</v>
      </c>
      <c r="G171" s="11" t="n">
        <v>45747</v>
      </c>
      <c r="H171" s="12">
        <f>IF(OR($F171="",$G171=""),"",$G171-$F171+1)</f>
        <v/>
      </c>
      <c r="I171" s="10">
        <f>IF($F171="","",IF(MONTH($F171)&gt;=4,YEAR($F171)&amp;"-"&amp;TEXT(YEAR($F171)+1-2000,"00"),YEAR($F171)-1&amp;"-"&amp;TEXT(YEAR($F171)-2000,"00")))</f>
        <v/>
      </c>
      <c r="J171" s="13" t="n">
        <v>19200</v>
      </c>
      <c r="K171" s="14">
        <f>IFERROR($L171/$J171,"")</f>
        <v/>
      </c>
      <c r="L171" s="13" t="n">
        <v>57600</v>
      </c>
      <c r="M171" s="13">
        <f>IFERROR($L171/$H171,"")</f>
        <v/>
      </c>
      <c r="N171" s="11" t="n">
        <v>45443</v>
      </c>
      <c r="O171" s="10">
        <f>IF($N171="","No","Yes")</f>
        <v/>
      </c>
      <c r="P171" s="12">
        <f>IF(OR($F171="",$G171=""),0,IF(AND($F171&lt;=README!$B$4,README!$B$4&lt;=$G171),1,0))</f>
        <v/>
      </c>
      <c r="Q171" s="12">
        <f>IF(OR($F171="",$G171=""),0,IF(AND($F171&lt;=DATE(README!$B$5,12,31),$G171&gt;=DATE(README!$B$5,1,1)),1,0))</f>
        <v/>
      </c>
      <c r="R171" s="10" t="inlineStr">
        <is>
          <t>GUP-VEH0006</t>
        </is>
      </c>
      <c r="S171" s="11" t="n">
        <v>45442</v>
      </c>
      <c r="T171" s="10" t="inlineStr">
        <is>
          <t>522</t>
        </is>
      </c>
      <c r="U171" s="10" t="inlineStr">
        <is>
          <t>VEHICLE</t>
        </is>
      </c>
      <c r="V171" s="10" t="inlineStr">
        <is>
          <t>T</t>
        </is>
      </c>
      <c r="W171" s="10" t="inlineStr">
        <is>
          <t>VIVEK B</t>
        </is>
      </c>
    </row>
    <row r="172">
      <c r="A172" s="10" t="inlineStr">
        <is>
          <t>TN57BH3636</t>
        </is>
      </c>
      <c r="B172" s="10" t="inlineStr">
        <is>
          <t>SOCKS</t>
        </is>
      </c>
      <c r="C172" s="10" t="inlineStr">
        <is>
          <t>VEHICLE INSURANCE</t>
        </is>
      </c>
      <c r="D172" s="10" t="inlineStr">
        <is>
          <t>VEHICLE INSURANCE</t>
        </is>
      </c>
      <c r="E172" s="10" t="inlineStr">
        <is>
          <t>YEARLY</t>
        </is>
      </c>
      <c r="F172" s="11" t="n">
        <v>45383</v>
      </c>
      <c r="G172" s="11" t="n">
        <v>45747</v>
      </c>
      <c r="H172" s="12">
        <f>IF(OR($F172="",$G172=""),"",$G172-$F172+1)</f>
        <v/>
      </c>
      <c r="I172" s="10">
        <f>IF($F172="","",IF(MONTH($F172)&gt;=4,YEAR($F172)&amp;"-"&amp;TEXT(YEAR($F172)+1-2000,"00"),YEAR($F172)-1&amp;"-"&amp;TEXT(YEAR($F172)-2000,"00")))</f>
        <v/>
      </c>
      <c r="J172" s="13" t="n">
        <v>59353</v>
      </c>
      <c r="K172" s="14">
        <f>IFERROR($L172/$J172,"")</f>
        <v/>
      </c>
      <c r="L172" s="13" t="n">
        <v>59353</v>
      </c>
      <c r="M172" s="13">
        <f>IFERROR($L172/$H172,"")</f>
        <v/>
      </c>
      <c r="N172" s="11" t="n">
        <v>45541</v>
      </c>
      <c r="O172" s="10">
        <f>IF($N172="","No","Yes")</f>
        <v/>
      </c>
      <c r="P172" s="12">
        <f>IF(OR($F172="",$G172=""),0,IF(AND($F172&lt;=README!$B$4,README!$B$4&lt;=$G172),1,0))</f>
        <v/>
      </c>
      <c r="Q172" s="12">
        <f>IF(OR($F172="",$G172=""),0,IF(AND($F172&lt;=DATE(README!$B$5,12,31),$G172&gt;=DATE(README!$B$5,1,1)),1,0))</f>
        <v/>
      </c>
      <c r="R172" s="10" t="inlineStr">
        <is>
          <t>GUP-VEH0013</t>
        </is>
      </c>
      <c r="S172" s="11" t="n">
        <v>45478</v>
      </c>
      <c r="T172" s="10" t="inlineStr">
        <is>
          <t>550</t>
        </is>
      </c>
      <c r="U172" s="10" t="inlineStr">
        <is>
          <t>VEHICLE</t>
        </is>
      </c>
      <c r="V172" s="10" t="inlineStr">
        <is>
          <t>T</t>
        </is>
      </c>
      <c r="W172" s="10" t="inlineStr">
        <is>
          <t>VIVEK B</t>
        </is>
      </c>
    </row>
    <row r="173">
      <c r="A173" s="10" t="inlineStr">
        <is>
          <t>TN57BH3636</t>
        </is>
      </c>
      <c r="B173" s="10" t="inlineStr">
        <is>
          <t>SOCKS</t>
        </is>
      </c>
      <c r="C173" s="10" t="inlineStr">
        <is>
          <t>ROAD TAX</t>
        </is>
      </c>
      <c r="D173" s="10" t="inlineStr">
        <is>
          <t>GREEN TAX</t>
        </is>
      </c>
      <c r="E173" s="10" t="inlineStr">
        <is>
          <t>QUARTER - I</t>
        </is>
      </c>
      <c r="F173" s="11" t="n">
        <v>45748</v>
      </c>
      <c r="G173" s="11" t="n">
        <v>45838</v>
      </c>
      <c r="H173" s="12">
        <f>IF(OR($F173="",$G173=""),"",$G173-$F173+1)</f>
        <v/>
      </c>
      <c r="I173" s="10">
        <f>IF($F173="","",IF(MONTH($F173)&gt;=4,YEAR($F173)&amp;"-"&amp;TEXT(YEAR($F173)+1-2000,"00"),YEAR($F173)-1&amp;"-"&amp;TEXT(YEAR($F173)-2000,"00")))</f>
        <v/>
      </c>
      <c r="J173" s="13" t="n">
        <v>190</v>
      </c>
      <c r="K173" s="14">
        <f>IFERROR($L173/$J173,"")</f>
        <v/>
      </c>
      <c r="L173" s="13" t="n">
        <v>190</v>
      </c>
      <c r="M173" s="13">
        <f>IFERROR($L173/$H173,"")</f>
        <v/>
      </c>
      <c r="N173" s="11" t="n">
        <v>46030</v>
      </c>
      <c r="O173" s="10">
        <f>IF($N173="","No","Yes")</f>
        <v/>
      </c>
      <c r="P173" s="12">
        <f>IF(OR($F173="",$G173=""),0,IF(AND($F173&lt;=README!$B$4,README!$B$4&lt;=$G173),1,0))</f>
        <v/>
      </c>
      <c r="Q173" s="12">
        <f>IF(OR($F173="",$G173=""),0,IF(AND($F173&lt;=DATE(README!$B$5,12,31),$G173&gt;=DATE(README!$B$5,1,1)),1,0))</f>
        <v/>
      </c>
      <c r="R173" s="10" t="inlineStr">
        <is>
          <t>GUP-VEH0014</t>
        </is>
      </c>
      <c r="S173" s="11" t="n">
        <v>45748</v>
      </c>
      <c r="T173" s="10" t="inlineStr">
        <is>
          <t>609</t>
        </is>
      </c>
      <c r="U173" s="10" t="inlineStr">
        <is>
          <t>VEHICLE</t>
        </is>
      </c>
      <c r="V173" s="10" t="inlineStr">
        <is>
          <t>T</t>
        </is>
      </c>
      <c r="W173" s="10" t="inlineStr">
        <is>
          <t>VIVEK B</t>
        </is>
      </c>
    </row>
    <row r="174">
      <c r="A174" s="10" t="inlineStr">
        <is>
          <t>TN57BH3636</t>
        </is>
      </c>
      <c r="B174" s="10" t="inlineStr">
        <is>
          <t>SOCKS</t>
        </is>
      </c>
      <c r="C174" s="10" t="inlineStr">
        <is>
          <t>ROAD TAX</t>
        </is>
      </c>
      <c r="D174" s="10" t="inlineStr">
        <is>
          <t>ROAD TAX</t>
        </is>
      </c>
      <c r="E174" s="10" t="inlineStr">
        <is>
          <t>QUARTER - I</t>
        </is>
      </c>
      <c r="F174" s="11" t="n">
        <v>45748</v>
      </c>
      <c r="G174" s="11" t="n">
        <v>45838</v>
      </c>
      <c r="H174" s="12">
        <f>IF(OR($F174="",$G174=""),"",$G174-$F174+1)</f>
        <v/>
      </c>
      <c r="I174" s="10">
        <f>IF($F174="","",IF(MONTH($F174)&gt;=4,YEAR($F174)&amp;"-"&amp;TEXT(YEAR($F174)+1-2000,"00"),YEAR($F174)-1&amp;"-"&amp;TEXT(YEAR($F174)-2000,"00")))</f>
        <v/>
      </c>
      <c r="J174" s="13" t="n">
        <v>23634</v>
      </c>
      <c r="K174" s="14">
        <f>IFERROR($L174/$J174,"")</f>
        <v/>
      </c>
      <c r="L174" s="13" t="n">
        <v>23634</v>
      </c>
      <c r="M174" s="13">
        <f>IFERROR($L174/$H174,"")</f>
        <v/>
      </c>
      <c r="N174" s="11" t="n">
        <v>46030</v>
      </c>
      <c r="O174" s="10">
        <f>IF($N174="","No","Yes")</f>
        <v/>
      </c>
      <c r="P174" s="12">
        <f>IF(OR($F174="",$G174=""),0,IF(AND($F174&lt;=README!$B$4,README!$B$4&lt;=$G174),1,0))</f>
        <v/>
      </c>
      <c r="Q174" s="12">
        <f>IF(OR($F174="",$G174=""),0,IF(AND($F174&lt;=DATE(README!$B$5,12,31),$G174&gt;=DATE(README!$B$5,1,1)),1,0))</f>
        <v/>
      </c>
      <c r="R174" s="10" t="inlineStr">
        <is>
          <t>GUP-VEH0014</t>
        </is>
      </c>
      <c r="S174" s="11" t="n">
        <v>45748</v>
      </c>
      <c r="T174" s="10" t="inlineStr">
        <is>
          <t>609</t>
        </is>
      </c>
      <c r="U174" s="10" t="inlineStr">
        <is>
          <t>VEHICLE</t>
        </is>
      </c>
      <c r="V174" s="10" t="inlineStr">
        <is>
          <t>T</t>
        </is>
      </c>
      <c r="W174" s="10" t="inlineStr">
        <is>
          <t>VIVEK B</t>
        </is>
      </c>
    </row>
    <row r="175">
      <c r="A175" s="10" t="inlineStr">
        <is>
          <t>TN57BH3636</t>
        </is>
      </c>
      <c r="B175" s="10" t="inlineStr">
        <is>
          <t>SOCKS</t>
        </is>
      </c>
      <c r="C175" s="10" t="inlineStr">
        <is>
          <t>VEHICLE INSURANCE</t>
        </is>
      </c>
      <c r="D175" s="10" t="inlineStr">
        <is>
          <t>VEHICLE INSURANCE</t>
        </is>
      </c>
      <c r="E175" s="10" t="inlineStr">
        <is>
          <t>YEARLY</t>
        </is>
      </c>
      <c r="F175" s="11" t="n">
        <v>45748</v>
      </c>
      <c r="G175" s="11" t="n">
        <v>46112</v>
      </c>
      <c r="H175" s="12">
        <f>IF(OR($F175="",$G175=""),"",$G175-$F175+1)</f>
        <v/>
      </c>
      <c r="I175" s="10">
        <f>IF($F175="","",IF(MONTH($F175)&gt;=4,YEAR($F175)&amp;"-"&amp;TEXT(YEAR($F175)+1-2000,"00"),YEAR($F175)-1&amp;"-"&amp;TEXT(YEAR($F175)-2000,"00")))</f>
        <v/>
      </c>
      <c r="J175" s="13" t="n">
        <v>58984</v>
      </c>
      <c r="K175" s="14">
        <f>IFERROR($L175/$J175,"")</f>
        <v/>
      </c>
      <c r="L175" s="13" t="n">
        <v>58984</v>
      </c>
      <c r="M175" s="13">
        <f>IFERROR($L175/$H175,"")</f>
        <v/>
      </c>
      <c r="N175" s="11" t="n">
        <v>45905</v>
      </c>
      <c r="O175" s="10">
        <f>IF($N175="","No","Yes")</f>
        <v/>
      </c>
      <c r="P175" s="12">
        <f>IF(OR($F175="",$G175=""),0,IF(AND($F175&lt;=README!$B$4,README!$B$4&lt;=$G175),1,0))</f>
        <v/>
      </c>
      <c r="Q175" s="12">
        <f>IF(OR($F175="",$G175=""),0,IF(AND($F175&lt;=DATE(README!$B$5,12,31),$G175&gt;=DATE(README!$B$5,1,1)),1,0))</f>
        <v/>
      </c>
      <c r="R175" s="10" t="inlineStr">
        <is>
          <t>GUP-VEH0020</t>
        </is>
      </c>
      <c r="S175" s="11" t="n">
        <v>45799</v>
      </c>
      <c r="T175" s="10" t="inlineStr">
        <is>
          <t>645</t>
        </is>
      </c>
      <c r="U175" s="10" t="inlineStr">
        <is>
          <t>VEHICLE</t>
        </is>
      </c>
      <c r="V175" s="10" t="inlineStr">
        <is>
          <t>T</t>
        </is>
      </c>
      <c r="W175" s="10" t="inlineStr">
        <is>
          <t>VIVEK B</t>
        </is>
      </c>
    </row>
    <row r="176">
      <c r="A176" s="10" t="inlineStr">
        <is>
          <t>TN57BH3636</t>
        </is>
      </c>
      <c r="B176" s="10" t="inlineStr">
        <is>
          <t>GENERAL</t>
        </is>
      </c>
      <c r="C176" s="10" t="inlineStr">
        <is>
          <t>VEHICLE OUTSIDE SERVICES</t>
        </is>
      </c>
      <c r="D176" s="10" t="inlineStr">
        <is>
          <t>MAINTENANCE SERVICE - 2</t>
        </is>
      </c>
      <c r="E176" s="10" t="inlineStr">
        <is>
          <t>YEARLY</t>
        </is>
      </c>
      <c r="F176" s="11" t="n">
        <v>45748</v>
      </c>
      <c r="G176" s="11" t="n">
        <v>46112</v>
      </c>
      <c r="H176" s="12">
        <f>IF(OR($F176="",$G176=""),"",$G176-$F176+1)</f>
        <v/>
      </c>
      <c r="I176" s="10">
        <f>IF($F176="","",IF(MONTH($F176)&gt;=4,YEAR($F176)&amp;"-"&amp;TEXT(YEAR($F176)+1-2000,"00"),YEAR($F176)-1&amp;"-"&amp;TEXT(YEAR($F176)-2000,"00")))</f>
        <v/>
      </c>
      <c r="J176" s="13" t="n">
        <v>37802</v>
      </c>
      <c r="K176" s="14">
        <f>IFERROR($L176/$J176,"")</f>
        <v/>
      </c>
      <c r="L176" s="13" t="n">
        <v>37802</v>
      </c>
      <c r="M176" s="13">
        <f>IFERROR($L176/$H176,"")</f>
        <v/>
      </c>
      <c r="N176" s="11" t="n">
        <v>45952</v>
      </c>
      <c r="O176" s="10">
        <f>IF($N176="","No","Yes")</f>
        <v/>
      </c>
      <c r="P176" s="12">
        <f>IF(OR($F176="",$G176=""),0,IF(AND($F176&lt;=README!$B$4,README!$B$4&lt;=$G176),1,0))</f>
        <v/>
      </c>
      <c r="Q176" s="12">
        <f>IF(OR($F176="",$G176=""),0,IF(AND($F176&lt;=DATE(README!$B$5,12,31),$G176&gt;=DATE(README!$B$5,1,1)),1,0))</f>
        <v/>
      </c>
      <c r="R176" s="10" t="inlineStr">
        <is>
          <t>GUP-VEH0019</t>
        </is>
      </c>
      <c r="S176" s="11" t="n">
        <v>45777</v>
      </c>
      <c r="T176" s="10" t="inlineStr">
        <is>
          <t>638</t>
        </is>
      </c>
      <c r="U176" s="10" t="inlineStr">
        <is>
          <t>VEHICLE</t>
        </is>
      </c>
      <c r="V176" s="10" t="inlineStr">
        <is>
          <t>T</t>
        </is>
      </c>
      <c r="W176" s="10" t="inlineStr">
        <is>
          <t>VIVEK B</t>
        </is>
      </c>
    </row>
    <row r="177">
      <c r="A177" s="10" t="inlineStr">
        <is>
          <t>TN57BH3636</t>
        </is>
      </c>
      <c r="B177" s="10" t="inlineStr">
        <is>
          <t>GENERAL</t>
        </is>
      </c>
      <c r="C177" s="10" t="inlineStr">
        <is>
          <t>VEHICLE OUTSIDE SERVICES</t>
        </is>
      </c>
      <c r="D177" s="10" t="inlineStr">
        <is>
          <t xml:space="preserve">MAINTENANCE SERVICE </t>
        </is>
      </c>
      <c r="E177" s="10" t="inlineStr">
        <is>
          <t>YEARLY</t>
        </is>
      </c>
      <c r="F177" s="11" t="n">
        <v>45748</v>
      </c>
      <c r="G177" s="11" t="n">
        <v>46112</v>
      </c>
      <c r="H177" s="12">
        <f>IF(OR($F177="",$G177=""),"",$G177-$F177+1)</f>
        <v/>
      </c>
      <c r="I177" s="10">
        <f>IF($F177="","",IF(MONTH($F177)&gt;=4,YEAR($F177)&amp;"-"&amp;TEXT(YEAR($F177)+1-2000,"00"),YEAR($F177)-1&amp;"-"&amp;TEXT(YEAR($F177)-2000,"00")))</f>
        <v/>
      </c>
      <c r="J177" s="13" t="n">
        <v>31940</v>
      </c>
      <c r="K177" s="14">
        <f>IFERROR($L177/$J177,"")</f>
        <v/>
      </c>
      <c r="L177" s="13" t="n">
        <v>31940</v>
      </c>
      <c r="M177" s="13">
        <f>IFERROR($L177/$H177,"")</f>
        <v/>
      </c>
      <c r="N177" s="11" t="n">
        <v>45854</v>
      </c>
      <c r="O177" s="10">
        <f>IF($N177="","No","Yes")</f>
        <v/>
      </c>
      <c r="P177" s="12">
        <f>IF(OR($F177="",$G177=""),0,IF(AND($F177&lt;=README!$B$4,README!$B$4&lt;=$G177),1,0))</f>
        <v/>
      </c>
      <c r="Q177" s="12">
        <f>IF(OR($F177="",$G177=""),0,IF(AND($F177&lt;=DATE(README!$B$5,12,31),$G177&gt;=DATE(README!$B$5,1,1)),1,0))</f>
        <v/>
      </c>
      <c r="R177" s="10" t="inlineStr">
        <is>
          <t>GUP-VEH0019</t>
        </is>
      </c>
      <c r="S177" s="11" t="n">
        <v>45777</v>
      </c>
      <c r="T177" s="10" t="inlineStr">
        <is>
          <t>638</t>
        </is>
      </c>
      <c r="U177" s="10" t="inlineStr">
        <is>
          <t>VEHICLE</t>
        </is>
      </c>
      <c r="V177" s="10" t="inlineStr">
        <is>
          <t>T</t>
        </is>
      </c>
      <c r="W177" s="10" t="inlineStr">
        <is>
          <t>VIVEK B</t>
        </is>
      </c>
    </row>
    <row r="178">
      <c r="A178" s="10" t="inlineStr">
        <is>
          <t>TN57BH3636</t>
        </is>
      </c>
      <c r="B178" s="10" t="inlineStr">
        <is>
          <t>SOCKS</t>
        </is>
      </c>
      <c r="C178" s="10" t="inlineStr">
        <is>
          <t>ROAD TAX</t>
        </is>
      </c>
      <c r="D178" s="10" t="inlineStr">
        <is>
          <t>GREEN TAX</t>
        </is>
      </c>
      <c r="E178" s="10" t="inlineStr">
        <is>
          <t>QUARTER - II</t>
        </is>
      </c>
      <c r="F178" s="11" t="n">
        <v>45839</v>
      </c>
      <c r="G178" s="11" t="n">
        <v>45930</v>
      </c>
      <c r="H178" s="12">
        <f>IF(OR($F178="",$G178=""),"",$G178-$F178+1)</f>
        <v/>
      </c>
      <c r="I178" s="10">
        <f>IF($F178="","",IF(MONTH($F178)&gt;=4,YEAR($F178)&amp;"-"&amp;TEXT(YEAR($F178)+1-2000,"00"),YEAR($F178)-1&amp;"-"&amp;TEXT(YEAR($F178)-2000,"00")))</f>
        <v/>
      </c>
      <c r="J178" s="13" t="n">
        <v>190</v>
      </c>
      <c r="K178" s="14">
        <f>IFERROR($L178/$J178,"")</f>
        <v/>
      </c>
      <c r="L178" s="13" t="n">
        <v>190</v>
      </c>
      <c r="M178" s="13">
        <f>IFERROR($L178/$H178,"")</f>
        <v/>
      </c>
      <c r="N178" s="11" t="n">
        <v>46030</v>
      </c>
      <c r="O178" s="10">
        <f>IF($N178="","No","Yes")</f>
        <v/>
      </c>
      <c r="P178" s="12">
        <f>IF(OR($F178="",$G178=""),0,IF(AND($F178&lt;=README!$B$4,README!$B$4&lt;=$G178),1,0))</f>
        <v/>
      </c>
      <c r="Q178" s="12">
        <f>IF(OR($F178="",$G178=""),0,IF(AND($F178&lt;=DATE(README!$B$5,12,31),$G178&gt;=DATE(README!$B$5,1,1)),1,0))</f>
        <v/>
      </c>
      <c r="R178" s="10" t="inlineStr">
        <is>
          <t>GUP-VEH0014</t>
        </is>
      </c>
      <c r="S178" s="11" t="n">
        <v>45748</v>
      </c>
      <c r="T178" s="10" t="inlineStr">
        <is>
          <t>609</t>
        </is>
      </c>
      <c r="U178" s="10" t="inlineStr">
        <is>
          <t>VEHICLE</t>
        </is>
      </c>
      <c r="V178" s="10" t="inlineStr">
        <is>
          <t>T</t>
        </is>
      </c>
      <c r="W178" s="10" t="inlineStr">
        <is>
          <t>VIVEK B</t>
        </is>
      </c>
    </row>
    <row r="179">
      <c r="A179" s="10" t="inlineStr">
        <is>
          <t>TN57BH3636</t>
        </is>
      </c>
      <c r="B179" s="10" t="inlineStr">
        <is>
          <t>SOCKS</t>
        </is>
      </c>
      <c r="C179" s="10" t="inlineStr">
        <is>
          <t>ROAD TAX</t>
        </is>
      </c>
      <c r="D179" s="10" t="inlineStr">
        <is>
          <t>ROAD TAX</t>
        </is>
      </c>
      <c r="E179" s="10" t="inlineStr">
        <is>
          <t>QUARTER - II</t>
        </is>
      </c>
      <c r="F179" s="11" t="n">
        <v>45839</v>
      </c>
      <c r="G179" s="11" t="n">
        <v>45930</v>
      </c>
      <c r="H179" s="12">
        <f>IF(OR($F179="",$G179=""),"",$G179-$F179+1)</f>
        <v/>
      </c>
      <c r="I179" s="10">
        <f>IF($F179="","",IF(MONTH($F179)&gt;=4,YEAR($F179)&amp;"-"&amp;TEXT(YEAR($F179)+1-2000,"00"),YEAR($F179)-1&amp;"-"&amp;TEXT(YEAR($F179)-2000,"00")))</f>
        <v/>
      </c>
      <c r="J179" s="13" t="n">
        <v>23634</v>
      </c>
      <c r="K179" s="14">
        <f>IFERROR($L179/$J179,"")</f>
        <v/>
      </c>
      <c r="L179" s="13" t="n">
        <v>23634</v>
      </c>
      <c r="M179" s="13">
        <f>IFERROR($L179/$H179,"")</f>
        <v/>
      </c>
      <c r="N179" s="11" t="n">
        <v>46030</v>
      </c>
      <c r="O179" s="10">
        <f>IF($N179="","No","Yes")</f>
        <v/>
      </c>
      <c r="P179" s="12">
        <f>IF(OR($F179="",$G179=""),0,IF(AND($F179&lt;=README!$B$4,README!$B$4&lt;=$G179),1,0))</f>
        <v/>
      </c>
      <c r="Q179" s="12">
        <f>IF(OR($F179="",$G179=""),0,IF(AND($F179&lt;=DATE(README!$B$5,12,31),$G179&gt;=DATE(README!$B$5,1,1)),1,0))</f>
        <v/>
      </c>
      <c r="R179" s="10" t="inlineStr">
        <is>
          <t>GUP-VEH0014</t>
        </is>
      </c>
      <c r="S179" s="11" t="n">
        <v>45748</v>
      </c>
      <c r="T179" s="10" t="inlineStr">
        <is>
          <t>609</t>
        </is>
      </c>
      <c r="U179" s="10" t="inlineStr">
        <is>
          <t>VEHICLE</t>
        </is>
      </c>
      <c r="V179" s="10" t="inlineStr">
        <is>
          <t>T</t>
        </is>
      </c>
      <c r="W179" s="10" t="inlineStr">
        <is>
          <t>VIVEK B</t>
        </is>
      </c>
    </row>
    <row r="180">
      <c r="A180" s="10" t="inlineStr">
        <is>
          <t>TN57BH3636</t>
        </is>
      </c>
      <c r="B180" s="10" t="inlineStr">
        <is>
          <t>SOCKS</t>
        </is>
      </c>
      <c r="C180" s="10" t="inlineStr">
        <is>
          <t>ROAD TAX</t>
        </is>
      </c>
      <c r="D180" s="10" t="inlineStr">
        <is>
          <t>ROAD TAX</t>
        </is>
      </c>
      <c r="E180" s="10" t="inlineStr">
        <is>
          <t>QUARTER - III</t>
        </is>
      </c>
      <c r="F180" s="11" t="n">
        <v>45931</v>
      </c>
      <c r="G180" s="11" t="n">
        <v>46022</v>
      </c>
      <c r="H180" s="12">
        <f>IF(OR($F180="",$G180=""),"",$G180-$F180+1)</f>
        <v/>
      </c>
      <c r="I180" s="10">
        <f>IF($F180="","",IF(MONTH($F180)&gt;=4,YEAR($F180)&amp;"-"&amp;TEXT(YEAR($F180)+1-2000,"00"),YEAR($F180)-1&amp;"-"&amp;TEXT(YEAR($F180)-2000,"00")))</f>
        <v/>
      </c>
      <c r="J180" s="13" t="n">
        <v>23644</v>
      </c>
      <c r="K180" s="14">
        <f>IFERROR($L180/$J180,"")</f>
        <v/>
      </c>
      <c r="L180" s="13" t="n">
        <v>23644</v>
      </c>
      <c r="M180" s="13">
        <f>IFERROR($L180/$H180,"")</f>
        <v/>
      </c>
      <c r="N180" s="11" t="n">
        <v>46030</v>
      </c>
      <c r="O180" s="10">
        <f>IF($N180="","No","Yes")</f>
        <v/>
      </c>
      <c r="P180" s="12">
        <f>IF(OR($F180="",$G180=""),0,IF(AND($F180&lt;=README!$B$4,README!$B$4&lt;=$G180),1,0))</f>
        <v/>
      </c>
      <c r="Q180" s="12">
        <f>IF(OR($F180="",$G180=""),0,IF(AND($F180&lt;=DATE(README!$B$5,12,31),$G180&gt;=DATE(README!$B$5,1,1)),1,0))</f>
        <v/>
      </c>
      <c r="R180" s="10" t="inlineStr">
        <is>
          <t>GUP-VEH0014</t>
        </is>
      </c>
      <c r="S180" s="11" t="n">
        <v>45748</v>
      </c>
      <c r="T180" s="10" t="inlineStr">
        <is>
          <t>609</t>
        </is>
      </c>
      <c r="U180" s="10" t="inlineStr">
        <is>
          <t>VEHICLE</t>
        </is>
      </c>
      <c r="V180" s="10" t="inlineStr">
        <is>
          <t>T</t>
        </is>
      </c>
      <c r="W180" s="10" t="inlineStr">
        <is>
          <t>VIVEK B</t>
        </is>
      </c>
    </row>
    <row r="181">
      <c r="A181" s="10" t="inlineStr">
        <is>
          <t>TN57BH3636</t>
        </is>
      </c>
      <c r="B181" s="10" t="inlineStr">
        <is>
          <t>SOCKS</t>
        </is>
      </c>
      <c r="C181" s="10" t="inlineStr">
        <is>
          <t>ROAD TAX</t>
        </is>
      </c>
      <c r="D181" s="10" t="inlineStr">
        <is>
          <t>ROAD TAX</t>
        </is>
      </c>
      <c r="E181" s="10" t="inlineStr">
        <is>
          <t>QUARTER - IV</t>
        </is>
      </c>
      <c r="F181" s="11" t="n">
        <v>46023</v>
      </c>
      <c r="G181" s="11" t="n">
        <v>46112</v>
      </c>
      <c r="H181" s="12">
        <f>IF(OR($F181="",$G181=""),"",$G181-$F181+1)</f>
        <v/>
      </c>
      <c r="I181" s="10">
        <f>IF($F181="","",IF(MONTH($F181)&gt;=4,YEAR($F181)&amp;"-"&amp;TEXT(YEAR($F181)+1-2000,"00"),YEAR($F181)-1&amp;"-"&amp;TEXT(YEAR($F181)-2000,"00")))</f>
        <v/>
      </c>
      <c r="J181" s="13" t="n">
        <v>23644</v>
      </c>
      <c r="K181" s="14">
        <f>IFERROR($L181/$J181,"")</f>
        <v/>
      </c>
      <c r="L181" s="13" t="n">
        <v>23644</v>
      </c>
      <c r="M181" s="13">
        <f>IFERROR($L181/$H181,"")</f>
        <v/>
      </c>
      <c r="N181" s="11" t="n">
        <v>46030</v>
      </c>
      <c r="O181" s="10">
        <f>IF($N181="","No","Yes")</f>
        <v/>
      </c>
      <c r="P181" s="12">
        <f>IF(OR($F181="",$G181=""),0,IF(AND($F181&lt;=README!$B$4,README!$B$4&lt;=$G181),1,0))</f>
        <v/>
      </c>
      <c r="Q181" s="12">
        <f>IF(OR($F181="",$G181=""),0,IF(AND($F181&lt;=DATE(README!$B$5,12,31),$G181&gt;=DATE(README!$B$5,1,1)),1,0))</f>
        <v/>
      </c>
      <c r="R181" s="10" t="inlineStr">
        <is>
          <t>GUP-VEH0014</t>
        </is>
      </c>
      <c r="S181" s="11" t="n">
        <v>45748</v>
      </c>
      <c r="T181" s="10" t="inlineStr">
        <is>
          <t>609</t>
        </is>
      </c>
      <c r="U181" s="10" t="inlineStr">
        <is>
          <t>VEHICLE</t>
        </is>
      </c>
      <c r="V181" s="10" t="inlineStr">
        <is>
          <t>T</t>
        </is>
      </c>
      <c r="W181" s="10" t="inlineStr">
        <is>
          <t>VIVEK B</t>
        </is>
      </c>
    </row>
    <row r="182">
      <c r="A182" s="10" t="inlineStr">
        <is>
          <t>TN57BH3636</t>
        </is>
      </c>
      <c r="B182" s="10" t="inlineStr">
        <is>
          <t>SOCKS</t>
        </is>
      </c>
      <c r="C182" s="10" t="inlineStr">
        <is>
          <t>ROAD TAX</t>
        </is>
      </c>
      <c r="D182" s="10" t="inlineStr">
        <is>
          <t>ROAD TAX</t>
        </is>
      </c>
      <c r="E182" s="10" t="inlineStr">
        <is>
          <t>QUARTER - I</t>
        </is>
      </c>
      <c r="F182" s="11" t="n">
        <v>46113</v>
      </c>
      <c r="G182" s="11" t="n">
        <v>46203</v>
      </c>
      <c r="H182" s="12">
        <f>IF(OR($F182="",$G182=""),"",$G182-$F182+1)</f>
        <v/>
      </c>
      <c r="I182" s="10">
        <f>IF($F182="","",IF(MONTH($F182)&gt;=4,YEAR($F182)&amp;"-"&amp;TEXT(YEAR($F182)+1-2000,"00"),YEAR($F182)-1&amp;"-"&amp;TEXT(YEAR($F182)-2000,"00")))</f>
        <v/>
      </c>
      <c r="J182" s="13" t="n">
        <v>23644</v>
      </c>
      <c r="K182" s="14">
        <f>IFERROR($L182/$J182,"")</f>
        <v/>
      </c>
      <c r="L182" s="13" t="n">
        <v>23644</v>
      </c>
      <c r="M182" s="13">
        <f>IFERROR($L182/$H182,"")</f>
        <v/>
      </c>
      <c r="N182" s="11" t="n">
        <v>46088</v>
      </c>
      <c r="O182" s="10">
        <f>IF($N182="","No","Yes")</f>
        <v/>
      </c>
      <c r="P182" s="12">
        <f>IF(OR($F182="",$G182=""),0,IF(AND($F182&lt;=README!$B$4,README!$B$4&lt;=$G182),1,0))</f>
        <v/>
      </c>
      <c r="Q182" s="12">
        <f>IF(OR($F182="",$G182=""),0,IF(AND($F182&lt;=DATE(README!$B$5,12,31),$G182&gt;=DATE(README!$B$5,1,1)),1,0))</f>
        <v/>
      </c>
      <c r="R182" s="10" t="inlineStr">
        <is>
          <t>GUP-VEH0030</t>
        </is>
      </c>
      <c r="S182" s="11" t="n">
        <v>46113</v>
      </c>
      <c r="T182" s="10" t="inlineStr">
        <is>
          <t>796</t>
        </is>
      </c>
      <c r="U182" s="10" t="inlineStr">
        <is>
          <t>VEHICLE</t>
        </is>
      </c>
      <c r="V182" s="10" t="inlineStr">
        <is>
          <t>T</t>
        </is>
      </c>
      <c r="W182" s="10" t="inlineStr">
        <is>
          <t>VIVEK B</t>
        </is>
      </c>
    </row>
    <row r="183">
      <c r="A183" s="10" t="inlineStr">
        <is>
          <t>TN57BH3636</t>
        </is>
      </c>
      <c r="B183" s="10" t="inlineStr">
        <is>
          <t>SOCKS</t>
        </is>
      </c>
      <c r="C183" s="10" t="inlineStr">
        <is>
          <t>ROAD TAX</t>
        </is>
      </c>
      <c r="D183" s="10" t="inlineStr">
        <is>
          <t>ROAD TAX</t>
        </is>
      </c>
      <c r="E183" s="10" t="inlineStr">
        <is>
          <t>QUARTER - II</t>
        </is>
      </c>
      <c r="F183" s="11" t="n">
        <v>46204</v>
      </c>
      <c r="G183" s="11" t="n">
        <v>46295</v>
      </c>
      <c r="H183" s="12">
        <f>IF(OR($F183="",$G183=""),"",$G183-$F183+1)</f>
        <v/>
      </c>
      <c r="I183" s="10">
        <f>IF($F183="","",IF(MONTH($F183)&gt;=4,YEAR($F183)&amp;"-"&amp;TEXT(YEAR($F183)+1-2000,"00"),YEAR($F183)-1&amp;"-"&amp;TEXT(YEAR($F183)-2000,"00")))</f>
        <v/>
      </c>
      <c r="J183" s="13" t="n">
        <v>23644</v>
      </c>
      <c r="K183" s="14">
        <f>IFERROR($L183/$J183,"")</f>
        <v/>
      </c>
      <c r="L183" s="13" t="n">
        <v>23644</v>
      </c>
      <c r="M183" s="13">
        <f>IFERROR($L183/$H183,"")</f>
        <v/>
      </c>
      <c r="N183" s="11" t="n">
        <v>46196</v>
      </c>
      <c r="O183" s="10">
        <f>IF($N183="","No","Yes")</f>
        <v/>
      </c>
      <c r="P183" s="12">
        <f>IF(OR($F183="",$G183=""),0,IF(AND($F183&lt;=README!$B$4,README!$B$4&lt;=$G183),1,0))</f>
        <v/>
      </c>
      <c r="Q183" s="12">
        <f>IF(OR($F183="",$G183=""),0,IF(AND($F183&lt;=DATE(README!$B$5,12,31),$G183&gt;=DATE(README!$B$5,1,1)),1,0))</f>
        <v/>
      </c>
      <c r="R183" s="10" t="inlineStr">
        <is>
          <t>GUP-VEH0030</t>
        </is>
      </c>
      <c r="S183" s="11" t="n">
        <v>46113</v>
      </c>
      <c r="T183" s="10" t="inlineStr">
        <is>
          <t>796</t>
        </is>
      </c>
      <c r="U183" s="10" t="inlineStr">
        <is>
          <t>VEHICLE</t>
        </is>
      </c>
      <c r="V183" s="10" t="inlineStr">
        <is>
          <t>T</t>
        </is>
      </c>
      <c r="W183" s="10" t="inlineStr">
        <is>
          <t>VIVEK B</t>
        </is>
      </c>
    </row>
    <row r="184">
      <c r="A184" s="10" t="inlineStr">
        <is>
          <t>TN57BL3636</t>
        </is>
      </c>
      <c r="B184" s="10" t="inlineStr">
        <is>
          <t>SOCKS</t>
        </is>
      </c>
      <c r="C184" s="10" t="inlineStr">
        <is>
          <t>ROAD TAX</t>
        </is>
      </c>
      <c r="D184" s="10" t="inlineStr">
        <is>
          <t>ROAD TAX</t>
        </is>
      </c>
      <c r="E184" s="10" t="inlineStr">
        <is>
          <t>YEARLY</t>
        </is>
      </c>
      <c r="F184" s="11" t="n">
        <v>45383</v>
      </c>
      <c r="G184" s="11" t="n">
        <v>45747</v>
      </c>
      <c r="H184" s="12">
        <f>IF(OR($F184="",$G184=""),"",$G184-$F184+1)</f>
        <v/>
      </c>
      <c r="I184" s="10">
        <f>IF($F184="","",IF(MONTH($F184)&gt;=4,YEAR($F184)&amp;"-"&amp;TEXT(YEAR($F184)+1-2000,"00"),YEAR($F184)-1&amp;"-"&amp;TEXT(YEAR($F184)-2000,"00")))</f>
        <v/>
      </c>
      <c r="J184" s="13" t="n">
        <v>21816</v>
      </c>
      <c r="K184" s="14">
        <f>IFERROR($L184/$J184,"")</f>
        <v/>
      </c>
      <c r="L184" s="13" t="n">
        <v>21816</v>
      </c>
      <c r="M184" s="13">
        <f>IFERROR($L184/$H184,"")</f>
        <v/>
      </c>
      <c r="N184" s="11" t="n">
        <v>45649</v>
      </c>
      <c r="O184" s="10">
        <f>IF($N184="","No","Yes")</f>
        <v/>
      </c>
      <c r="P184" s="12">
        <f>IF(OR($F184="",$G184=""),0,IF(AND($F184&lt;=README!$B$4,README!$B$4&lt;=$G184),1,0))</f>
        <v/>
      </c>
      <c r="Q184" s="12">
        <f>IF(OR($F184="",$G184=""),0,IF(AND($F184&lt;=DATE(README!$B$5,12,31),$G184&gt;=DATE(README!$B$5,1,1)),1,0))</f>
        <v/>
      </c>
      <c r="R184" s="10" t="inlineStr">
        <is>
          <t>GUP-VEH0011</t>
        </is>
      </c>
      <c r="S184" s="11" t="n">
        <v>45477</v>
      </c>
      <c r="T184" s="10" t="inlineStr">
        <is>
          <t>548</t>
        </is>
      </c>
      <c r="U184" s="10" t="inlineStr">
        <is>
          <t>VEHICLE</t>
        </is>
      </c>
      <c r="V184" s="10" t="inlineStr">
        <is>
          <t>T</t>
        </is>
      </c>
      <c r="W184" s="10" t="inlineStr">
        <is>
          <t>VIVEK B</t>
        </is>
      </c>
    </row>
    <row r="185">
      <c r="A185" s="10" t="inlineStr">
        <is>
          <t>TN57BL3636</t>
        </is>
      </c>
      <c r="B185" s="10" t="inlineStr">
        <is>
          <t>SOCKS</t>
        </is>
      </c>
      <c r="C185" s="10" t="inlineStr">
        <is>
          <t>ROAD TAX</t>
        </is>
      </c>
      <c r="D185" s="10" t="inlineStr">
        <is>
          <t>ROAD TAX</t>
        </is>
      </c>
      <c r="E185" s="10" t="inlineStr">
        <is>
          <t>YEARLY</t>
        </is>
      </c>
      <c r="F185" s="11" t="n">
        <v>45383</v>
      </c>
      <c r="G185" s="11" t="n">
        <v>45747</v>
      </c>
      <c r="H185" s="12">
        <f>IF(OR($F185="",$G185=""),"",$G185-$F185+1)</f>
        <v/>
      </c>
      <c r="I185" s="10">
        <f>IF($F185="","",IF(MONTH($F185)&gt;=4,YEAR($F185)&amp;"-"&amp;TEXT(YEAR($F185)+1-2000,"00"),YEAR($F185)-1&amp;"-"&amp;TEXT(YEAR($F185)-2000,"00")))</f>
        <v/>
      </c>
      <c r="J185" s="13" t="n">
        <v>21816</v>
      </c>
      <c r="K185" s="14">
        <f>IFERROR($L185/$J185,"")</f>
        <v/>
      </c>
      <c r="L185" s="13" t="n">
        <v>21816</v>
      </c>
      <c r="M185" s="13">
        <f>IFERROR($L185/$H185,"")</f>
        <v/>
      </c>
      <c r="N185" s="11" t="n">
        <v>45569</v>
      </c>
      <c r="O185" s="10">
        <f>IF($N185="","No","Yes")</f>
        <v/>
      </c>
      <c r="P185" s="12">
        <f>IF(OR($F185="",$G185=""),0,IF(AND($F185&lt;=README!$B$4,README!$B$4&lt;=$G185),1,0))</f>
        <v/>
      </c>
      <c r="Q185" s="12">
        <f>IF(OR($F185="",$G185=""),0,IF(AND($F185&lt;=DATE(README!$B$5,12,31),$G185&gt;=DATE(README!$B$5,1,1)),1,0))</f>
        <v/>
      </c>
      <c r="R185" s="10" t="inlineStr">
        <is>
          <t>GUP-VEH0011</t>
        </is>
      </c>
      <c r="S185" s="11" t="n">
        <v>45477</v>
      </c>
      <c r="T185" s="10" t="inlineStr">
        <is>
          <t>548</t>
        </is>
      </c>
      <c r="U185" s="10" t="inlineStr">
        <is>
          <t>VEHICLE</t>
        </is>
      </c>
      <c r="V185" s="10" t="inlineStr">
        <is>
          <t>T</t>
        </is>
      </c>
      <c r="W185" s="10" t="inlineStr">
        <is>
          <t>VIVEK B</t>
        </is>
      </c>
    </row>
    <row r="186">
      <c r="A186" s="10" t="inlineStr">
        <is>
          <t>TN57BL3636</t>
        </is>
      </c>
      <c r="B186" s="10" t="inlineStr">
        <is>
          <t>SOCKS</t>
        </is>
      </c>
      <c r="C186" s="10" t="inlineStr">
        <is>
          <t>ROAD TAX</t>
        </is>
      </c>
      <c r="D186" s="10" t="inlineStr">
        <is>
          <t>ROAD TAX</t>
        </is>
      </c>
      <c r="E186" s="10" t="inlineStr">
        <is>
          <t>YEARLY</t>
        </is>
      </c>
      <c r="F186" s="11" t="n">
        <v>45383</v>
      </c>
      <c r="G186" s="11" t="n">
        <v>45747</v>
      </c>
      <c r="H186" s="12">
        <f>IF(OR($F186="",$G186=""),"",$G186-$F186+1)</f>
        <v/>
      </c>
      <c r="I186" s="10">
        <f>IF($F186="","",IF(MONTH($F186)&gt;=4,YEAR($F186)&amp;"-"&amp;TEXT(YEAR($F186)+1-2000,"00"),YEAR($F186)-1&amp;"-"&amp;TEXT(YEAR($F186)-2000,"00")))</f>
        <v/>
      </c>
      <c r="J186" s="13" t="n">
        <v>21816</v>
      </c>
      <c r="K186" s="14">
        <f>IFERROR($L186/$J186,"")</f>
        <v/>
      </c>
      <c r="L186" s="13" t="n">
        <v>21816</v>
      </c>
      <c r="M186" s="13">
        <f>IFERROR($L186/$H186,"")</f>
        <v/>
      </c>
      <c r="N186" s="11" t="n">
        <v>45481</v>
      </c>
      <c r="O186" s="10">
        <f>IF($N186="","No","Yes")</f>
        <v/>
      </c>
      <c r="P186" s="12">
        <f>IF(OR($F186="",$G186=""),0,IF(AND($F186&lt;=README!$B$4,README!$B$4&lt;=$G186),1,0))</f>
        <v/>
      </c>
      <c r="Q186" s="12">
        <f>IF(OR($F186="",$G186=""),0,IF(AND($F186&lt;=DATE(README!$B$5,12,31),$G186&gt;=DATE(README!$B$5,1,1)),1,0))</f>
        <v/>
      </c>
      <c r="R186" s="10" t="inlineStr">
        <is>
          <t>GUP-VEH0011</t>
        </is>
      </c>
      <c r="S186" s="11" t="n">
        <v>45477</v>
      </c>
      <c r="T186" s="10" t="inlineStr">
        <is>
          <t>548</t>
        </is>
      </c>
      <c r="U186" s="10" t="inlineStr">
        <is>
          <t>VEHICLE</t>
        </is>
      </c>
      <c r="V186" s="10" t="inlineStr">
        <is>
          <t>T</t>
        </is>
      </c>
      <c r="W186" s="10" t="inlineStr">
        <is>
          <t>VIVEK B</t>
        </is>
      </c>
    </row>
    <row r="187">
      <c r="A187" s="10" t="inlineStr">
        <is>
          <t>TN57BL3636</t>
        </is>
      </c>
      <c r="B187" s="10" t="inlineStr">
        <is>
          <t>SOCKS</t>
        </is>
      </c>
      <c r="C187" s="10" t="inlineStr">
        <is>
          <t>TYRE</t>
        </is>
      </c>
      <c r="D187" s="10" t="inlineStr">
        <is>
          <t>TYRE</t>
        </is>
      </c>
      <c r="E187" s="10" t="inlineStr">
        <is>
          <t>YEARLY</t>
        </is>
      </c>
      <c r="F187" s="11" t="n">
        <v>45383</v>
      </c>
      <c r="G187" s="11" t="n">
        <v>45747</v>
      </c>
      <c r="H187" s="12">
        <f>IF(OR($F187="",$G187=""),"",$G187-$F187+1)</f>
        <v/>
      </c>
      <c r="I187" s="10">
        <f>IF($F187="","",IF(MONTH($F187)&gt;=4,YEAR($F187)&amp;"-"&amp;TEXT(YEAR($F187)+1-2000,"00"),YEAR($F187)-1&amp;"-"&amp;TEXT(YEAR($F187)-2000,"00")))</f>
        <v/>
      </c>
      <c r="J187" s="13" t="n">
        <v>19200</v>
      </c>
      <c r="K187" s="14">
        <f>IFERROR($L187/$J187,"")</f>
        <v/>
      </c>
      <c r="L187" s="13" t="n">
        <v>57600</v>
      </c>
      <c r="M187" s="13">
        <f>IFERROR($L187/$H187,"")</f>
        <v/>
      </c>
      <c r="N187" s="11" t="n">
        <v>45443</v>
      </c>
      <c r="O187" s="10">
        <f>IF($N187="","No","Yes")</f>
        <v/>
      </c>
      <c r="P187" s="12">
        <f>IF(OR($F187="",$G187=""),0,IF(AND($F187&lt;=README!$B$4,README!$B$4&lt;=$G187),1,0))</f>
        <v/>
      </c>
      <c r="Q187" s="12">
        <f>IF(OR($F187="",$G187=""),0,IF(AND($F187&lt;=DATE(README!$B$5,12,31),$G187&gt;=DATE(README!$B$5,1,1)),1,0))</f>
        <v/>
      </c>
      <c r="R187" s="10" t="inlineStr">
        <is>
          <t>GUP-VEH0006</t>
        </is>
      </c>
      <c r="S187" s="11" t="n">
        <v>45442</v>
      </c>
      <c r="T187" s="10" t="inlineStr">
        <is>
          <t>522</t>
        </is>
      </c>
      <c r="U187" s="10" t="inlineStr">
        <is>
          <t>VEHICLE</t>
        </is>
      </c>
      <c r="V187" s="10" t="inlineStr">
        <is>
          <t>T</t>
        </is>
      </c>
      <c r="W187" s="10" t="inlineStr">
        <is>
          <t>VIVEK B</t>
        </is>
      </c>
    </row>
    <row r="188">
      <c r="A188" s="10" t="inlineStr">
        <is>
          <t>TN57BL3636</t>
        </is>
      </c>
      <c r="B188" s="10" t="inlineStr">
        <is>
          <t>SOCKS</t>
        </is>
      </c>
      <c r="C188" s="10" t="inlineStr">
        <is>
          <t>VEHICLE INSURANCE</t>
        </is>
      </c>
      <c r="D188" s="10" t="inlineStr">
        <is>
          <t>VEHICLE INSURANCE</t>
        </is>
      </c>
      <c r="E188" s="10" t="inlineStr">
        <is>
          <t>YEARLY</t>
        </is>
      </c>
      <c r="F188" s="11" t="n">
        <v>45383</v>
      </c>
      <c r="G188" s="11" t="n">
        <v>45747</v>
      </c>
      <c r="H188" s="12">
        <f>IF(OR($F188="",$G188=""),"",$G188-$F188+1)</f>
        <v/>
      </c>
      <c r="I188" s="10">
        <f>IF($F188="","",IF(MONTH($F188)&gt;=4,YEAR($F188)&amp;"-"&amp;TEXT(YEAR($F188)+1-2000,"00"),YEAR($F188)-1&amp;"-"&amp;TEXT(YEAR($F188)-2000,"00")))</f>
        <v/>
      </c>
      <c r="J188" s="13" t="n">
        <v>57334</v>
      </c>
      <c r="K188" s="14">
        <f>IFERROR($L188/$J188,"")</f>
        <v/>
      </c>
      <c r="L188" s="13" t="n">
        <v>57334</v>
      </c>
      <c r="M188" s="13">
        <f>IFERROR($L188/$H188,"")</f>
        <v/>
      </c>
      <c r="N188" s="11" t="n">
        <v>45702</v>
      </c>
      <c r="O188" s="10">
        <f>IF($N188="","No","Yes")</f>
        <v/>
      </c>
      <c r="P188" s="12">
        <f>IF(OR($F188="",$G188=""),0,IF(AND($F188&lt;=README!$B$4,README!$B$4&lt;=$G188),1,0))</f>
        <v/>
      </c>
      <c r="Q188" s="12">
        <f>IF(OR($F188="",$G188=""),0,IF(AND($F188&lt;=DATE(README!$B$5,12,31),$G188&gt;=DATE(README!$B$5,1,1)),1,0))</f>
        <v/>
      </c>
      <c r="R188" s="10" t="inlineStr">
        <is>
          <t>GUP-VEH0013</t>
        </is>
      </c>
      <c r="S188" s="11" t="n">
        <v>45478</v>
      </c>
      <c r="T188" s="10" t="inlineStr">
        <is>
          <t>550</t>
        </is>
      </c>
      <c r="U188" s="10" t="inlineStr">
        <is>
          <t>VEHICLE</t>
        </is>
      </c>
      <c r="V188" s="10" t="inlineStr">
        <is>
          <t>T</t>
        </is>
      </c>
      <c r="W188" s="10" t="inlineStr">
        <is>
          <t>VIVEK B</t>
        </is>
      </c>
    </row>
    <row r="189">
      <c r="A189" s="10" t="inlineStr">
        <is>
          <t>TN57BL3636</t>
        </is>
      </c>
      <c r="B189" s="10" t="inlineStr">
        <is>
          <t>SOCKS</t>
        </is>
      </c>
      <c r="C189" s="10" t="inlineStr">
        <is>
          <t>FC WORK</t>
        </is>
      </c>
      <c r="D189" s="10" t="inlineStr">
        <is>
          <t>FC WORK</t>
        </is>
      </c>
      <c r="E189" s="10" t="inlineStr">
        <is>
          <t>YEARLY</t>
        </is>
      </c>
      <c r="F189" s="11" t="n">
        <v>45748</v>
      </c>
      <c r="G189" s="11" t="n">
        <v>46112</v>
      </c>
      <c r="H189" s="12">
        <f>IF(OR($F189="",$G189=""),"",$G189-$F189+1)</f>
        <v/>
      </c>
      <c r="I189" s="10">
        <f>IF($F189="","",IF(MONTH($F189)&gt;=4,YEAR($F189)&amp;"-"&amp;TEXT(YEAR($F189)+1-2000,"00"),YEAR($F189)-1&amp;"-"&amp;TEXT(YEAR($F189)-2000,"00")))</f>
        <v/>
      </c>
      <c r="J189" s="13" t="n">
        <v>136395</v>
      </c>
      <c r="K189" s="14">
        <f>IFERROR($L189/$J189,"")</f>
        <v/>
      </c>
      <c r="L189" s="13" t="n">
        <v>136395</v>
      </c>
      <c r="M189" s="13">
        <f>IFERROR($L189/$H189,"")</f>
        <v/>
      </c>
      <c r="N189" s="11" t="n">
        <v>45901</v>
      </c>
      <c r="O189" s="10">
        <f>IF($N189="","No","Yes")</f>
        <v/>
      </c>
      <c r="P189" s="12">
        <f>IF(OR($F189="",$G189=""),0,IF(AND($F189&lt;=README!$B$4,README!$B$4&lt;=$G189),1,0))</f>
        <v/>
      </c>
      <c r="Q189" s="12">
        <f>IF(OR($F189="",$G189=""),0,IF(AND($F189&lt;=DATE(README!$B$5,12,31),$G189&gt;=DATE(README!$B$5,1,1)),1,0))</f>
        <v/>
      </c>
      <c r="R189" s="10" t="inlineStr">
        <is>
          <t>GUP-VEH0021</t>
        </is>
      </c>
      <c r="S189" s="11" t="n">
        <v>45832</v>
      </c>
      <c r="T189" s="10" t="inlineStr">
        <is>
          <t>654</t>
        </is>
      </c>
      <c r="U189" s="10" t="inlineStr">
        <is>
          <t>VEHICLE</t>
        </is>
      </c>
      <c r="V189" s="10" t="inlineStr">
        <is>
          <t>T</t>
        </is>
      </c>
      <c r="W189" s="10" t="inlineStr">
        <is>
          <t>VIVEK B</t>
        </is>
      </c>
    </row>
    <row r="190">
      <c r="A190" s="10" t="inlineStr">
        <is>
          <t>TN57BL3636</t>
        </is>
      </c>
      <c r="B190" s="10" t="inlineStr">
        <is>
          <t>SOCKS</t>
        </is>
      </c>
      <c r="C190" s="10" t="inlineStr">
        <is>
          <t>ROAD TAX</t>
        </is>
      </c>
      <c r="D190" s="10" t="inlineStr">
        <is>
          <t>ROAD TAX</t>
        </is>
      </c>
      <c r="E190" s="10" t="inlineStr">
        <is>
          <t>QUARTER - I</t>
        </is>
      </c>
      <c r="F190" s="11" t="n">
        <v>45748</v>
      </c>
      <c r="G190" s="11" t="n">
        <v>45838</v>
      </c>
      <c r="H190" s="12">
        <f>IF(OR($F190="",$G190=""),"",$G190-$F190+1)</f>
        <v/>
      </c>
      <c r="I190" s="10">
        <f>IF($F190="","",IF(MONTH($F190)&gt;=4,YEAR($F190)&amp;"-"&amp;TEXT(YEAR($F190)+1-2000,"00"),YEAR($F190)-1&amp;"-"&amp;TEXT(YEAR($F190)-2000,"00")))</f>
        <v/>
      </c>
      <c r="J190" s="13" t="n">
        <v>21816</v>
      </c>
      <c r="K190" s="14">
        <f>IFERROR($L190/$J190,"")</f>
        <v/>
      </c>
      <c r="L190" s="13" t="n">
        <v>21816</v>
      </c>
      <c r="M190" s="13">
        <f>IFERROR($L190/$H190,"")</f>
        <v/>
      </c>
      <c r="N190" s="11" t="n">
        <v>46030</v>
      </c>
      <c r="O190" s="10">
        <f>IF($N190="","No","Yes")</f>
        <v/>
      </c>
      <c r="P190" s="12">
        <f>IF(OR($F190="",$G190=""),0,IF(AND($F190&lt;=README!$B$4,README!$B$4&lt;=$G190),1,0))</f>
        <v/>
      </c>
      <c r="Q190" s="12">
        <f>IF(OR($F190="",$G190=""),0,IF(AND($F190&lt;=DATE(README!$B$5,12,31),$G190&gt;=DATE(README!$B$5,1,1)),1,0))</f>
        <v/>
      </c>
      <c r="R190" s="10" t="inlineStr">
        <is>
          <t>GUP-VEH0014</t>
        </is>
      </c>
      <c r="S190" s="11" t="n">
        <v>45748</v>
      </c>
      <c r="T190" s="10" t="inlineStr">
        <is>
          <t>609</t>
        </is>
      </c>
      <c r="U190" s="10" t="inlineStr">
        <is>
          <t>VEHICLE</t>
        </is>
      </c>
      <c r="V190" s="10" t="inlineStr">
        <is>
          <t>T</t>
        </is>
      </c>
      <c r="W190" s="10" t="inlineStr">
        <is>
          <t>VIVEK B</t>
        </is>
      </c>
    </row>
    <row r="191">
      <c r="A191" s="10" t="inlineStr">
        <is>
          <t>TN57BL3636</t>
        </is>
      </c>
      <c r="B191" s="10" t="inlineStr">
        <is>
          <t>SOCKS</t>
        </is>
      </c>
      <c r="C191" s="10" t="inlineStr">
        <is>
          <t>RTO EXPENSE</t>
        </is>
      </c>
      <c r="D191" s="10" t="inlineStr">
        <is>
          <t>RTO EXPENSE</t>
        </is>
      </c>
      <c r="E191" s="10" t="inlineStr">
        <is>
          <t>YEARLY</t>
        </is>
      </c>
      <c r="F191" s="11" t="n">
        <v>45748</v>
      </c>
      <c r="G191" s="11" t="n">
        <v>46112</v>
      </c>
      <c r="H191" s="12">
        <f>IF(OR($F191="",$G191=""),"",$G191-$F191+1)</f>
        <v/>
      </c>
      <c r="I191" s="10">
        <f>IF($F191="","",IF(MONTH($F191)&gt;=4,YEAR($F191)&amp;"-"&amp;TEXT(YEAR($F191)+1-2000,"00"),YEAR($F191)-1&amp;"-"&amp;TEXT(YEAR($F191)-2000,"00")))</f>
        <v/>
      </c>
      <c r="J191" s="13" t="n">
        <v>7500</v>
      </c>
      <c r="K191" s="14">
        <f>IFERROR($L191/$J191,"")</f>
        <v/>
      </c>
      <c r="L191" s="13" t="n">
        <v>7500</v>
      </c>
      <c r="M191" s="13">
        <f>IFERROR($L191/$H191,"")</f>
        <v/>
      </c>
      <c r="N191" s="11" t="n">
        <v>45901</v>
      </c>
      <c r="O191" s="10">
        <f>IF($N191="","No","Yes")</f>
        <v/>
      </c>
      <c r="P191" s="12">
        <f>IF(OR($F191="",$G191=""),0,IF(AND($F191&lt;=README!$B$4,README!$B$4&lt;=$G191),1,0))</f>
        <v/>
      </c>
      <c r="Q191" s="12">
        <f>IF(OR($F191="",$G191=""),0,IF(AND($F191&lt;=DATE(README!$B$5,12,31),$G191&gt;=DATE(README!$B$5,1,1)),1,0))</f>
        <v/>
      </c>
      <c r="R191" s="10" t="inlineStr">
        <is>
          <t>GUP-VEH0022</t>
        </is>
      </c>
      <c r="S191" s="11" t="n">
        <v>45834</v>
      </c>
      <c r="T191" s="10" t="inlineStr">
        <is>
          <t>655</t>
        </is>
      </c>
      <c r="U191" s="10" t="inlineStr">
        <is>
          <t>VEHICLE</t>
        </is>
      </c>
      <c r="V191" s="10" t="inlineStr">
        <is>
          <t>T</t>
        </is>
      </c>
      <c r="W191" s="10" t="inlineStr">
        <is>
          <t>VIVEK B</t>
        </is>
      </c>
    </row>
    <row r="192">
      <c r="A192" s="10" t="inlineStr">
        <is>
          <t>TN57BL3636</t>
        </is>
      </c>
      <c r="B192" s="10" t="inlineStr">
        <is>
          <t>SOCKS</t>
        </is>
      </c>
      <c r="C192" s="10" t="inlineStr">
        <is>
          <t>VEHICLE INSURANCE</t>
        </is>
      </c>
      <c r="D192" s="10" t="inlineStr">
        <is>
          <t>VEHICLE INSURANCE</t>
        </is>
      </c>
      <c r="E192" s="10" t="inlineStr">
        <is>
          <t>YEARLY</t>
        </is>
      </c>
      <c r="F192" s="11" t="n">
        <v>45748</v>
      </c>
      <c r="G192" s="11" t="n">
        <v>46112</v>
      </c>
      <c r="H192" s="12">
        <f>IF(OR($F192="",$G192=""),"",$G192-$F192+1)</f>
        <v/>
      </c>
      <c r="I192" s="10">
        <f>IF($F192="","",IF(MONTH($F192)&gt;=4,YEAR($F192)&amp;"-"&amp;TEXT(YEAR($F192)+1-2000,"00"),YEAR($F192)-1&amp;"-"&amp;TEXT(YEAR($F192)-2000,"00")))</f>
        <v/>
      </c>
      <c r="J192" s="13" t="n">
        <v>56912</v>
      </c>
      <c r="K192" s="14">
        <f>IFERROR($L192/$J192,"")</f>
        <v/>
      </c>
      <c r="L192" s="13" t="n">
        <v>56912</v>
      </c>
      <c r="M192" s="13">
        <f>IFERROR($L192/$H192,"")</f>
        <v/>
      </c>
      <c r="N192" s="11" t="n">
        <v>46083</v>
      </c>
      <c r="O192" s="10">
        <f>IF($N192="","No","Yes")</f>
        <v/>
      </c>
      <c r="P192" s="12">
        <f>IF(OR($F192="",$G192=""),0,IF(AND($F192&lt;=README!$B$4,README!$B$4&lt;=$G192),1,0))</f>
        <v/>
      </c>
      <c r="Q192" s="12">
        <f>IF(OR($F192="",$G192=""),0,IF(AND($F192&lt;=DATE(README!$B$5,12,31),$G192&gt;=DATE(README!$B$5,1,1)),1,0))</f>
        <v/>
      </c>
      <c r="R192" s="10" t="inlineStr">
        <is>
          <t>GUP-VEH0020</t>
        </is>
      </c>
      <c r="S192" s="11" t="n">
        <v>45799</v>
      </c>
      <c r="T192" s="10" t="inlineStr">
        <is>
          <t>645</t>
        </is>
      </c>
      <c r="U192" s="10" t="inlineStr">
        <is>
          <t>VEHICLE</t>
        </is>
      </c>
      <c r="V192" s="10" t="inlineStr">
        <is>
          <t>T</t>
        </is>
      </c>
      <c r="W192" s="10" t="inlineStr">
        <is>
          <t>VIVEK B</t>
        </is>
      </c>
    </row>
    <row r="193">
      <c r="A193" s="10" t="inlineStr">
        <is>
          <t>TN57BL3636</t>
        </is>
      </c>
      <c r="B193" s="10" t="inlineStr">
        <is>
          <t>SOCKS</t>
        </is>
      </c>
      <c r="C193" s="10" t="inlineStr">
        <is>
          <t>ROAD TAX</t>
        </is>
      </c>
      <c r="D193" s="10" t="inlineStr">
        <is>
          <t>ROAD TAX</t>
        </is>
      </c>
      <c r="E193" s="10" t="inlineStr">
        <is>
          <t>QUARTER - II</t>
        </is>
      </c>
      <c r="F193" s="11" t="n">
        <v>45839</v>
      </c>
      <c r="G193" s="11" t="n">
        <v>45930</v>
      </c>
      <c r="H193" s="12">
        <f>IF(OR($F193="",$G193=""),"",$G193-$F193+1)</f>
        <v/>
      </c>
      <c r="I193" s="10">
        <f>IF($F193="","",IF(MONTH($F193)&gt;=4,YEAR($F193)&amp;"-"&amp;TEXT(YEAR($F193)+1-2000,"00"),YEAR($F193)-1&amp;"-"&amp;TEXT(YEAR($F193)-2000,"00")))</f>
        <v/>
      </c>
      <c r="J193" s="13" t="n">
        <v>21816</v>
      </c>
      <c r="K193" s="14">
        <f>IFERROR($L193/$J193,"")</f>
        <v/>
      </c>
      <c r="L193" s="13" t="n">
        <v>21816</v>
      </c>
      <c r="M193" s="13">
        <f>IFERROR($L193/$H193,"")</f>
        <v/>
      </c>
      <c r="N193" s="11" t="n">
        <v>46030</v>
      </c>
      <c r="O193" s="10">
        <f>IF($N193="","No","Yes")</f>
        <v/>
      </c>
      <c r="P193" s="12">
        <f>IF(OR($F193="",$G193=""),0,IF(AND($F193&lt;=README!$B$4,README!$B$4&lt;=$G193),1,0))</f>
        <v/>
      </c>
      <c r="Q193" s="12">
        <f>IF(OR($F193="",$G193=""),0,IF(AND($F193&lt;=DATE(README!$B$5,12,31),$G193&gt;=DATE(README!$B$5,1,1)),1,0))</f>
        <v/>
      </c>
      <c r="R193" s="10" t="inlineStr">
        <is>
          <t>GUP-VEH0014</t>
        </is>
      </c>
      <c r="S193" s="11" t="n">
        <v>45748</v>
      </c>
      <c r="T193" s="10" t="inlineStr">
        <is>
          <t>609</t>
        </is>
      </c>
      <c r="U193" s="10" t="inlineStr">
        <is>
          <t>VEHICLE</t>
        </is>
      </c>
      <c r="V193" s="10" t="inlineStr">
        <is>
          <t>T</t>
        </is>
      </c>
      <c r="W193" s="10" t="inlineStr">
        <is>
          <t>VIVEK B</t>
        </is>
      </c>
    </row>
    <row r="194">
      <c r="A194" s="10" t="inlineStr">
        <is>
          <t>TN57BL3636</t>
        </is>
      </c>
      <c r="B194" s="10" t="inlineStr">
        <is>
          <t>SOCKS</t>
        </is>
      </c>
      <c r="C194" s="10" t="inlineStr">
        <is>
          <t>ROAD TAX</t>
        </is>
      </c>
      <c r="D194" s="10" t="inlineStr">
        <is>
          <t>ROAD TAX</t>
        </is>
      </c>
      <c r="E194" s="10" t="inlineStr">
        <is>
          <t>QUARTER - III</t>
        </is>
      </c>
      <c r="F194" s="11" t="n">
        <v>45931</v>
      </c>
      <c r="G194" s="11" t="n">
        <v>46022</v>
      </c>
      <c r="H194" s="12">
        <f>IF(OR($F194="",$G194=""),"",$G194-$F194+1)</f>
        <v/>
      </c>
      <c r="I194" s="10">
        <f>IF($F194="","",IF(MONTH($F194)&gt;=4,YEAR($F194)&amp;"-"&amp;TEXT(YEAR($F194)+1-2000,"00"),YEAR($F194)-1&amp;"-"&amp;TEXT(YEAR($F194)-2000,"00")))</f>
        <v/>
      </c>
      <c r="J194" s="13" t="n">
        <v>21826</v>
      </c>
      <c r="K194" s="14">
        <f>IFERROR($L194/$J194,"")</f>
        <v/>
      </c>
      <c r="L194" s="13" t="n">
        <v>21826</v>
      </c>
      <c r="M194" s="13">
        <f>IFERROR($L194/$H194,"")</f>
        <v/>
      </c>
      <c r="N194" s="11" t="n">
        <v>46030</v>
      </c>
      <c r="O194" s="10">
        <f>IF($N194="","No","Yes")</f>
        <v/>
      </c>
      <c r="P194" s="12">
        <f>IF(OR($F194="",$G194=""),0,IF(AND($F194&lt;=README!$B$4,README!$B$4&lt;=$G194),1,0))</f>
        <v/>
      </c>
      <c r="Q194" s="12">
        <f>IF(OR($F194="",$G194=""),0,IF(AND($F194&lt;=DATE(README!$B$5,12,31),$G194&gt;=DATE(README!$B$5,1,1)),1,0))</f>
        <v/>
      </c>
      <c r="R194" s="10" t="inlineStr">
        <is>
          <t>GUP-VEH0014</t>
        </is>
      </c>
      <c r="S194" s="11" t="n">
        <v>45748</v>
      </c>
      <c r="T194" s="10" t="inlineStr">
        <is>
          <t>609</t>
        </is>
      </c>
      <c r="U194" s="10" t="inlineStr">
        <is>
          <t>VEHICLE</t>
        </is>
      </c>
      <c r="V194" s="10" t="inlineStr">
        <is>
          <t>T</t>
        </is>
      </c>
      <c r="W194" s="10" t="inlineStr">
        <is>
          <t>VIVEK B</t>
        </is>
      </c>
    </row>
    <row r="195">
      <c r="A195" s="10" t="inlineStr">
        <is>
          <t>TN57BL3636</t>
        </is>
      </c>
      <c r="B195" s="10" t="inlineStr">
        <is>
          <t>SOCKS</t>
        </is>
      </c>
      <c r="C195" s="10" t="inlineStr">
        <is>
          <t>ROAD TAX</t>
        </is>
      </c>
      <c r="D195" s="10" t="inlineStr">
        <is>
          <t>ROAD TAX</t>
        </is>
      </c>
      <c r="E195" s="10" t="inlineStr">
        <is>
          <t>QUARTER - IV</t>
        </is>
      </c>
      <c r="F195" s="11" t="n">
        <v>46023</v>
      </c>
      <c r="G195" s="11" t="n">
        <v>46112</v>
      </c>
      <c r="H195" s="12">
        <f>IF(OR($F195="",$G195=""),"",$G195-$F195+1)</f>
        <v/>
      </c>
      <c r="I195" s="10">
        <f>IF($F195="","",IF(MONTH($F195)&gt;=4,YEAR($F195)&amp;"-"&amp;TEXT(YEAR($F195)+1-2000,"00"),YEAR($F195)-1&amp;"-"&amp;TEXT(YEAR($F195)-2000,"00")))</f>
        <v/>
      </c>
      <c r="J195" s="13" t="n">
        <v>21826</v>
      </c>
      <c r="K195" s="14">
        <f>IFERROR($L195/$J195,"")</f>
        <v/>
      </c>
      <c r="L195" s="13" t="n">
        <v>21826</v>
      </c>
      <c r="M195" s="13">
        <f>IFERROR($L195/$H195,"")</f>
        <v/>
      </c>
      <c r="N195" s="11" t="n">
        <v>46030</v>
      </c>
      <c r="O195" s="10">
        <f>IF($N195="","No","Yes")</f>
        <v/>
      </c>
      <c r="P195" s="12">
        <f>IF(OR($F195="",$G195=""),0,IF(AND($F195&lt;=README!$B$4,README!$B$4&lt;=$G195),1,0))</f>
        <v/>
      </c>
      <c r="Q195" s="12">
        <f>IF(OR($F195="",$G195=""),0,IF(AND($F195&lt;=DATE(README!$B$5,12,31),$G195&gt;=DATE(README!$B$5,1,1)),1,0))</f>
        <v/>
      </c>
      <c r="R195" s="10" t="inlineStr">
        <is>
          <t>GUP-VEH0014</t>
        </is>
      </c>
      <c r="S195" s="11" t="n">
        <v>45748</v>
      </c>
      <c r="T195" s="10" t="inlineStr">
        <is>
          <t>609</t>
        </is>
      </c>
      <c r="U195" s="10" t="inlineStr">
        <is>
          <t>VEHICLE</t>
        </is>
      </c>
      <c r="V195" s="10" t="inlineStr">
        <is>
          <t>T</t>
        </is>
      </c>
      <c r="W195" s="10" t="inlineStr">
        <is>
          <t>VIVEK B</t>
        </is>
      </c>
    </row>
    <row r="196">
      <c r="A196" s="10" t="inlineStr">
        <is>
          <t>TN57BL3636</t>
        </is>
      </c>
      <c r="B196" s="10" t="inlineStr">
        <is>
          <t>SOCKS</t>
        </is>
      </c>
      <c r="C196" s="10" t="inlineStr">
        <is>
          <t>TYRE</t>
        </is>
      </c>
      <c r="D196" s="10" t="inlineStr">
        <is>
          <t>TYRE</t>
        </is>
      </c>
      <c r="E196" s="10" t="inlineStr">
        <is>
          <t>FEBRUARY</t>
        </is>
      </c>
      <c r="F196" s="11" t="n">
        <v>46054</v>
      </c>
      <c r="G196" s="11" t="n">
        <v>46081</v>
      </c>
      <c r="H196" s="12">
        <f>IF(OR($F196="",$G196=""),"",$G196-$F196+1)</f>
        <v/>
      </c>
      <c r="I196" s="10">
        <f>IF($F196="","",IF(MONTH($F196)&gt;=4,YEAR($F196)&amp;"-"&amp;TEXT(YEAR($F196)+1-2000,"00"),YEAR($F196)-1&amp;"-"&amp;TEXT(YEAR($F196)-2000,"00")))</f>
        <v/>
      </c>
      <c r="J196" s="13" t="n">
        <v>19200</v>
      </c>
      <c r="K196" s="14">
        <f>IFERROR($L196/$J196,"")</f>
        <v/>
      </c>
      <c r="L196" s="13" t="n">
        <v>19200</v>
      </c>
      <c r="M196" s="13">
        <f>IFERROR($L196/$H196,"")</f>
        <v/>
      </c>
      <c r="N196" s="11" t="n">
        <v>46072</v>
      </c>
      <c r="O196" s="10">
        <f>IF($N196="","No","Yes")</f>
        <v/>
      </c>
      <c r="P196" s="12">
        <f>IF(OR($F196="",$G196=""),0,IF(AND($F196&lt;=README!$B$4,README!$B$4&lt;=$G196),1,0))</f>
        <v/>
      </c>
      <c r="Q196" s="12">
        <f>IF(OR($F196="",$G196=""),0,IF(AND($F196&lt;=DATE(README!$B$5,12,31),$G196&gt;=DATE(README!$B$5,1,1)),1,0))</f>
        <v/>
      </c>
      <c r="R196" s="10" t="inlineStr">
        <is>
          <t>GUP-VEH0025</t>
        </is>
      </c>
      <c r="S196" s="11" t="n">
        <v>45957</v>
      </c>
      <c r="T196" s="10" t="inlineStr">
        <is>
          <t>726</t>
        </is>
      </c>
      <c r="U196" s="10" t="inlineStr">
        <is>
          <t>VEHICLE</t>
        </is>
      </c>
      <c r="V196" s="10" t="inlineStr">
        <is>
          <t>T</t>
        </is>
      </c>
      <c r="W196" s="10" t="inlineStr">
        <is>
          <t>VIVEK B</t>
        </is>
      </c>
    </row>
    <row r="197">
      <c r="A197" s="10" t="inlineStr">
        <is>
          <t>TN57BL3636</t>
        </is>
      </c>
      <c r="B197" s="10" t="inlineStr">
        <is>
          <t>SOCKS</t>
        </is>
      </c>
      <c r="C197" s="10" t="inlineStr">
        <is>
          <t>ROAD TAX</t>
        </is>
      </c>
      <c r="D197" s="10" t="inlineStr">
        <is>
          <t>ROAD TAX</t>
        </is>
      </c>
      <c r="E197" s="10" t="inlineStr">
        <is>
          <t>QUARTER - I</t>
        </is>
      </c>
      <c r="F197" s="11" t="n">
        <v>46113</v>
      </c>
      <c r="G197" s="11" t="n">
        <v>46203</v>
      </c>
      <c r="H197" s="12">
        <f>IF(OR($F197="",$G197=""),"",$G197-$F197+1)</f>
        <v/>
      </c>
      <c r="I197" s="10">
        <f>IF($F197="","",IF(MONTH($F197)&gt;=4,YEAR($F197)&amp;"-"&amp;TEXT(YEAR($F197)+1-2000,"00"),YEAR($F197)-1&amp;"-"&amp;TEXT(YEAR($F197)-2000,"00")))</f>
        <v/>
      </c>
      <c r="J197" s="13" t="n">
        <v>21826</v>
      </c>
      <c r="K197" s="14">
        <f>IFERROR($L197/$J197,"")</f>
        <v/>
      </c>
      <c r="L197" s="13" t="n">
        <v>21826</v>
      </c>
      <c r="M197" s="13">
        <f>IFERROR($L197/$H197,"")</f>
        <v/>
      </c>
      <c r="N197" s="11" t="n">
        <v>46088</v>
      </c>
      <c r="O197" s="10">
        <f>IF($N197="","No","Yes")</f>
        <v/>
      </c>
      <c r="P197" s="12">
        <f>IF(OR($F197="",$G197=""),0,IF(AND($F197&lt;=README!$B$4,README!$B$4&lt;=$G197),1,0))</f>
        <v/>
      </c>
      <c r="Q197" s="12">
        <f>IF(OR($F197="",$G197=""),0,IF(AND($F197&lt;=DATE(README!$B$5,12,31),$G197&gt;=DATE(README!$B$5,1,1)),1,0))</f>
        <v/>
      </c>
      <c r="R197" s="10" t="inlineStr">
        <is>
          <t>GUP-VEH0030</t>
        </is>
      </c>
      <c r="S197" s="11" t="n">
        <v>46113</v>
      </c>
      <c r="T197" s="10" t="inlineStr">
        <is>
          <t>796</t>
        </is>
      </c>
      <c r="U197" s="10" t="inlineStr">
        <is>
          <t>VEHICLE</t>
        </is>
      </c>
      <c r="V197" s="10" t="inlineStr">
        <is>
          <t>T</t>
        </is>
      </c>
      <c r="W197" s="10" t="inlineStr">
        <is>
          <t>VIVEK B</t>
        </is>
      </c>
    </row>
    <row r="198">
      <c r="A198" s="10" t="inlineStr">
        <is>
          <t>TN57BL3636</t>
        </is>
      </c>
      <c r="B198" s="10" t="inlineStr">
        <is>
          <t>SOCKS</t>
        </is>
      </c>
      <c r="C198" s="10" t="inlineStr">
        <is>
          <t>ROAD TAX</t>
        </is>
      </c>
      <c r="D198" s="10" t="inlineStr">
        <is>
          <t>ROAD TAX</t>
        </is>
      </c>
      <c r="E198" s="10" t="inlineStr">
        <is>
          <t>QUARTER - II</t>
        </is>
      </c>
      <c r="F198" s="11" t="n">
        <v>46204</v>
      </c>
      <c r="G198" s="11" t="n">
        <v>46295</v>
      </c>
      <c r="H198" s="12">
        <f>IF(OR($F198="",$G198=""),"",$G198-$F198+1)</f>
        <v/>
      </c>
      <c r="I198" s="10">
        <f>IF($F198="","",IF(MONTH($F198)&gt;=4,YEAR($F198)&amp;"-"&amp;TEXT(YEAR($F198)+1-2000,"00"),YEAR($F198)-1&amp;"-"&amp;TEXT(YEAR($F198)-2000,"00")))</f>
        <v/>
      </c>
      <c r="J198" s="13" t="n">
        <v>21826</v>
      </c>
      <c r="K198" s="14">
        <f>IFERROR($L198/$J198,"")</f>
        <v/>
      </c>
      <c r="L198" s="13" t="n">
        <v>21826</v>
      </c>
      <c r="M198" s="13">
        <f>IFERROR($L198/$H198,"")</f>
        <v/>
      </c>
      <c r="N198" s="11" t="n">
        <v>46196</v>
      </c>
      <c r="O198" s="10">
        <f>IF($N198="","No","Yes")</f>
        <v/>
      </c>
      <c r="P198" s="12">
        <f>IF(OR($F198="",$G198=""),0,IF(AND($F198&lt;=README!$B$4,README!$B$4&lt;=$G198),1,0))</f>
        <v/>
      </c>
      <c r="Q198" s="12">
        <f>IF(OR($F198="",$G198=""),0,IF(AND($F198&lt;=DATE(README!$B$5,12,31),$G198&gt;=DATE(README!$B$5,1,1)),1,0))</f>
        <v/>
      </c>
      <c r="R198" s="10" t="inlineStr">
        <is>
          <t>GUP-VEH0030</t>
        </is>
      </c>
      <c r="S198" s="11" t="n">
        <v>46113</v>
      </c>
      <c r="T198" s="10" t="inlineStr">
        <is>
          <t>796</t>
        </is>
      </c>
      <c r="U198" s="10" t="inlineStr">
        <is>
          <t>VEHICLE</t>
        </is>
      </c>
      <c r="V198" s="10" t="inlineStr">
        <is>
          <t>T</t>
        </is>
      </c>
      <c r="W198" s="10" t="inlineStr">
        <is>
          <t>VIVEK B</t>
        </is>
      </c>
    </row>
    <row r="199">
      <c r="A199" s="10" t="inlineStr">
        <is>
          <t>TN57BM3636</t>
        </is>
      </c>
      <c r="B199" s="10" t="inlineStr">
        <is>
          <t>SOCKS</t>
        </is>
      </c>
      <c r="C199" s="10" t="inlineStr">
        <is>
          <t>ROAD TAX</t>
        </is>
      </c>
      <c r="D199" s="10" t="inlineStr">
        <is>
          <t>ROAD TAX</t>
        </is>
      </c>
      <c r="E199" s="10" t="inlineStr">
        <is>
          <t>YEARLY</t>
        </is>
      </c>
      <c r="F199" s="11" t="n">
        <v>45383</v>
      </c>
      <c r="G199" s="11" t="n">
        <v>45747</v>
      </c>
      <c r="H199" s="12">
        <f>IF(OR($F199="",$G199=""),"",$G199-$F199+1)</f>
        <v/>
      </c>
      <c r="I199" s="10">
        <f>IF($F199="","",IF(MONTH($F199)&gt;=4,YEAR($F199)&amp;"-"&amp;TEXT(YEAR($F199)+1-2000,"00"),YEAR($F199)-1&amp;"-"&amp;TEXT(YEAR($F199)-2000,"00")))</f>
        <v/>
      </c>
      <c r="J199" s="13" t="n">
        <v>21816</v>
      </c>
      <c r="K199" s="14">
        <f>IFERROR($L199/$J199,"")</f>
        <v/>
      </c>
      <c r="L199" s="13" t="n">
        <v>21816</v>
      </c>
      <c r="M199" s="13">
        <f>IFERROR($L199/$H199,"")</f>
        <v/>
      </c>
      <c r="N199" s="11" t="n">
        <v>45649</v>
      </c>
      <c r="O199" s="10">
        <f>IF($N199="","No","Yes")</f>
        <v/>
      </c>
      <c r="P199" s="12">
        <f>IF(OR($F199="",$G199=""),0,IF(AND($F199&lt;=README!$B$4,README!$B$4&lt;=$G199),1,0))</f>
        <v/>
      </c>
      <c r="Q199" s="12">
        <f>IF(OR($F199="",$G199=""),0,IF(AND($F199&lt;=DATE(README!$B$5,12,31),$G199&gt;=DATE(README!$B$5,1,1)),1,0))</f>
        <v/>
      </c>
      <c r="R199" s="10" t="inlineStr">
        <is>
          <t>GUP-VEH0011</t>
        </is>
      </c>
      <c r="S199" s="11" t="n">
        <v>45477</v>
      </c>
      <c r="T199" s="10" t="inlineStr">
        <is>
          <t>548</t>
        </is>
      </c>
      <c r="U199" s="10" t="inlineStr">
        <is>
          <t>VEHICLE</t>
        </is>
      </c>
      <c r="V199" s="10" t="inlineStr">
        <is>
          <t>T</t>
        </is>
      </c>
      <c r="W199" s="10" t="inlineStr">
        <is>
          <t>VIVEK B</t>
        </is>
      </c>
    </row>
    <row r="200">
      <c r="A200" s="10" t="inlineStr">
        <is>
          <t>TN57BM3636</t>
        </is>
      </c>
      <c r="B200" s="10" t="inlineStr">
        <is>
          <t>SOCKS</t>
        </is>
      </c>
      <c r="C200" s="10" t="inlineStr">
        <is>
          <t>ROAD TAX</t>
        </is>
      </c>
      <c r="D200" s="10" t="inlineStr">
        <is>
          <t>ROAD TAX</t>
        </is>
      </c>
      <c r="E200" s="10" t="inlineStr">
        <is>
          <t>YEARLY</t>
        </is>
      </c>
      <c r="F200" s="11" t="n">
        <v>45383</v>
      </c>
      <c r="G200" s="11" t="n">
        <v>45747</v>
      </c>
      <c r="H200" s="12">
        <f>IF(OR($F200="",$G200=""),"",$G200-$F200+1)</f>
        <v/>
      </c>
      <c r="I200" s="10">
        <f>IF($F200="","",IF(MONTH($F200)&gt;=4,YEAR($F200)&amp;"-"&amp;TEXT(YEAR($F200)+1-2000,"00"),YEAR($F200)-1&amp;"-"&amp;TEXT(YEAR($F200)-2000,"00")))</f>
        <v/>
      </c>
      <c r="J200" s="13" t="n">
        <v>21816</v>
      </c>
      <c r="K200" s="14">
        <f>IFERROR($L200/$J200,"")</f>
        <v/>
      </c>
      <c r="L200" s="13" t="n">
        <v>21816</v>
      </c>
      <c r="M200" s="13">
        <f>IFERROR($L200/$H200,"")</f>
        <v/>
      </c>
      <c r="N200" s="11" t="n">
        <v>45569</v>
      </c>
      <c r="O200" s="10">
        <f>IF($N200="","No","Yes")</f>
        <v/>
      </c>
      <c r="P200" s="12">
        <f>IF(OR($F200="",$G200=""),0,IF(AND($F200&lt;=README!$B$4,README!$B$4&lt;=$G200),1,0))</f>
        <v/>
      </c>
      <c r="Q200" s="12">
        <f>IF(OR($F200="",$G200=""),0,IF(AND($F200&lt;=DATE(README!$B$5,12,31),$G200&gt;=DATE(README!$B$5,1,1)),1,0))</f>
        <v/>
      </c>
      <c r="R200" s="10" t="inlineStr">
        <is>
          <t>GUP-VEH0011</t>
        </is>
      </c>
      <c r="S200" s="11" t="n">
        <v>45477</v>
      </c>
      <c r="T200" s="10" t="inlineStr">
        <is>
          <t>548</t>
        </is>
      </c>
      <c r="U200" s="10" t="inlineStr">
        <is>
          <t>VEHICLE</t>
        </is>
      </c>
      <c r="V200" s="10" t="inlineStr">
        <is>
          <t>T</t>
        </is>
      </c>
      <c r="W200" s="10" t="inlineStr">
        <is>
          <t>VIVEK B</t>
        </is>
      </c>
    </row>
    <row r="201">
      <c r="A201" s="10" t="inlineStr">
        <is>
          <t>TN57BM3636</t>
        </is>
      </c>
      <c r="B201" s="10" t="inlineStr">
        <is>
          <t>SOCKS</t>
        </is>
      </c>
      <c r="C201" s="10" t="inlineStr">
        <is>
          <t>ROAD TAX</t>
        </is>
      </c>
      <c r="D201" s="10" t="inlineStr">
        <is>
          <t>ROAD TAX</t>
        </is>
      </c>
      <c r="E201" s="10" t="inlineStr">
        <is>
          <t>YEARLY</t>
        </is>
      </c>
      <c r="F201" s="11" t="n">
        <v>45383</v>
      </c>
      <c r="G201" s="11" t="n">
        <v>45747</v>
      </c>
      <c r="H201" s="12">
        <f>IF(OR($F201="",$G201=""),"",$G201-$F201+1)</f>
        <v/>
      </c>
      <c r="I201" s="10">
        <f>IF($F201="","",IF(MONTH($F201)&gt;=4,YEAR($F201)&amp;"-"&amp;TEXT(YEAR($F201)+1-2000,"00"),YEAR($F201)-1&amp;"-"&amp;TEXT(YEAR($F201)-2000,"00")))</f>
        <v/>
      </c>
      <c r="J201" s="13" t="n">
        <v>21816</v>
      </c>
      <c r="K201" s="14">
        <f>IFERROR($L201/$J201,"")</f>
        <v/>
      </c>
      <c r="L201" s="13" t="n">
        <v>21816</v>
      </c>
      <c r="M201" s="13">
        <f>IFERROR($L201/$H201,"")</f>
        <v/>
      </c>
      <c r="N201" s="11" t="n">
        <v>45481</v>
      </c>
      <c r="O201" s="10">
        <f>IF($N201="","No","Yes")</f>
        <v/>
      </c>
      <c r="P201" s="12">
        <f>IF(OR($F201="",$G201=""),0,IF(AND($F201&lt;=README!$B$4,README!$B$4&lt;=$G201),1,0))</f>
        <v/>
      </c>
      <c r="Q201" s="12">
        <f>IF(OR($F201="",$G201=""),0,IF(AND($F201&lt;=DATE(README!$B$5,12,31),$G201&gt;=DATE(README!$B$5,1,1)),1,0))</f>
        <v/>
      </c>
      <c r="R201" s="10" t="inlineStr">
        <is>
          <t>GUP-VEH0011</t>
        </is>
      </c>
      <c r="S201" s="11" t="n">
        <v>45477</v>
      </c>
      <c r="T201" s="10" t="inlineStr">
        <is>
          <t>548</t>
        </is>
      </c>
      <c r="U201" s="10" t="inlineStr">
        <is>
          <t>VEHICLE</t>
        </is>
      </c>
      <c r="V201" s="10" t="inlineStr">
        <is>
          <t>T</t>
        </is>
      </c>
      <c r="W201" s="10" t="inlineStr">
        <is>
          <t>VIVEK B</t>
        </is>
      </c>
    </row>
    <row r="202">
      <c r="A202" s="10" t="inlineStr">
        <is>
          <t>TN57BM3636</t>
        </is>
      </c>
      <c r="B202" s="10" t="inlineStr">
        <is>
          <t>SOCKS</t>
        </is>
      </c>
      <c r="C202" s="10" t="inlineStr">
        <is>
          <t>TYRE</t>
        </is>
      </c>
      <c r="D202" s="10" t="inlineStr">
        <is>
          <t>TYRE</t>
        </is>
      </c>
      <c r="E202" s="10" t="inlineStr">
        <is>
          <t>YEARLY</t>
        </is>
      </c>
      <c r="F202" s="11" t="n">
        <v>45383</v>
      </c>
      <c r="G202" s="11" t="n">
        <v>45747</v>
      </c>
      <c r="H202" s="12">
        <f>IF(OR($F202="",$G202=""),"",$G202-$F202+1)</f>
        <v/>
      </c>
      <c r="I202" s="10">
        <f>IF($F202="","",IF(MONTH($F202)&gt;=4,YEAR($F202)&amp;"-"&amp;TEXT(YEAR($F202)+1-2000,"00"),YEAR($F202)-1&amp;"-"&amp;TEXT(YEAR($F202)-2000,"00")))</f>
        <v/>
      </c>
      <c r="J202" s="13" t="n">
        <v>19200</v>
      </c>
      <c r="K202" s="14">
        <f>IFERROR($L202/$J202,"")</f>
        <v/>
      </c>
      <c r="L202" s="13" t="n">
        <v>57600</v>
      </c>
      <c r="M202" s="13">
        <f>IFERROR($L202/$H202,"")</f>
        <v/>
      </c>
      <c r="N202" s="11" t="n">
        <v>45443</v>
      </c>
      <c r="O202" s="10">
        <f>IF($N202="","No","Yes")</f>
        <v/>
      </c>
      <c r="P202" s="12">
        <f>IF(OR($F202="",$G202=""),0,IF(AND($F202&lt;=README!$B$4,README!$B$4&lt;=$G202),1,0))</f>
        <v/>
      </c>
      <c r="Q202" s="12">
        <f>IF(OR($F202="",$G202=""),0,IF(AND($F202&lt;=DATE(README!$B$5,12,31),$G202&gt;=DATE(README!$B$5,1,1)),1,0))</f>
        <v/>
      </c>
      <c r="R202" s="10" t="inlineStr">
        <is>
          <t>GUP-VEH0006</t>
        </is>
      </c>
      <c r="S202" s="11" t="n">
        <v>45442</v>
      </c>
      <c r="T202" s="10" t="inlineStr">
        <is>
          <t>522</t>
        </is>
      </c>
      <c r="U202" s="10" t="inlineStr">
        <is>
          <t>VEHICLE</t>
        </is>
      </c>
      <c r="V202" s="10" t="inlineStr">
        <is>
          <t>T</t>
        </is>
      </c>
      <c r="W202" s="10" t="inlineStr">
        <is>
          <t>VIVEK B</t>
        </is>
      </c>
    </row>
    <row r="203">
      <c r="A203" s="10" t="inlineStr">
        <is>
          <t>TN57BM3636</t>
        </is>
      </c>
      <c r="B203" s="10" t="inlineStr">
        <is>
          <t>SOCKS</t>
        </is>
      </c>
      <c r="C203" s="10" t="inlineStr">
        <is>
          <t>VEHICLE INSURANCE</t>
        </is>
      </c>
      <c r="D203" s="10" t="inlineStr">
        <is>
          <t>VEHICLE INSURANCE</t>
        </is>
      </c>
      <c r="E203" s="10" t="inlineStr">
        <is>
          <t>YEARLY</t>
        </is>
      </c>
      <c r="F203" s="11" t="n">
        <v>45383</v>
      </c>
      <c r="G203" s="11" t="n">
        <v>45747</v>
      </c>
      <c r="H203" s="12">
        <f>IF(OR($F203="",$G203=""),"",$G203-$F203+1)</f>
        <v/>
      </c>
      <c r="I203" s="10">
        <f>IF($F203="","",IF(MONTH($F203)&gt;=4,YEAR($F203)&amp;"-"&amp;TEXT(YEAR($F203)+1-2000,"00"),YEAR($F203)-1&amp;"-"&amp;TEXT(YEAR($F203)-2000,"00")))</f>
        <v/>
      </c>
      <c r="J203" s="13" t="n">
        <v>57334</v>
      </c>
      <c r="K203" s="14">
        <f>IFERROR($L203/$J203,"")</f>
        <v/>
      </c>
      <c r="L203" s="13" t="n">
        <v>57334</v>
      </c>
      <c r="M203" s="13">
        <f>IFERROR($L203/$H203,"")</f>
        <v/>
      </c>
      <c r="N203" s="11" t="n">
        <v>45702</v>
      </c>
      <c r="O203" s="10">
        <f>IF($N203="","No","Yes")</f>
        <v/>
      </c>
      <c r="P203" s="12">
        <f>IF(OR($F203="",$G203=""),0,IF(AND($F203&lt;=README!$B$4,README!$B$4&lt;=$G203),1,0))</f>
        <v/>
      </c>
      <c r="Q203" s="12">
        <f>IF(OR($F203="",$G203=""),0,IF(AND($F203&lt;=DATE(README!$B$5,12,31),$G203&gt;=DATE(README!$B$5,1,1)),1,0))</f>
        <v/>
      </c>
      <c r="R203" s="10" t="inlineStr">
        <is>
          <t>GUP-VEH0013</t>
        </is>
      </c>
      <c r="S203" s="11" t="n">
        <v>45478</v>
      </c>
      <c r="T203" s="10" t="inlineStr">
        <is>
          <t>550</t>
        </is>
      </c>
      <c r="U203" s="10" t="inlineStr">
        <is>
          <t>VEHICLE</t>
        </is>
      </c>
      <c r="V203" s="10" t="inlineStr">
        <is>
          <t>T</t>
        </is>
      </c>
      <c r="W203" s="10" t="inlineStr">
        <is>
          <t>VIVEK B</t>
        </is>
      </c>
    </row>
    <row r="204">
      <c r="A204" s="10" t="inlineStr">
        <is>
          <t>TN57BM3636</t>
        </is>
      </c>
      <c r="B204" s="10" t="inlineStr">
        <is>
          <t>SOCKS</t>
        </is>
      </c>
      <c r="C204" s="10" t="inlineStr">
        <is>
          <t>VEHICLE OUTSIDE SERVICES</t>
        </is>
      </c>
      <c r="D204" s="10" t="inlineStr">
        <is>
          <t xml:space="preserve">MAINTENANCE SERVICE </t>
        </is>
      </c>
      <c r="E204" s="10" t="inlineStr">
        <is>
          <t>YEARLY</t>
        </is>
      </c>
      <c r="F204" s="11" t="n">
        <v>45383</v>
      </c>
      <c r="G204" s="11" t="n">
        <v>45747</v>
      </c>
      <c r="H204" s="12">
        <f>IF(OR($F204="",$G204=""),"",$G204-$F204+1)</f>
        <v/>
      </c>
      <c r="I204" s="10">
        <f>IF($F204="","",IF(MONTH($F204)&gt;=4,YEAR($F204)&amp;"-"&amp;TEXT(YEAR($F204)+1-2000,"00"),YEAR($F204)-1&amp;"-"&amp;TEXT(YEAR($F204)-2000,"00")))</f>
        <v/>
      </c>
      <c r="J204" s="13" t="n">
        <v>3910</v>
      </c>
      <c r="K204" s="14">
        <f>IFERROR($L204/$J204,"")</f>
        <v/>
      </c>
      <c r="L204" s="13" t="n">
        <v>3910</v>
      </c>
      <c r="M204" s="13">
        <f>IFERROR($L204/$H204,"")</f>
        <v/>
      </c>
      <c r="N204" s="11" t="n">
        <v>45630</v>
      </c>
      <c r="O204" s="10">
        <f>IF($N204="","No","Yes")</f>
        <v/>
      </c>
      <c r="P204" s="12">
        <f>IF(OR($F204="",$G204=""),0,IF(AND($F204&lt;=README!$B$4,README!$B$4&lt;=$G204),1,0))</f>
        <v/>
      </c>
      <c r="Q204" s="12">
        <f>IF(OR($F204="",$G204=""),0,IF(AND($F204&lt;=DATE(README!$B$5,12,31),$G204&gt;=DATE(README!$B$5,1,1)),1,0))</f>
        <v/>
      </c>
      <c r="R204" s="10" t="inlineStr">
        <is>
          <t>GUP-VEH0012</t>
        </is>
      </c>
      <c r="S204" s="11" t="n">
        <v>45477</v>
      </c>
      <c r="T204" s="10" t="inlineStr">
        <is>
          <t>549</t>
        </is>
      </c>
      <c r="U204" s="10" t="inlineStr">
        <is>
          <t>VEHICLE</t>
        </is>
      </c>
      <c r="V204" s="10" t="inlineStr">
        <is>
          <t>T</t>
        </is>
      </c>
      <c r="W204" s="10" t="inlineStr">
        <is>
          <t>VIVEK B</t>
        </is>
      </c>
    </row>
    <row r="205">
      <c r="A205" s="10" t="inlineStr">
        <is>
          <t>TN57BM3636</t>
        </is>
      </c>
      <c r="B205" s="10" t="inlineStr">
        <is>
          <t>SOCKS</t>
        </is>
      </c>
      <c r="C205" s="10" t="inlineStr">
        <is>
          <t>FC WORK</t>
        </is>
      </c>
      <c r="D205" s="10" t="inlineStr">
        <is>
          <t>FC WORK</t>
        </is>
      </c>
      <c r="E205" s="10" t="inlineStr">
        <is>
          <t>YEARLY</t>
        </is>
      </c>
      <c r="F205" s="11" t="n">
        <v>45748</v>
      </c>
      <c r="G205" s="11" t="n">
        <v>46112</v>
      </c>
      <c r="H205" s="12">
        <f>IF(OR($F205="",$G205=""),"",$G205-$F205+1)</f>
        <v/>
      </c>
      <c r="I205" s="10">
        <f>IF($F205="","",IF(MONTH($F205)&gt;=4,YEAR($F205)&amp;"-"&amp;TEXT(YEAR($F205)+1-2000,"00"),YEAR($F205)-1&amp;"-"&amp;TEXT(YEAR($F205)-2000,"00")))</f>
        <v/>
      </c>
      <c r="J205" s="13" t="n">
        <v>126085</v>
      </c>
      <c r="K205" s="14">
        <f>IFERROR($L205/$J205,"")</f>
        <v/>
      </c>
      <c r="L205" s="13" t="n">
        <v>126085</v>
      </c>
      <c r="M205" s="13">
        <f>IFERROR($L205/$H205,"")</f>
        <v/>
      </c>
      <c r="N205" s="11" t="n">
        <v>45911</v>
      </c>
      <c r="O205" s="10">
        <f>IF($N205="","No","Yes")</f>
        <v/>
      </c>
      <c r="P205" s="12">
        <f>IF(OR($F205="",$G205=""),0,IF(AND($F205&lt;=README!$B$4,README!$B$4&lt;=$G205),1,0))</f>
        <v/>
      </c>
      <c r="Q205" s="12">
        <f>IF(OR($F205="",$G205=""),0,IF(AND($F205&lt;=DATE(README!$B$5,12,31),$G205&gt;=DATE(README!$B$5,1,1)),1,0))</f>
        <v/>
      </c>
      <c r="R205" s="10" t="inlineStr">
        <is>
          <t>GUP-VEH0021</t>
        </is>
      </c>
      <c r="S205" s="11" t="n">
        <v>45832</v>
      </c>
      <c r="T205" s="10" t="inlineStr">
        <is>
          <t>654</t>
        </is>
      </c>
      <c r="U205" s="10" t="inlineStr">
        <is>
          <t>VEHICLE</t>
        </is>
      </c>
      <c r="V205" s="10" t="inlineStr">
        <is>
          <t>T</t>
        </is>
      </c>
      <c r="W205" s="10" t="inlineStr">
        <is>
          <t>VIVEK B</t>
        </is>
      </c>
    </row>
    <row r="206">
      <c r="A206" s="10" t="inlineStr">
        <is>
          <t>TN57BM3636</t>
        </is>
      </c>
      <c r="B206" s="10" t="inlineStr">
        <is>
          <t>SOCKS</t>
        </is>
      </c>
      <c r="C206" s="10" t="inlineStr">
        <is>
          <t>ROAD TAX</t>
        </is>
      </c>
      <c r="D206" s="10" t="inlineStr">
        <is>
          <t>ROAD TAX</t>
        </is>
      </c>
      <c r="E206" s="10" t="inlineStr">
        <is>
          <t>QUARTER - I</t>
        </is>
      </c>
      <c r="F206" s="11" t="n">
        <v>45748</v>
      </c>
      <c r="G206" s="11" t="n">
        <v>45838</v>
      </c>
      <c r="H206" s="12">
        <f>IF(OR($F206="",$G206=""),"",$G206-$F206+1)</f>
        <v/>
      </c>
      <c r="I206" s="10">
        <f>IF($F206="","",IF(MONTH($F206)&gt;=4,YEAR($F206)&amp;"-"&amp;TEXT(YEAR($F206)+1-2000,"00"),YEAR($F206)-1&amp;"-"&amp;TEXT(YEAR($F206)-2000,"00")))</f>
        <v/>
      </c>
      <c r="J206" s="13" t="n">
        <v>21816</v>
      </c>
      <c r="K206" s="14">
        <f>IFERROR($L206/$J206,"")</f>
        <v/>
      </c>
      <c r="L206" s="13" t="n">
        <v>21816</v>
      </c>
      <c r="M206" s="13">
        <f>IFERROR($L206/$H206,"")</f>
        <v/>
      </c>
      <c r="N206" s="11" t="n">
        <v>46030</v>
      </c>
      <c r="O206" s="10">
        <f>IF($N206="","No","Yes")</f>
        <v/>
      </c>
      <c r="P206" s="12">
        <f>IF(OR($F206="",$G206=""),0,IF(AND($F206&lt;=README!$B$4,README!$B$4&lt;=$G206),1,0))</f>
        <v/>
      </c>
      <c r="Q206" s="12">
        <f>IF(OR($F206="",$G206=""),0,IF(AND($F206&lt;=DATE(README!$B$5,12,31),$G206&gt;=DATE(README!$B$5,1,1)),1,0))</f>
        <v/>
      </c>
      <c r="R206" s="10" t="inlineStr">
        <is>
          <t>GUP-VEH0014</t>
        </is>
      </c>
      <c r="S206" s="11" t="n">
        <v>45748</v>
      </c>
      <c r="T206" s="10" t="inlineStr">
        <is>
          <t>609</t>
        </is>
      </c>
      <c r="U206" s="10" t="inlineStr">
        <is>
          <t>VEHICLE</t>
        </is>
      </c>
      <c r="V206" s="10" t="inlineStr">
        <is>
          <t>T</t>
        </is>
      </c>
      <c r="W206" s="10" t="inlineStr">
        <is>
          <t>VIVEK B</t>
        </is>
      </c>
    </row>
    <row r="207">
      <c r="A207" s="10" t="inlineStr">
        <is>
          <t>TN57BM3636</t>
        </is>
      </c>
      <c r="B207" s="10" t="inlineStr">
        <is>
          <t>SOCKS</t>
        </is>
      </c>
      <c r="C207" s="10" t="inlineStr">
        <is>
          <t>RTO EXPENSE</t>
        </is>
      </c>
      <c r="D207" s="10" t="inlineStr">
        <is>
          <t>RTO EXPENSE</t>
        </is>
      </c>
      <c r="E207" s="10" t="inlineStr">
        <is>
          <t>YEARLY</t>
        </is>
      </c>
      <c r="F207" s="11" t="n">
        <v>45748</v>
      </c>
      <c r="G207" s="11" t="n">
        <v>46112</v>
      </c>
      <c r="H207" s="12">
        <f>IF(OR($F207="",$G207=""),"",$G207-$F207+1)</f>
        <v/>
      </c>
      <c r="I207" s="10">
        <f>IF($F207="","",IF(MONTH($F207)&gt;=4,YEAR($F207)&amp;"-"&amp;TEXT(YEAR($F207)+1-2000,"00"),YEAR($F207)-1&amp;"-"&amp;TEXT(YEAR($F207)-2000,"00")))</f>
        <v/>
      </c>
      <c r="J207" s="13" t="n">
        <v>7500</v>
      </c>
      <c r="K207" s="14">
        <f>IFERROR($L207/$J207,"")</f>
        <v/>
      </c>
      <c r="L207" s="13" t="n">
        <v>7500</v>
      </c>
      <c r="M207" s="13">
        <f>IFERROR($L207/$H207,"")</f>
        <v/>
      </c>
      <c r="N207" s="11" t="n">
        <v>45901</v>
      </c>
      <c r="O207" s="10">
        <f>IF($N207="","No","Yes")</f>
        <v/>
      </c>
      <c r="P207" s="12">
        <f>IF(OR($F207="",$G207=""),0,IF(AND($F207&lt;=README!$B$4,README!$B$4&lt;=$G207),1,0))</f>
        <v/>
      </c>
      <c r="Q207" s="12">
        <f>IF(OR($F207="",$G207=""),0,IF(AND($F207&lt;=DATE(README!$B$5,12,31),$G207&gt;=DATE(README!$B$5,1,1)),1,0))</f>
        <v/>
      </c>
      <c r="R207" s="10" t="inlineStr">
        <is>
          <t>GUP-VEH0022</t>
        </is>
      </c>
      <c r="S207" s="11" t="n">
        <v>45834</v>
      </c>
      <c r="T207" s="10" t="inlineStr">
        <is>
          <t>655</t>
        </is>
      </c>
      <c r="U207" s="10" t="inlineStr">
        <is>
          <t>VEHICLE</t>
        </is>
      </c>
      <c r="V207" s="10" t="inlineStr">
        <is>
          <t>T</t>
        </is>
      </c>
      <c r="W207" s="10" t="inlineStr">
        <is>
          <t>VIVEK B</t>
        </is>
      </c>
    </row>
    <row r="208">
      <c r="A208" s="10" t="inlineStr">
        <is>
          <t>TN57BM3636</t>
        </is>
      </c>
      <c r="B208" s="10" t="inlineStr">
        <is>
          <t>SOCKS</t>
        </is>
      </c>
      <c r="C208" s="10" t="inlineStr">
        <is>
          <t>VEHICLE INSURANCE</t>
        </is>
      </c>
      <c r="D208" s="10" t="inlineStr">
        <is>
          <t>VEHICLE INSURANCE</t>
        </is>
      </c>
      <c r="E208" s="10" t="inlineStr">
        <is>
          <t>YEARLY</t>
        </is>
      </c>
      <c r="F208" s="11" t="n">
        <v>45748</v>
      </c>
      <c r="G208" s="11" t="n">
        <v>46112</v>
      </c>
      <c r="H208" s="12">
        <f>IF(OR($F208="",$G208=""),"",$G208-$F208+1)</f>
        <v/>
      </c>
      <c r="I208" s="10">
        <f>IF($F208="","",IF(MONTH($F208)&gt;=4,YEAR($F208)&amp;"-"&amp;TEXT(YEAR($F208)+1-2000,"00"),YEAR($F208)-1&amp;"-"&amp;TEXT(YEAR($F208)-2000,"00")))</f>
        <v/>
      </c>
      <c r="J208" s="13" t="n">
        <v>56912</v>
      </c>
      <c r="K208" s="14">
        <f>IFERROR($L208/$J208,"")</f>
        <v/>
      </c>
      <c r="L208" s="13" t="n">
        <v>56912</v>
      </c>
      <c r="M208" s="13">
        <f>IFERROR($L208/$H208,"")</f>
        <v/>
      </c>
      <c r="N208" s="11" t="n">
        <v>46083</v>
      </c>
      <c r="O208" s="10">
        <f>IF($N208="","No","Yes")</f>
        <v/>
      </c>
      <c r="P208" s="12">
        <f>IF(OR($F208="",$G208=""),0,IF(AND($F208&lt;=README!$B$4,README!$B$4&lt;=$G208),1,0))</f>
        <v/>
      </c>
      <c r="Q208" s="12">
        <f>IF(OR($F208="",$G208=""),0,IF(AND($F208&lt;=DATE(README!$B$5,12,31),$G208&gt;=DATE(README!$B$5,1,1)),1,0))</f>
        <v/>
      </c>
      <c r="R208" s="10" t="inlineStr">
        <is>
          <t>GUP-VEH0020</t>
        </is>
      </c>
      <c r="S208" s="11" t="n">
        <v>45799</v>
      </c>
      <c r="T208" s="10" t="inlineStr">
        <is>
          <t>645</t>
        </is>
      </c>
      <c r="U208" s="10" t="inlineStr">
        <is>
          <t>VEHICLE</t>
        </is>
      </c>
      <c r="V208" s="10" t="inlineStr">
        <is>
          <t>T</t>
        </is>
      </c>
      <c r="W208" s="10" t="inlineStr">
        <is>
          <t>VIVEK B</t>
        </is>
      </c>
    </row>
    <row r="209">
      <c r="A209" s="10" t="inlineStr">
        <is>
          <t>TN57BM3636</t>
        </is>
      </c>
      <c r="B209" s="10" t="inlineStr">
        <is>
          <t>SOCKS</t>
        </is>
      </c>
      <c r="C209" s="10" t="inlineStr">
        <is>
          <t>ROAD TAX</t>
        </is>
      </c>
      <c r="D209" s="10" t="inlineStr">
        <is>
          <t>ROAD TAX</t>
        </is>
      </c>
      <c r="E209" s="10" t="inlineStr">
        <is>
          <t>QUARTER - II</t>
        </is>
      </c>
      <c r="F209" s="11" t="n">
        <v>45839</v>
      </c>
      <c r="G209" s="11" t="n">
        <v>45930</v>
      </c>
      <c r="H209" s="12">
        <f>IF(OR($F209="",$G209=""),"",$G209-$F209+1)</f>
        <v/>
      </c>
      <c r="I209" s="10">
        <f>IF($F209="","",IF(MONTH($F209)&gt;=4,YEAR($F209)&amp;"-"&amp;TEXT(YEAR($F209)+1-2000,"00"),YEAR($F209)-1&amp;"-"&amp;TEXT(YEAR($F209)-2000,"00")))</f>
        <v/>
      </c>
      <c r="J209" s="13" t="n">
        <v>21816</v>
      </c>
      <c r="K209" s="14">
        <f>IFERROR($L209/$J209,"")</f>
        <v/>
      </c>
      <c r="L209" s="13" t="n">
        <v>21816</v>
      </c>
      <c r="M209" s="13">
        <f>IFERROR($L209/$H209,"")</f>
        <v/>
      </c>
      <c r="N209" s="11" t="n">
        <v>46030</v>
      </c>
      <c r="O209" s="10">
        <f>IF($N209="","No","Yes")</f>
        <v/>
      </c>
      <c r="P209" s="12">
        <f>IF(OR($F209="",$G209=""),0,IF(AND($F209&lt;=README!$B$4,README!$B$4&lt;=$G209),1,0))</f>
        <v/>
      </c>
      <c r="Q209" s="12">
        <f>IF(OR($F209="",$G209=""),0,IF(AND($F209&lt;=DATE(README!$B$5,12,31),$G209&gt;=DATE(README!$B$5,1,1)),1,0))</f>
        <v/>
      </c>
      <c r="R209" s="10" t="inlineStr">
        <is>
          <t>GUP-VEH0014</t>
        </is>
      </c>
      <c r="S209" s="11" t="n">
        <v>45748</v>
      </c>
      <c r="T209" s="10" t="inlineStr">
        <is>
          <t>609</t>
        </is>
      </c>
      <c r="U209" s="10" t="inlineStr">
        <is>
          <t>VEHICLE</t>
        </is>
      </c>
      <c r="V209" s="10" t="inlineStr">
        <is>
          <t>T</t>
        </is>
      </c>
      <c r="W209" s="10" t="inlineStr">
        <is>
          <t>VIVEK B</t>
        </is>
      </c>
    </row>
    <row r="210">
      <c r="A210" s="10" t="inlineStr">
        <is>
          <t>TN57BM3636</t>
        </is>
      </c>
      <c r="B210" s="10" t="inlineStr">
        <is>
          <t>SOCKS</t>
        </is>
      </c>
      <c r="C210" s="10" t="inlineStr">
        <is>
          <t>ROAD TAX</t>
        </is>
      </c>
      <c r="D210" s="10" t="inlineStr">
        <is>
          <t>ROAD TAX</t>
        </is>
      </c>
      <c r="E210" s="10" t="inlineStr">
        <is>
          <t>QUARTER - III</t>
        </is>
      </c>
      <c r="F210" s="11" t="n">
        <v>45931</v>
      </c>
      <c r="G210" s="11" t="n">
        <v>46022</v>
      </c>
      <c r="H210" s="12">
        <f>IF(OR($F210="",$G210=""),"",$G210-$F210+1)</f>
        <v/>
      </c>
      <c r="I210" s="10">
        <f>IF($F210="","",IF(MONTH($F210)&gt;=4,YEAR($F210)&amp;"-"&amp;TEXT(YEAR($F210)+1-2000,"00"),YEAR($F210)-1&amp;"-"&amp;TEXT(YEAR($F210)-2000,"00")))</f>
        <v/>
      </c>
      <c r="J210" s="13" t="n">
        <v>21826</v>
      </c>
      <c r="K210" s="14">
        <f>IFERROR($L210/$J210,"")</f>
        <v/>
      </c>
      <c r="L210" s="13" t="n">
        <v>21826</v>
      </c>
      <c r="M210" s="13">
        <f>IFERROR($L210/$H210,"")</f>
        <v/>
      </c>
      <c r="N210" s="11" t="n">
        <v>46030</v>
      </c>
      <c r="O210" s="10">
        <f>IF($N210="","No","Yes")</f>
        <v/>
      </c>
      <c r="P210" s="12">
        <f>IF(OR($F210="",$G210=""),0,IF(AND($F210&lt;=README!$B$4,README!$B$4&lt;=$G210),1,0))</f>
        <v/>
      </c>
      <c r="Q210" s="12">
        <f>IF(OR($F210="",$G210=""),0,IF(AND($F210&lt;=DATE(README!$B$5,12,31),$G210&gt;=DATE(README!$B$5,1,1)),1,0))</f>
        <v/>
      </c>
      <c r="R210" s="10" t="inlineStr">
        <is>
          <t>GUP-VEH0014</t>
        </is>
      </c>
      <c r="S210" s="11" t="n">
        <v>45748</v>
      </c>
      <c r="T210" s="10" t="inlineStr">
        <is>
          <t>609</t>
        </is>
      </c>
      <c r="U210" s="10" t="inlineStr">
        <is>
          <t>VEHICLE</t>
        </is>
      </c>
      <c r="V210" s="10" t="inlineStr">
        <is>
          <t>T</t>
        </is>
      </c>
      <c r="W210" s="10" t="inlineStr">
        <is>
          <t>VIVEK B</t>
        </is>
      </c>
    </row>
    <row r="211">
      <c r="A211" s="10" t="inlineStr">
        <is>
          <t>TN57BM3636</t>
        </is>
      </c>
      <c r="B211" s="10" t="inlineStr">
        <is>
          <t>SOCKS</t>
        </is>
      </c>
      <c r="C211" s="10" t="inlineStr">
        <is>
          <t>ROAD TAX</t>
        </is>
      </c>
      <c r="D211" s="10" t="inlineStr">
        <is>
          <t>ROAD TAX</t>
        </is>
      </c>
      <c r="E211" s="10" t="inlineStr">
        <is>
          <t>QUARTER - IV</t>
        </is>
      </c>
      <c r="F211" s="11" t="n">
        <v>46023</v>
      </c>
      <c r="G211" s="11" t="n">
        <v>46112</v>
      </c>
      <c r="H211" s="12">
        <f>IF(OR($F211="",$G211=""),"",$G211-$F211+1)</f>
        <v/>
      </c>
      <c r="I211" s="10">
        <f>IF($F211="","",IF(MONTH($F211)&gt;=4,YEAR($F211)&amp;"-"&amp;TEXT(YEAR($F211)+1-2000,"00"),YEAR($F211)-1&amp;"-"&amp;TEXT(YEAR($F211)-2000,"00")))</f>
        <v/>
      </c>
      <c r="J211" s="13" t="n">
        <v>21826</v>
      </c>
      <c r="K211" s="14">
        <f>IFERROR($L211/$J211,"")</f>
        <v/>
      </c>
      <c r="L211" s="13" t="n">
        <v>21826</v>
      </c>
      <c r="M211" s="13">
        <f>IFERROR($L211/$H211,"")</f>
        <v/>
      </c>
      <c r="N211" s="11" t="n">
        <v>46030</v>
      </c>
      <c r="O211" s="10">
        <f>IF($N211="","No","Yes")</f>
        <v/>
      </c>
      <c r="P211" s="12">
        <f>IF(OR($F211="",$G211=""),0,IF(AND($F211&lt;=README!$B$4,README!$B$4&lt;=$G211),1,0))</f>
        <v/>
      </c>
      <c r="Q211" s="12">
        <f>IF(OR($F211="",$G211=""),0,IF(AND($F211&lt;=DATE(README!$B$5,12,31),$G211&gt;=DATE(README!$B$5,1,1)),1,0))</f>
        <v/>
      </c>
      <c r="R211" s="10" t="inlineStr">
        <is>
          <t>GUP-VEH0014</t>
        </is>
      </c>
      <c r="S211" s="11" t="n">
        <v>45748</v>
      </c>
      <c r="T211" s="10" t="inlineStr">
        <is>
          <t>609</t>
        </is>
      </c>
      <c r="U211" s="10" t="inlineStr">
        <is>
          <t>VEHICLE</t>
        </is>
      </c>
      <c r="V211" s="10" t="inlineStr">
        <is>
          <t>T</t>
        </is>
      </c>
      <c r="W211" s="10" t="inlineStr">
        <is>
          <t>VIVEK B</t>
        </is>
      </c>
    </row>
    <row r="212">
      <c r="A212" s="10" t="inlineStr">
        <is>
          <t>TN57BM3636</t>
        </is>
      </c>
      <c r="B212" s="10" t="inlineStr">
        <is>
          <t>GENERAL</t>
        </is>
      </c>
      <c r="C212" s="10" t="inlineStr">
        <is>
          <t>VEHICLE OUTSIDE SERVICES</t>
        </is>
      </c>
      <c r="D212" s="10" t="inlineStr">
        <is>
          <t>NOZZLE WORK</t>
        </is>
      </c>
      <c r="E212" s="10" t="inlineStr">
        <is>
          <t>FEBRUARY</t>
        </is>
      </c>
      <c r="F212" s="11" t="n">
        <v>46054</v>
      </c>
      <c r="G212" s="11" t="n">
        <v>46081</v>
      </c>
      <c r="H212" s="12">
        <f>IF(OR($F212="",$G212=""),"",$G212-$F212+1)</f>
        <v/>
      </c>
      <c r="I212" s="10">
        <f>IF($F212="","",IF(MONTH($F212)&gt;=4,YEAR($F212)&amp;"-"&amp;TEXT(YEAR($F212)+1-2000,"00"),YEAR($F212)-1&amp;"-"&amp;TEXT(YEAR($F212)-2000,"00")))</f>
        <v/>
      </c>
      <c r="J212" s="13" t="n">
        <v>8176</v>
      </c>
      <c r="K212" s="14">
        <f>IFERROR($L212/$J212,"")</f>
        <v/>
      </c>
      <c r="L212" s="13" t="n">
        <v>8176</v>
      </c>
      <c r="M212" s="13">
        <f>IFERROR($L212/$H212,"")</f>
        <v/>
      </c>
      <c r="N212" s="11" t="n">
        <v>46072</v>
      </c>
      <c r="O212" s="10">
        <f>IF($N212="","No","Yes")</f>
        <v/>
      </c>
      <c r="P212" s="12">
        <f>IF(OR($F212="",$G212=""),0,IF(AND($F212&lt;=README!$B$4,README!$B$4&lt;=$G212),1,0))</f>
        <v/>
      </c>
      <c r="Q212" s="12">
        <f>IF(OR($F212="",$G212=""),0,IF(AND($F212&lt;=DATE(README!$B$5,12,31),$G212&gt;=DATE(README!$B$5,1,1)),1,0))</f>
        <v/>
      </c>
      <c r="R212" s="10" t="inlineStr">
        <is>
          <t>GUP-VEH0019</t>
        </is>
      </c>
      <c r="S212" s="11" t="n">
        <v>45777</v>
      </c>
      <c r="T212" s="10" t="inlineStr">
        <is>
          <t>638</t>
        </is>
      </c>
      <c r="U212" s="10" t="inlineStr">
        <is>
          <t>VEHICLE</t>
        </is>
      </c>
      <c r="V212" s="10" t="inlineStr">
        <is>
          <t>T</t>
        </is>
      </c>
      <c r="W212" s="10" t="inlineStr">
        <is>
          <t>VIVEK B</t>
        </is>
      </c>
    </row>
    <row r="213">
      <c r="A213" s="10" t="inlineStr">
        <is>
          <t>TN57BM3636</t>
        </is>
      </c>
      <c r="B213" s="10" t="inlineStr">
        <is>
          <t>SOCKS</t>
        </is>
      </c>
      <c r="C213" s="10" t="inlineStr">
        <is>
          <t>ROAD TAX</t>
        </is>
      </c>
      <c r="D213" s="10" t="inlineStr">
        <is>
          <t>ROAD TAX</t>
        </is>
      </c>
      <c r="E213" s="10" t="inlineStr">
        <is>
          <t>QUARTER - I</t>
        </is>
      </c>
      <c r="F213" s="11" t="n">
        <v>46113</v>
      </c>
      <c r="G213" s="11" t="n">
        <v>46203</v>
      </c>
      <c r="H213" s="12">
        <f>IF(OR($F213="",$G213=""),"",$G213-$F213+1)</f>
        <v/>
      </c>
      <c r="I213" s="10">
        <f>IF($F213="","",IF(MONTH($F213)&gt;=4,YEAR($F213)&amp;"-"&amp;TEXT(YEAR($F213)+1-2000,"00"),YEAR($F213)-1&amp;"-"&amp;TEXT(YEAR($F213)-2000,"00")))</f>
        <v/>
      </c>
      <c r="J213" s="13" t="n">
        <v>21826</v>
      </c>
      <c r="K213" s="14">
        <f>IFERROR($L213/$J213,"")</f>
        <v/>
      </c>
      <c r="L213" s="13" t="n">
        <v>21826</v>
      </c>
      <c r="M213" s="13">
        <f>IFERROR($L213/$H213,"")</f>
        <v/>
      </c>
      <c r="N213" s="11" t="n">
        <v>46088</v>
      </c>
      <c r="O213" s="10">
        <f>IF($N213="","No","Yes")</f>
        <v/>
      </c>
      <c r="P213" s="12">
        <f>IF(OR($F213="",$G213=""),0,IF(AND($F213&lt;=README!$B$4,README!$B$4&lt;=$G213),1,0))</f>
        <v/>
      </c>
      <c r="Q213" s="12">
        <f>IF(OR($F213="",$G213=""),0,IF(AND($F213&lt;=DATE(README!$B$5,12,31),$G213&gt;=DATE(README!$B$5,1,1)),1,0))</f>
        <v/>
      </c>
      <c r="R213" s="10" t="inlineStr">
        <is>
          <t>GUP-VEH0030</t>
        </is>
      </c>
      <c r="S213" s="11" t="n">
        <v>46113</v>
      </c>
      <c r="T213" s="10" t="inlineStr">
        <is>
          <t>796</t>
        </is>
      </c>
      <c r="U213" s="10" t="inlineStr">
        <is>
          <t>VEHICLE</t>
        </is>
      </c>
      <c r="V213" s="10" t="inlineStr">
        <is>
          <t>T</t>
        </is>
      </c>
      <c r="W213" s="10" t="inlineStr">
        <is>
          <t>VIVEK B</t>
        </is>
      </c>
    </row>
    <row r="214">
      <c r="A214" s="10" t="inlineStr">
        <is>
          <t>TN57BM3636</t>
        </is>
      </c>
      <c r="B214" s="10" t="inlineStr">
        <is>
          <t>SOCKS</t>
        </is>
      </c>
      <c r="C214" s="10" t="inlineStr">
        <is>
          <t>VEHICLE OUTSIDE SERVICES</t>
        </is>
      </c>
      <c r="D214" s="10" t="inlineStr">
        <is>
          <t xml:space="preserve">MAINTENANCE SERVICE </t>
        </is>
      </c>
      <c r="E214" s="10" t="inlineStr">
        <is>
          <t>APRIL</t>
        </is>
      </c>
      <c r="F214" s="11" t="n">
        <v>46113</v>
      </c>
      <c r="G214" s="11" t="n">
        <v>46142</v>
      </c>
      <c r="H214" s="12">
        <f>IF(OR($F214="",$G214=""),"",$G214-$F214+1)</f>
        <v/>
      </c>
      <c r="I214" s="10">
        <f>IF($F214="","",IF(MONTH($F214)&gt;=4,YEAR($F214)&amp;"-"&amp;TEXT(YEAR($F214)+1-2000,"00"),YEAR($F214)-1&amp;"-"&amp;TEXT(YEAR($F214)-2000,"00")))</f>
        <v/>
      </c>
      <c r="J214" s="13" t="n">
        <v>38025</v>
      </c>
      <c r="K214" s="14">
        <f>IFERROR($L214/$J214,"")</f>
        <v/>
      </c>
      <c r="L214" s="13" t="n">
        <v>38025</v>
      </c>
      <c r="M214" s="13">
        <f>IFERROR($L214/$H214,"")</f>
        <v/>
      </c>
      <c r="N214" s="11" t="n">
        <v>46121</v>
      </c>
      <c r="O214" s="10">
        <f>IF($N214="","No","Yes")</f>
        <v/>
      </c>
      <c r="P214" s="12">
        <f>IF(OR($F214="",$G214=""),0,IF(AND($F214&lt;=README!$B$4,README!$B$4&lt;=$G214),1,0))</f>
        <v/>
      </c>
      <c r="Q214" s="12">
        <f>IF(OR($F214="",$G214=""),0,IF(AND($F214&lt;=DATE(README!$B$5,12,31),$G214&gt;=DATE(README!$B$5,1,1)),1,0))</f>
        <v/>
      </c>
      <c r="R214" s="10" t="inlineStr">
        <is>
          <t>GUP-VEH0031</t>
        </is>
      </c>
      <c r="S214" s="11" t="n">
        <v>46114</v>
      </c>
      <c r="T214" s="10" t="inlineStr">
        <is>
          <t>810</t>
        </is>
      </c>
      <c r="U214" s="10" t="inlineStr">
        <is>
          <t>VEHICLE</t>
        </is>
      </c>
      <c r="V214" s="10" t="inlineStr">
        <is>
          <t>T</t>
        </is>
      </c>
      <c r="W214" s="10" t="inlineStr">
        <is>
          <t>VIVEK B</t>
        </is>
      </c>
    </row>
    <row r="215">
      <c r="A215" s="10" t="inlineStr">
        <is>
          <t>TN57BM3636</t>
        </is>
      </c>
      <c r="B215" s="10" t="inlineStr">
        <is>
          <t>SOCKS</t>
        </is>
      </c>
      <c r="C215" s="10" t="inlineStr">
        <is>
          <t>VEHICLE OUTSIDE SERVICES</t>
        </is>
      </c>
      <c r="D215" s="10" t="inlineStr">
        <is>
          <t>MAINTENANCE SERVICE - 2</t>
        </is>
      </c>
      <c r="E215" s="10" t="inlineStr">
        <is>
          <t>MAY</t>
        </is>
      </c>
      <c r="F215" s="11" t="n">
        <v>46143</v>
      </c>
      <c r="G215" s="11" t="n">
        <v>46173</v>
      </c>
      <c r="H215" s="12">
        <f>IF(OR($F215="",$G215=""),"",$G215-$F215+1)</f>
        <v/>
      </c>
      <c r="I215" s="10">
        <f>IF($F215="","",IF(MONTH($F215)&gt;=4,YEAR($F215)&amp;"-"&amp;TEXT(YEAR($F215)+1-2000,"00"),YEAR($F215)-1&amp;"-"&amp;TEXT(YEAR($F215)-2000,"00")))</f>
        <v/>
      </c>
      <c r="J215" s="13" t="n">
        <v>40280</v>
      </c>
      <c r="K215" s="14">
        <f>IFERROR($L215/$J215,"")</f>
        <v/>
      </c>
      <c r="L215" s="13" t="n">
        <v>40280</v>
      </c>
      <c r="M215" s="13">
        <f>IFERROR($L215/$H215,"")</f>
        <v/>
      </c>
      <c r="N215" s="11" t="n">
        <v>46156</v>
      </c>
      <c r="O215" s="10">
        <f>IF($N215="","No","Yes")</f>
        <v/>
      </c>
      <c r="P215" s="12">
        <f>IF(OR($F215="",$G215=""),0,IF(AND($F215&lt;=README!$B$4,README!$B$4&lt;=$G215),1,0))</f>
        <v/>
      </c>
      <c r="Q215" s="12">
        <f>IF(OR($F215="",$G215=""),0,IF(AND($F215&lt;=DATE(README!$B$5,12,31),$G215&gt;=DATE(README!$B$5,1,1)),1,0))</f>
        <v/>
      </c>
      <c r="R215" s="10" t="inlineStr">
        <is>
          <t>GUP-VEH0031</t>
        </is>
      </c>
      <c r="S215" s="11" t="n">
        <v>46114</v>
      </c>
      <c r="T215" s="10" t="inlineStr">
        <is>
          <t>810</t>
        </is>
      </c>
      <c r="U215" s="10" t="inlineStr">
        <is>
          <t>VEHICLE</t>
        </is>
      </c>
      <c r="V215" s="10" t="inlineStr">
        <is>
          <t>T</t>
        </is>
      </c>
      <c r="W215" s="10" t="inlineStr">
        <is>
          <t>VIVEK B</t>
        </is>
      </c>
    </row>
    <row r="216">
      <c r="A216" s="10" t="inlineStr">
        <is>
          <t>TN57BM3636</t>
        </is>
      </c>
      <c r="B216" s="10" t="inlineStr">
        <is>
          <t>SOCKS</t>
        </is>
      </c>
      <c r="C216" s="10" t="inlineStr">
        <is>
          <t>ROAD TAX</t>
        </is>
      </c>
      <c r="D216" s="10" t="inlineStr">
        <is>
          <t>ROAD TAX</t>
        </is>
      </c>
      <c r="E216" s="10" t="inlineStr">
        <is>
          <t>QUARTER - II</t>
        </is>
      </c>
      <c r="F216" s="11" t="n">
        <v>46204</v>
      </c>
      <c r="G216" s="11" t="n">
        <v>46295</v>
      </c>
      <c r="H216" s="12">
        <f>IF(OR($F216="",$G216=""),"",$G216-$F216+1)</f>
        <v/>
      </c>
      <c r="I216" s="10">
        <f>IF($F216="","",IF(MONTH($F216)&gt;=4,YEAR($F216)&amp;"-"&amp;TEXT(YEAR($F216)+1-2000,"00"),YEAR($F216)-1&amp;"-"&amp;TEXT(YEAR($F216)-2000,"00")))</f>
        <v/>
      </c>
      <c r="J216" s="13" t="n">
        <v>21826</v>
      </c>
      <c r="K216" s="14">
        <f>IFERROR($L216/$J216,"")</f>
        <v/>
      </c>
      <c r="L216" s="13" t="n">
        <v>21826</v>
      </c>
      <c r="M216" s="13">
        <f>IFERROR($L216/$H216,"")</f>
        <v/>
      </c>
      <c r="N216" s="11" t="n">
        <v>46196</v>
      </c>
      <c r="O216" s="10">
        <f>IF($N216="","No","Yes")</f>
        <v/>
      </c>
      <c r="P216" s="12">
        <f>IF(OR($F216="",$G216=""),0,IF(AND($F216&lt;=README!$B$4,README!$B$4&lt;=$G216),1,0))</f>
        <v/>
      </c>
      <c r="Q216" s="12">
        <f>IF(OR($F216="",$G216=""),0,IF(AND($F216&lt;=DATE(README!$B$5,12,31),$G216&gt;=DATE(README!$B$5,1,1)),1,0))</f>
        <v/>
      </c>
      <c r="R216" s="10" t="inlineStr">
        <is>
          <t>GUP-VEH0030</t>
        </is>
      </c>
      <c r="S216" s="11" t="n">
        <v>46113</v>
      </c>
      <c r="T216" s="10" t="inlineStr">
        <is>
          <t>796</t>
        </is>
      </c>
      <c r="U216" s="10" t="inlineStr">
        <is>
          <t>VEHICLE</t>
        </is>
      </c>
      <c r="V216" s="10" t="inlineStr">
        <is>
          <t>T</t>
        </is>
      </c>
      <c r="W216" s="10" t="inlineStr">
        <is>
          <t>VIVEK B</t>
        </is>
      </c>
    </row>
    <row r="217">
      <c r="A217" s="10" t="inlineStr">
        <is>
          <t>TN57BP3434</t>
        </is>
      </c>
      <c r="B217" s="10" t="inlineStr">
        <is>
          <t>SOCKS</t>
        </is>
      </c>
      <c r="C217" s="10" t="inlineStr">
        <is>
          <t>ADBLU</t>
        </is>
      </c>
      <c r="D217" s="10" t="inlineStr">
        <is>
          <t>ADBLU</t>
        </is>
      </c>
      <c r="E217" s="10" t="inlineStr">
        <is>
          <t>YEARLY</t>
        </is>
      </c>
      <c r="F217" s="11" t="n">
        <v>45383</v>
      </c>
      <c r="G217" s="11" t="n">
        <v>45747</v>
      </c>
      <c r="H217" s="12">
        <f>IF(OR($F217="",$G217=""),"",$G217-$F217+1)</f>
        <v/>
      </c>
      <c r="I217" s="10">
        <f>IF($F217="","",IF(MONTH($F217)&gt;=4,YEAR($F217)&amp;"-"&amp;TEXT(YEAR($F217)+1-2000,"00"),YEAR($F217)-1&amp;"-"&amp;TEXT(YEAR($F217)-2000,"00")))</f>
        <v/>
      </c>
      <c r="J217" s="13" t="n">
        <v>61</v>
      </c>
      <c r="K217" s="14">
        <f>IFERROR($L217/$J217,"")</f>
        <v/>
      </c>
      <c r="L217" s="13" t="n">
        <v>2745</v>
      </c>
      <c r="M217" s="13">
        <f>IFERROR($L217/$H217,"")</f>
        <v/>
      </c>
      <c r="N217" s="11" t="n">
        <v>45479</v>
      </c>
      <c r="O217" s="10">
        <f>IF($N217="","No","Yes")</f>
        <v/>
      </c>
      <c r="P217" s="12">
        <f>IF(OR($F217="",$G217=""),0,IF(AND($F217&lt;=README!$B$4,README!$B$4&lt;=$G217),1,0))</f>
        <v/>
      </c>
      <c r="Q217" s="12">
        <f>IF(OR($F217="",$G217=""),0,IF(AND($F217&lt;=DATE(README!$B$5,12,31),$G217&gt;=DATE(README!$B$5,1,1)),1,0))</f>
        <v/>
      </c>
      <c r="R217" s="10" t="inlineStr">
        <is>
          <t>GUP-VEH0008</t>
        </is>
      </c>
      <c r="S217" s="11" t="n">
        <v>45461</v>
      </c>
      <c r="T217" s="10" t="inlineStr">
        <is>
          <t>541</t>
        </is>
      </c>
      <c r="U217" s="10" t="inlineStr">
        <is>
          <t>VEHICLE</t>
        </is>
      </c>
      <c r="V217" s="10" t="inlineStr">
        <is>
          <t>T</t>
        </is>
      </c>
      <c r="W217" s="10" t="inlineStr">
        <is>
          <t>VIVEK B</t>
        </is>
      </c>
    </row>
    <row r="218">
      <c r="A218" s="10" t="inlineStr">
        <is>
          <t>TN57BP3434</t>
        </is>
      </c>
      <c r="B218" s="10" t="inlineStr">
        <is>
          <t>SOCKS</t>
        </is>
      </c>
      <c r="C218" s="10" t="inlineStr">
        <is>
          <t>ADBLU</t>
        </is>
      </c>
      <c r="D218" s="10" t="inlineStr">
        <is>
          <t>ADBLU</t>
        </is>
      </c>
      <c r="E218" s="10" t="inlineStr">
        <is>
          <t>YEARLY</t>
        </is>
      </c>
      <c r="F218" s="11" t="n">
        <v>45383</v>
      </c>
      <c r="G218" s="11" t="n">
        <v>45747</v>
      </c>
      <c r="H218" s="12">
        <f>IF(OR($F218="",$G218=""),"",$G218-$F218+1)</f>
        <v/>
      </c>
      <c r="I218" s="10">
        <f>IF($F218="","",IF(MONTH($F218)&gt;=4,YEAR($F218)&amp;"-"&amp;TEXT(YEAR($F218)+1-2000,"00"),YEAR($F218)-1&amp;"-"&amp;TEXT(YEAR($F218)-2000,"00")))</f>
        <v/>
      </c>
      <c r="J218" s="13" t="n">
        <v>61</v>
      </c>
      <c r="K218" s="14">
        <f>IFERROR($L218/$J218,"")</f>
        <v/>
      </c>
      <c r="L218" s="13" t="n">
        <v>2745</v>
      </c>
      <c r="M218" s="13">
        <f>IFERROR($L218/$H218,"")</f>
        <v/>
      </c>
      <c r="N218" s="11" t="n">
        <v>45623</v>
      </c>
      <c r="O218" s="10">
        <f>IF($N218="","No","Yes")</f>
        <v/>
      </c>
      <c r="P218" s="12">
        <f>IF(OR($F218="",$G218=""),0,IF(AND($F218&lt;=README!$B$4,README!$B$4&lt;=$G218),1,0))</f>
        <v/>
      </c>
      <c r="Q218" s="12">
        <f>IF(OR($F218="",$G218=""),0,IF(AND($F218&lt;=DATE(README!$B$5,12,31),$G218&gt;=DATE(README!$B$5,1,1)),1,0))</f>
        <v/>
      </c>
      <c r="R218" s="10" t="inlineStr">
        <is>
          <t>GUP-VEH0008</t>
        </is>
      </c>
      <c r="S218" s="11" t="n">
        <v>45461</v>
      </c>
      <c r="T218" s="10" t="inlineStr">
        <is>
          <t>541</t>
        </is>
      </c>
      <c r="U218" s="10" t="inlineStr">
        <is>
          <t>VEHICLE</t>
        </is>
      </c>
      <c r="V218" s="10" t="inlineStr">
        <is>
          <t>T</t>
        </is>
      </c>
      <c r="W218" s="10" t="inlineStr">
        <is>
          <t>VIVEK B</t>
        </is>
      </c>
    </row>
    <row r="219">
      <c r="A219" s="10" t="inlineStr">
        <is>
          <t>TN57BP3434</t>
        </is>
      </c>
      <c r="B219" s="10" t="inlineStr">
        <is>
          <t>SOCKS</t>
        </is>
      </c>
      <c r="C219" s="10" t="inlineStr">
        <is>
          <t>ADBLU</t>
        </is>
      </c>
      <c r="D219" s="10" t="inlineStr">
        <is>
          <t>ADBLU</t>
        </is>
      </c>
      <c r="E219" s="10" t="inlineStr">
        <is>
          <t>YEARLY</t>
        </is>
      </c>
      <c r="F219" s="11" t="n">
        <v>45383</v>
      </c>
      <c r="G219" s="11" t="n">
        <v>45747</v>
      </c>
      <c r="H219" s="12">
        <f>IF(OR($F219="",$G219=""),"",$G219-$F219+1)</f>
        <v/>
      </c>
      <c r="I219" s="10">
        <f>IF($F219="","",IF(MONTH($F219)&gt;=4,YEAR($F219)&amp;"-"&amp;TEXT(YEAR($F219)+1-2000,"00"),YEAR($F219)-1&amp;"-"&amp;TEXT(YEAR($F219)-2000,"00")))</f>
        <v/>
      </c>
      <c r="J219" s="13" t="n">
        <v>61</v>
      </c>
      <c r="K219" s="14">
        <f>IFERROR($L219/$J219,"")</f>
        <v/>
      </c>
      <c r="L219" s="13" t="n">
        <v>2745</v>
      </c>
      <c r="M219" s="13">
        <f>IFERROR($L219/$H219,"")</f>
        <v/>
      </c>
      <c r="N219" s="11" t="n">
        <v>45602</v>
      </c>
      <c r="O219" s="10">
        <f>IF($N219="","No","Yes")</f>
        <v/>
      </c>
      <c r="P219" s="12">
        <f>IF(OR($F219="",$G219=""),0,IF(AND($F219&lt;=README!$B$4,README!$B$4&lt;=$G219),1,0))</f>
        <v/>
      </c>
      <c r="Q219" s="12">
        <f>IF(OR($F219="",$G219=""),0,IF(AND($F219&lt;=DATE(README!$B$5,12,31),$G219&gt;=DATE(README!$B$5,1,1)),1,0))</f>
        <v/>
      </c>
      <c r="R219" s="10" t="inlineStr">
        <is>
          <t>GUP-VEH0008</t>
        </is>
      </c>
      <c r="S219" s="11" t="n">
        <v>45461</v>
      </c>
      <c r="T219" s="10" t="inlineStr">
        <is>
          <t>541</t>
        </is>
      </c>
      <c r="U219" s="10" t="inlineStr">
        <is>
          <t>VEHICLE</t>
        </is>
      </c>
      <c r="V219" s="10" t="inlineStr">
        <is>
          <t>T</t>
        </is>
      </c>
      <c r="W219" s="10" t="inlineStr">
        <is>
          <t>VIVEK B</t>
        </is>
      </c>
    </row>
    <row r="220">
      <c r="A220" s="10" t="inlineStr">
        <is>
          <t>TN57BP3434</t>
        </is>
      </c>
      <c r="B220" s="10" t="inlineStr">
        <is>
          <t>SOCKS</t>
        </is>
      </c>
      <c r="C220" s="10" t="inlineStr">
        <is>
          <t>ADBLU</t>
        </is>
      </c>
      <c r="D220" s="10" t="inlineStr">
        <is>
          <t>ADBLU</t>
        </is>
      </c>
      <c r="E220" s="10" t="inlineStr">
        <is>
          <t>YEARLY</t>
        </is>
      </c>
      <c r="F220" s="11" t="n">
        <v>45383</v>
      </c>
      <c r="G220" s="11" t="n">
        <v>45747</v>
      </c>
      <c r="H220" s="12">
        <f>IF(OR($F220="",$G220=""),"",$G220-$F220+1)</f>
        <v/>
      </c>
      <c r="I220" s="10">
        <f>IF($F220="","",IF(MONTH($F220)&gt;=4,YEAR($F220)&amp;"-"&amp;TEXT(YEAR($F220)+1-2000,"00"),YEAR($F220)-1&amp;"-"&amp;TEXT(YEAR($F220)-2000,"00")))</f>
        <v/>
      </c>
      <c r="J220" s="13" t="n">
        <v>61</v>
      </c>
      <c r="K220" s="14">
        <f>IFERROR($L220/$J220,"")</f>
        <v/>
      </c>
      <c r="L220" s="13" t="n">
        <v>2745</v>
      </c>
      <c r="M220" s="13">
        <f>IFERROR($L220/$H220,"")</f>
        <v/>
      </c>
      <c r="N220" s="11" t="n">
        <v>45700</v>
      </c>
      <c r="O220" s="10">
        <f>IF($N220="","No","Yes")</f>
        <v/>
      </c>
      <c r="P220" s="12">
        <f>IF(OR($F220="",$G220=""),0,IF(AND($F220&lt;=README!$B$4,README!$B$4&lt;=$G220),1,0))</f>
        <v/>
      </c>
      <c r="Q220" s="12">
        <f>IF(OR($F220="",$G220=""),0,IF(AND($F220&lt;=DATE(README!$B$5,12,31),$G220&gt;=DATE(README!$B$5,1,1)),1,0))</f>
        <v/>
      </c>
      <c r="R220" s="10" t="inlineStr">
        <is>
          <t>GUP-VEH0008</t>
        </is>
      </c>
      <c r="S220" s="11" t="n">
        <v>45461</v>
      </c>
      <c r="T220" s="10" t="inlineStr">
        <is>
          <t>541</t>
        </is>
      </c>
      <c r="U220" s="10" t="inlineStr">
        <is>
          <t>VEHICLE</t>
        </is>
      </c>
      <c r="V220" s="10" t="inlineStr">
        <is>
          <t>T</t>
        </is>
      </c>
      <c r="W220" s="10" t="inlineStr">
        <is>
          <t>VIVEK B</t>
        </is>
      </c>
    </row>
    <row r="221">
      <c r="A221" s="10" t="inlineStr">
        <is>
          <t>TN57BP3434</t>
        </is>
      </c>
      <c r="B221" s="10" t="inlineStr">
        <is>
          <t>SOCKS</t>
        </is>
      </c>
      <c r="C221" s="10" t="inlineStr">
        <is>
          <t>ADBLU</t>
        </is>
      </c>
      <c r="D221" s="10" t="inlineStr">
        <is>
          <t>ADBLU</t>
        </is>
      </c>
      <c r="E221" s="10" t="inlineStr">
        <is>
          <t>YEARLY</t>
        </is>
      </c>
      <c r="F221" s="11" t="n">
        <v>45383</v>
      </c>
      <c r="G221" s="11" t="n">
        <v>45747</v>
      </c>
      <c r="H221" s="12">
        <f>IF(OR($F221="",$G221=""),"",$G221-$F221+1)</f>
        <v/>
      </c>
      <c r="I221" s="10">
        <f>IF($F221="","",IF(MONTH($F221)&gt;=4,YEAR($F221)&amp;"-"&amp;TEXT(YEAR($F221)+1-2000,"00"),YEAR($F221)-1&amp;"-"&amp;TEXT(YEAR($F221)-2000,"00")))</f>
        <v/>
      </c>
      <c r="J221" s="13" t="n">
        <v>61</v>
      </c>
      <c r="K221" s="14">
        <f>IFERROR($L221/$J221,"")</f>
        <v/>
      </c>
      <c r="L221" s="13" t="n">
        <v>2745</v>
      </c>
      <c r="M221" s="13">
        <f>IFERROR($L221/$H221,"")</f>
        <v/>
      </c>
      <c r="N221" s="11" t="n">
        <v>45700</v>
      </c>
      <c r="O221" s="10">
        <f>IF($N221="","No","Yes")</f>
        <v/>
      </c>
      <c r="P221" s="12">
        <f>IF(OR($F221="",$G221=""),0,IF(AND($F221&lt;=README!$B$4,README!$B$4&lt;=$G221),1,0))</f>
        <v/>
      </c>
      <c r="Q221" s="12">
        <f>IF(OR($F221="",$G221=""),0,IF(AND($F221&lt;=DATE(README!$B$5,12,31),$G221&gt;=DATE(README!$B$5,1,1)),1,0))</f>
        <v/>
      </c>
      <c r="R221" s="10" t="inlineStr">
        <is>
          <t>GUP-VEH0008</t>
        </is>
      </c>
      <c r="S221" s="11" t="n">
        <v>45461</v>
      </c>
      <c r="T221" s="10" t="inlineStr">
        <is>
          <t>541</t>
        </is>
      </c>
      <c r="U221" s="10" t="inlineStr">
        <is>
          <t>VEHICLE</t>
        </is>
      </c>
      <c r="V221" s="10" t="inlineStr">
        <is>
          <t>T</t>
        </is>
      </c>
      <c r="W221" s="10" t="inlineStr">
        <is>
          <t>VIVEK B</t>
        </is>
      </c>
    </row>
    <row r="222">
      <c r="A222" s="10" t="inlineStr">
        <is>
          <t>TN57BP3434</t>
        </is>
      </c>
      <c r="B222" s="10" t="inlineStr">
        <is>
          <t>SOCKS</t>
        </is>
      </c>
      <c r="C222" s="10" t="inlineStr">
        <is>
          <t>ROAD TAX</t>
        </is>
      </c>
      <c r="D222" s="10" t="inlineStr">
        <is>
          <t>ROAD TAX</t>
        </is>
      </c>
      <c r="E222" s="10" t="inlineStr">
        <is>
          <t>YEARLY</t>
        </is>
      </c>
      <c r="F222" s="11" t="n">
        <v>45383</v>
      </c>
      <c r="G222" s="11" t="n">
        <v>45747</v>
      </c>
      <c r="H222" s="12">
        <f>IF(OR($F222="",$G222=""),"",$G222-$F222+1)</f>
        <v/>
      </c>
      <c r="I222" s="10">
        <f>IF($F222="","",IF(MONTH($F222)&gt;=4,YEAR($F222)&amp;"-"&amp;TEXT(YEAR($F222)+1-2000,"00"),YEAR($F222)-1&amp;"-"&amp;TEXT(YEAR($F222)-2000,"00")))</f>
        <v/>
      </c>
      <c r="J222" s="13" t="n">
        <v>32724</v>
      </c>
      <c r="K222" s="14">
        <f>IFERROR($L222/$J222,"")</f>
        <v/>
      </c>
      <c r="L222" s="13" t="n">
        <v>32724</v>
      </c>
      <c r="M222" s="13">
        <f>IFERROR($L222/$H222,"")</f>
        <v/>
      </c>
      <c r="N222" s="11" t="n">
        <v>45569</v>
      </c>
      <c r="O222" s="10">
        <f>IF($N222="","No","Yes")</f>
        <v/>
      </c>
      <c r="P222" s="12">
        <f>IF(OR($F222="",$G222=""),0,IF(AND($F222&lt;=README!$B$4,README!$B$4&lt;=$G222),1,0))</f>
        <v/>
      </c>
      <c r="Q222" s="12">
        <f>IF(OR($F222="",$G222=""),0,IF(AND($F222&lt;=DATE(README!$B$5,12,31),$G222&gt;=DATE(README!$B$5,1,1)),1,0))</f>
        <v/>
      </c>
      <c r="R222" s="10" t="inlineStr">
        <is>
          <t>GUP-VEH0011</t>
        </is>
      </c>
      <c r="S222" s="11" t="n">
        <v>45477</v>
      </c>
      <c r="T222" s="10" t="inlineStr">
        <is>
          <t>548</t>
        </is>
      </c>
      <c r="U222" s="10" t="inlineStr">
        <is>
          <t>VEHICLE</t>
        </is>
      </c>
      <c r="V222" s="10" t="inlineStr">
        <is>
          <t>T</t>
        </is>
      </c>
      <c r="W222" s="10" t="inlineStr">
        <is>
          <t>VIVEK B</t>
        </is>
      </c>
    </row>
    <row r="223">
      <c r="A223" s="10" t="inlineStr">
        <is>
          <t>TN57BP3434</t>
        </is>
      </c>
      <c r="B223" s="10" t="inlineStr">
        <is>
          <t>SOCKS</t>
        </is>
      </c>
      <c r="C223" s="10" t="inlineStr">
        <is>
          <t>ROAD TAX</t>
        </is>
      </c>
      <c r="D223" s="10" t="inlineStr">
        <is>
          <t>ROAD TAX</t>
        </is>
      </c>
      <c r="E223" s="10" t="inlineStr">
        <is>
          <t>YEARLY</t>
        </is>
      </c>
      <c r="F223" s="11" t="n">
        <v>45383</v>
      </c>
      <c r="G223" s="11" t="n">
        <v>45747</v>
      </c>
      <c r="H223" s="12">
        <f>IF(OR($F223="",$G223=""),"",$G223-$F223+1)</f>
        <v/>
      </c>
      <c r="I223" s="10">
        <f>IF($F223="","",IF(MONTH($F223)&gt;=4,YEAR($F223)&amp;"-"&amp;TEXT(YEAR($F223)+1-2000,"00"),YEAR($F223)-1&amp;"-"&amp;TEXT(YEAR($F223)-2000,"00")))</f>
        <v/>
      </c>
      <c r="J223" s="13" t="n">
        <v>32724</v>
      </c>
      <c r="K223" s="14">
        <f>IFERROR($L223/$J223,"")</f>
        <v/>
      </c>
      <c r="L223" s="13" t="n">
        <v>32724</v>
      </c>
      <c r="M223" s="13">
        <f>IFERROR($L223/$H223,"")</f>
        <v/>
      </c>
      <c r="N223" s="11" t="n">
        <v>45649</v>
      </c>
      <c r="O223" s="10">
        <f>IF($N223="","No","Yes")</f>
        <v/>
      </c>
      <c r="P223" s="12">
        <f>IF(OR($F223="",$G223=""),0,IF(AND($F223&lt;=README!$B$4,README!$B$4&lt;=$G223),1,0))</f>
        <v/>
      </c>
      <c r="Q223" s="12">
        <f>IF(OR($F223="",$G223=""),0,IF(AND($F223&lt;=DATE(README!$B$5,12,31),$G223&gt;=DATE(README!$B$5,1,1)),1,0))</f>
        <v/>
      </c>
      <c r="R223" s="10" t="inlineStr">
        <is>
          <t>GUP-VEH0011</t>
        </is>
      </c>
      <c r="S223" s="11" t="n">
        <v>45477</v>
      </c>
      <c r="T223" s="10" t="inlineStr">
        <is>
          <t>548</t>
        </is>
      </c>
      <c r="U223" s="10" t="inlineStr">
        <is>
          <t>VEHICLE</t>
        </is>
      </c>
      <c r="V223" s="10" t="inlineStr">
        <is>
          <t>T</t>
        </is>
      </c>
      <c r="W223" s="10" t="inlineStr">
        <is>
          <t>VIVEK B</t>
        </is>
      </c>
    </row>
    <row r="224">
      <c r="A224" s="10" t="inlineStr">
        <is>
          <t>TN57BP3434</t>
        </is>
      </c>
      <c r="B224" s="10" t="inlineStr">
        <is>
          <t>SOCKS</t>
        </is>
      </c>
      <c r="C224" s="10" t="inlineStr">
        <is>
          <t>ROAD TAX</t>
        </is>
      </c>
      <c r="D224" s="10" t="inlineStr">
        <is>
          <t>ROAD TAX</t>
        </is>
      </c>
      <c r="E224" s="10" t="inlineStr">
        <is>
          <t>YEARLY</t>
        </is>
      </c>
      <c r="F224" s="11" t="n">
        <v>45383</v>
      </c>
      <c r="G224" s="11" t="n">
        <v>45747</v>
      </c>
      <c r="H224" s="12">
        <f>IF(OR($F224="",$G224=""),"",$G224-$F224+1)</f>
        <v/>
      </c>
      <c r="I224" s="10">
        <f>IF($F224="","",IF(MONTH($F224)&gt;=4,YEAR($F224)&amp;"-"&amp;TEXT(YEAR($F224)+1-2000,"00"),YEAR($F224)-1&amp;"-"&amp;TEXT(YEAR($F224)-2000,"00")))</f>
        <v/>
      </c>
      <c r="J224" s="13" t="n">
        <v>32724</v>
      </c>
      <c r="K224" s="14">
        <f>IFERROR($L224/$J224,"")</f>
        <v/>
      </c>
      <c r="L224" s="13" t="n">
        <v>32724</v>
      </c>
      <c r="M224" s="13">
        <f>IFERROR($L224/$H224,"")</f>
        <v/>
      </c>
      <c r="N224" s="11" t="n">
        <v>45481</v>
      </c>
      <c r="O224" s="10">
        <f>IF($N224="","No","Yes")</f>
        <v/>
      </c>
      <c r="P224" s="12">
        <f>IF(OR($F224="",$G224=""),0,IF(AND($F224&lt;=README!$B$4,README!$B$4&lt;=$G224),1,0))</f>
        <v/>
      </c>
      <c r="Q224" s="12">
        <f>IF(OR($F224="",$G224=""),0,IF(AND($F224&lt;=DATE(README!$B$5,12,31),$G224&gt;=DATE(README!$B$5,1,1)),1,0))</f>
        <v/>
      </c>
      <c r="R224" s="10" t="inlineStr">
        <is>
          <t>GUP-VEH0011</t>
        </is>
      </c>
      <c r="S224" s="11" t="n">
        <v>45477</v>
      </c>
      <c r="T224" s="10" t="inlineStr">
        <is>
          <t>548</t>
        </is>
      </c>
      <c r="U224" s="10" t="inlineStr">
        <is>
          <t>VEHICLE</t>
        </is>
      </c>
      <c r="V224" s="10" t="inlineStr">
        <is>
          <t>T</t>
        </is>
      </c>
      <c r="W224" s="10" t="inlineStr">
        <is>
          <t>VIVEK B</t>
        </is>
      </c>
    </row>
    <row r="225">
      <c r="A225" s="10" t="inlineStr">
        <is>
          <t>TN57BP3434</t>
        </is>
      </c>
      <c r="B225" s="10" t="inlineStr">
        <is>
          <t>SOCKS</t>
        </is>
      </c>
      <c r="C225" s="10" t="inlineStr">
        <is>
          <t>TYRE</t>
        </is>
      </c>
      <c r="D225" s="10" t="inlineStr">
        <is>
          <t>TYRE</t>
        </is>
      </c>
      <c r="E225" s="10" t="inlineStr">
        <is>
          <t>YEARLY</t>
        </is>
      </c>
      <c r="F225" s="11" t="n">
        <v>45383</v>
      </c>
      <c r="G225" s="11" t="n">
        <v>45747</v>
      </c>
      <c r="H225" s="12">
        <f>IF(OR($F225="",$G225=""),"",$G225-$F225+1)</f>
        <v/>
      </c>
      <c r="I225" s="10">
        <f>IF($F225="","",IF(MONTH($F225)&gt;=4,YEAR($F225)&amp;"-"&amp;TEXT(YEAR($F225)+1-2000,"00"),YEAR($F225)-1&amp;"-"&amp;TEXT(YEAR($F225)-2000,"00")))</f>
        <v/>
      </c>
      <c r="J225" s="13" t="n">
        <v>30200</v>
      </c>
      <c r="K225" s="14">
        <f>IFERROR($L225/$J225,"")</f>
        <v/>
      </c>
      <c r="L225" s="13" t="n">
        <v>30200</v>
      </c>
      <c r="M225" s="13">
        <f>IFERROR($L225/$H225,"")</f>
        <v/>
      </c>
      <c r="N225" s="11" t="n">
        <v>45554</v>
      </c>
      <c r="O225" s="10">
        <f>IF($N225="","No","Yes")</f>
        <v/>
      </c>
      <c r="P225" s="12">
        <f>IF(OR($F225="",$G225=""),0,IF(AND($F225&lt;=README!$B$4,README!$B$4&lt;=$G225),1,0))</f>
        <v/>
      </c>
      <c r="Q225" s="12">
        <f>IF(OR($F225="",$G225=""),0,IF(AND($F225&lt;=DATE(README!$B$5,12,31),$G225&gt;=DATE(README!$B$5,1,1)),1,0))</f>
        <v/>
      </c>
      <c r="R225" s="10" t="inlineStr">
        <is>
          <t>GUP-VEH0006</t>
        </is>
      </c>
      <c r="S225" s="11" t="n">
        <v>45442</v>
      </c>
      <c r="T225" s="10" t="inlineStr">
        <is>
          <t>522</t>
        </is>
      </c>
      <c r="U225" s="10" t="inlineStr">
        <is>
          <t>VEHICLE</t>
        </is>
      </c>
      <c r="V225" s="10" t="inlineStr">
        <is>
          <t>T</t>
        </is>
      </c>
      <c r="W225" s="10" t="inlineStr">
        <is>
          <t>VIVEK B</t>
        </is>
      </c>
    </row>
    <row r="226">
      <c r="A226" s="10" t="inlineStr">
        <is>
          <t>TN57BP3434</t>
        </is>
      </c>
      <c r="B226" s="10" t="inlineStr">
        <is>
          <t>SOCKS</t>
        </is>
      </c>
      <c r="C226" s="10" t="inlineStr">
        <is>
          <t>VEHICLE INSURANCE</t>
        </is>
      </c>
      <c r="D226" s="10" t="inlineStr">
        <is>
          <t>VEHICLE INSURANCE</t>
        </is>
      </c>
      <c r="E226" s="10" t="inlineStr">
        <is>
          <t>YEARLY</t>
        </is>
      </c>
      <c r="F226" s="11" t="n">
        <v>45383</v>
      </c>
      <c r="G226" s="11" t="n">
        <v>45747</v>
      </c>
      <c r="H226" s="12">
        <f>IF(OR($F226="",$G226=""),"",$G226-$F226+1)</f>
        <v/>
      </c>
      <c r="I226" s="10">
        <f>IF($F226="","",IF(MONTH($F226)&gt;=4,YEAR($F226)&amp;"-"&amp;TEXT(YEAR($F226)+1-2000,"00"),YEAR($F226)-1&amp;"-"&amp;TEXT(YEAR($F226)-2000,"00")))</f>
        <v/>
      </c>
      <c r="J226" s="13" t="n">
        <v>79453</v>
      </c>
      <c r="K226" s="14">
        <f>IFERROR($L226/$J226,"")</f>
        <v/>
      </c>
      <c r="L226" s="13" t="n">
        <v>79453</v>
      </c>
      <c r="M226" s="13">
        <f>IFERROR($L226/$H226,"")</f>
        <v/>
      </c>
      <c r="N226" s="11" t="n">
        <v>45541</v>
      </c>
      <c r="O226" s="10">
        <f>IF($N226="","No","Yes")</f>
        <v/>
      </c>
      <c r="P226" s="12">
        <f>IF(OR($F226="",$G226=""),0,IF(AND($F226&lt;=README!$B$4,README!$B$4&lt;=$G226),1,0))</f>
        <v/>
      </c>
      <c r="Q226" s="12">
        <f>IF(OR($F226="",$G226=""),0,IF(AND($F226&lt;=DATE(README!$B$5,12,31),$G226&gt;=DATE(README!$B$5,1,1)),1,0))</f>
        <v/>
      </c>
      <c r="R226" s="10" t="inlineStr">
        <is>
          <t>GUP-VEH0013</t>
        </is>
      </c>
      <c r="S226" s="11" t="n">
        <v>45478</v>
      </c>
      <c r="T226" s="10" t="inlineStr">
        <is>
          <t>550</t>
        </is>
      </c>
      <c r="U226" s="10" t="inlineStr">
        <is>
          <t>VEHICLE</t>
        </is>
      </c>
      <c r="V226" s="10" t="inlineStr">
        <is>
          <t>T</t>
        </is>
      </c>
      <c r="W226" s="10" t="inlineStr">
        <is>
          <t>VIVEK B</t>
        </is>
      </c>
    </row>
    <row r="227">
      <c r="A227" s="10" t="inlineStr">
        <is>
          <t>TN57BP3434</t>
        </is>
      </c>
      <c r="B227" s="10" t="inlineStr">
        <is>
          <t>SOCKS</t>
        </is>
      </c>
      <c r="C227" s="10" t="inlineStr">
        <is>
          <t>VEHICLE OUTSIDE SERVICES</t>
        </is>
      </c>
      <c r="D227" s="10" t="inlineStr">
        <is>
          <t xml:space="preserve">MAINTENANCE SERVICE </t>
        </is>
      </c>
      <c r="E227" s="10" t="inlineStr">
        <is>
          <t>YEARLY</t>
        </is>
      </c>
      <c r="F227" s="11" t="n">
        <v>45383</v>
      </c>
      <c r="G227" s="11" t="n">
        <v>45747</v>
      </c>
      <c r="H227" s="12">
        <f>IF(OR($F227="",$G227=""),"",$G227-$F227+1)</f>
        <v/>
      </c>
      <c r="I227" s="10">
        <f>IF($F227="","",IF(MONTH($F227)&gt;=4,YEAR($F227)&amp;"-"&amp;TEXT(YEAR($F227)+1-2000,"00"),YEAR($F227)-1&amp;"-"&amp;TEXT(YEAR($F227)-2000,"00")))</f>
        <v/>
      </c>
      <c r="J227" s="13" t="n">
        <v>9594.99</v>
      </c>
      <c r="K227" s="14">
        <f>IFERROR($L227/$J227,"")</f>
        <v/>
      </c>
      <c r="L227" s="13" t="n">
        <v>9594.99</v>
      </c>
      <c r="M227" s="13">
        <f>IFERROR($L227/$H227,"")</f>
        <v/>
      </c>
      <c r="N227" s="11" t="n">
        <v>45657</v>
      </c>
      <c r="O227" s="10">
        <f>IF($N227="","No","Yes")</f>
        <v/>
      </c>
      <c r="P227" s="12">
        <f>IF(OR($F227="",$G227=""),0,IF(AND($F227&lt;=README!$B$4,README!$B$4&lt;=$G227),1,0))</f>
        <v/>
      </c>
      <c r="Q227" s="12">
        <f>IF(OR($F227="",$G227=""),0,IF(AND($F227&lt;=DATE(README!$B$5,12,31),$G227&gt;=DATE(README!$B$5,1,1)),1,0))</f>
        <v/>
      </c>
      <c r="R227" s="10" t="inlineStr">
        <is>
          <t>GUP-VEH0012</t>
        </is>
      </c>
      <c r="S227" s="11" t="n">
        <v>45477</v>
      </c>
      <c r="T227" s="10" t="inlineStr">
        <is>
          <t>549</t>
        </is>
      </c>
      <c r="U227" s="10" t="inlineStr">
        <is>
          <t>VEHICLE</t>
        </is>
      </c>
      <c r="V227" s="10" t="inlineStr">
        <is>
          <t>T</t>
        </is>
      </c>
      <c r="W227" s="10" t="inlineStr">
        <is>
          <t>VIVEK B</t>
        </is>
      </c>
    </row>
    <row r="228">
      <c r="A228" s="10" t="inlineStr">
        <is>
          <t>TN57BP3434</t>
        </is>
      </c>
      <c r="B228" s="10" t="inlineStr">
        <is>
          <t>SOCKS</t>
        </is>
      </c>
      <c r="C228" s="10" t="inlineStr">
        <is>
          <t>ROAD TAX</t>
        </is>
      </c>
      <c r="D228" s="10" t="inlineStr">
        <is>
          <t>ROAD TAX</t>
        </is>
      </c>
      <c r="E228" s="10" t="inlineStr">
        <is>
          <t>QUARTER - I</t>
        </is>
      </c>
      <c r="F228" s="11" t="n">
        <v>45748</v>
      </c>
      <c r="G228" s="11" t="n">
        <v>45838</v>
      </c>
      <c r="H228" s="12">
        <f>IF(OR($F228="",$G228=""),"",$G228-$F228+1)</f>
        <v/>
      </c>
      <c r="I228" s="10">
        <f>IF($F228="","",IF(MONTH($F228)&gt;=4,YEAR($F228)&amp;"-"&amp;TEXT(YEAR($F228)+1-2000,"00"),YEAR($F228)-1&amp;"-"&amp;TEXT(YEAR($F228)-2000,"00")))</f>
        <v/>
      </c>
      <c r="J228" s="13" t="n">
        <v>32724</v>
      </c>
      <c r="K228" s="14">
        <f>IFERROR($L228/$J228,"")</f>
        <v/>
      </c>
      <c r="L228" s="13" t="n">
        <v>32724</v>
      </c>
      <c r="M228" s="13">
        <f>IFERROR($L228/$H228,"")</f>
        <v/>
      </c>
      <c r="N228" s="11" t="n">
        <v>46030</v>
      </c>
      <c r="O228" s="10">
        <f>IF($N228="","No","Yes")</f>
        <v/>
      </c>
      <c r="P228" s="12">
        <f>IF(OR($F228="",$G228=""),0,IF(AND($F228&lt;=README!$B$4,README!$B$4&lt;=$G228),1,0))</f>
        <v/>
      </c>
      <c r="Q228" s="12">
        <f>IF(OR($F228="",$G228=""),0,IF(AND($F228&lt;=DATE(README!$B$5,12,31),$G228&gt;=DATE(README!$B$5,1,1)),1,0))</f>
        <v/>
      </c>
      <c r="R228" s="10" t="inlineStr">
        <is>
          <t>GUP-VEH0014</t>
        </is>
      </c>
      <c r="S228" s="11" t="n">
        <v>45748</v>
      </c>
      <c r="T228" s="10" t="inlineStr">
        <is>
          <t>609</t>
        </is>
      </c>
      <c r="U228" s="10" t="inlineStr">
        <is>
          <t>VEHICLE</t>
        </is>
      </c>
      <c r="V228" s="10" t="inlineStr">
        <is>
          <t>T</t>
        </is>
      </c>
      <c r="W228" s="10" t="inlineStr">
        <is>
          <t>VIVEK B</t>
        </is>
      </c>
    </row>
    <row r="229">
      <c r="A229" s="10" t="inlineStr">
        <is>
          <t>TN57BP3434</t>
        </is>
      </c>
      <c r="B229" s="10" t="inlineStr">
        <is>
          <t>SOCKS</t>
        </is>
      </c>
      <c r="C229" s="10" t="inlineStr">
        <is>
          <t>RTO EXPENSE</t>
        </is>
      </c>
      <c r="D229" s="10" t="inlineStr">
        <is>
          <t>RTO EXPENSE</t>
        </is>
      </c>
      <c r="E229" s="10" t="inlineStr">
        <is>
          <t>YEARLY</t>
        </is>
      </c>
      <c r="F229" s="11" t="n">
        <v>45748</v>
      </c>
      <c r="G229" s="11" t="n">
        <v>46112</v>
      </c>
      <c r="H229" s="12">
        <f>IF(OR($F229="",$G229=""),"",$G229-$F229+1)</f>
        <v/>
      </c>
      <c r="I229" s="10">
        <f>IF($F229="","",IF(MONTH($F229)&gt;=4,YEAR($F229)&amp;"-"&amp;TEXT(YEAR($F229)+1-2000,"00"),YEAR($F229)-1&amp;"-"&amp;TEXT(YEAR($F229)-2000,"00")))</f>
        <v/>
      </c>
      <c r="J229" s="13" t="n">
        <v>10400</v>
      </c>
      <c r="K229" s="14">
        <f>IFERROR($L229/$J229,"")</f>
        <v/>
      </c>
      <c r="L229" s="13" t="n">
        <v>10400</v>
      </c>
      <c r="M229" s="13">
        <f>IFERROR($L229/$H229,"")</f>
        <v/>
      </c>
      <c r="N229" s="11" t="n">
        <v>46028</v>
      </c>
      <c r="O229" s="10">
        <f>IF($N229="","No","Yes")</f>
        <v/>
      </c>
      <c r="P229" s="12">
        <f>IF(OR($F229="",$G229=""),0,IF(AND($F229&lt;=README!$B$4,README!$B$4&lt;=$G229),1,0))</f>
        <v/>
      </c>
      <c r="Q229" s="12">
        <f>IF(OR($F229="",$G229=""),0,IF(AND($F229&lt;=DATE(README!$B$5,12,31),$G229&gt;=DATE(README!$B$5,1,1)),1,0))</f>
        <v/>
      </c>
      <c r="R229" s="10" t="inlineStr">
        <is>
          <t>GUP-VEH0022</t>
        </is>
      </c>
      <c r="S229" s="11" t="n">
        <v>45834</v>
      </c>
      <c r="T229" s="10" t="inlineStr">
        <is>
          <t>655</t>
        </is>
      </c>
      <c r="U229" s="10" t="inlineStr">
        <is>
          <t>VEHICLE</t>
        </is>
      </c>
      <c r="V229" s="10" t="inlineStr">
        <is>
          <t>T</t>
        </is>
      </c>
      <c r="W229" s="10" t="inlineStr">
        <is>
          <t>VIVEK B</t>
        </is>
      </c>
    </row>
    <row r="230">
      <c r="A230" s="10" t="inlineStr">
        <is>
          <t>TN57BP3434</t>
        </is>
      </c>
      <c r="B230" s="10" t="inlineStr">
        <is>
          <t>SOCKS</t>
        </is>
      </c>
      <c r="C230" s="10" t="inlineStr">
        <is>
          <t>TYRE</t>
        </is>
      </c>
      <c r="D230" s="10" t="inlineStr">
        <is>
          <t>TYRE</t>
        </is>
      </c>
      <c r="E230" s="10" t="inlineStr">
        <is>
          <t>YEARLY</t>
        </is>
      </c>
      <c r="F230" s="11" t="n">
        <v>45748</v>
      </c>
      <c r="G230" s="11" t="n">
        <v>46112</v>
      </c>
      <c r="H230" s="12">
        <f>IF(OR($F230="",$G230=""),"",$G230-$F230+1)</f>
        <v/>
      </c>
      <c r="I230" s="10">
        <f>IF($F230="","",IF(MONTH($F230)&gt;=4,YEAR($F230)&amp;"-"&amp;TEXT(YEAR($F230)+1-2000,"00"),YEAR($F230)-1&amp;"-"&amp;TEXT(YEAR($F230)-2000,"00")))</f>
        <v/>
      </c>
      <c r="J230" s="13" t="n">
        <v>30300</v>
      </c>
      <c r="K230" s="14">
        <f>IFERROR($L230/$J230,"")</f>
        <v/>
      </c>
      <c r="L230" s="13" t="n">
        <v>30300</v>
      </c>
      <c r="M230" s="13">
        <f>IFERROR($L230/$H230,"")</f>
        <v/>
      </c>
      <c r="N230" s="11" t="n">
        <v>45972</v>
      </c>
      <c r="O230" s="10">
        <f>IF($N230="","No","Yes")</f>
        <v/>
      </c>
      <c r="P230" s="12">
        <f>IF(OR($F230="",$G230=""),0,IF(AND($F230&lt;=README!$B$4,README!$B$4&lt;=$G230),1,0))</f>
        <v/>
      </c>
      <c r="Q230" s="12">
        <f>IF(OR($F230="",$G230=""),0,IF(AND($F230&lt;=DATE(README!$B$5,12,31),$G230&gt;=DATE(README!$B$5,1,1)),1,0))</f>
        <v/>
      </c>
      <c r="R230" s="10" t="inlineStr">
        <is>
          <t>GUP-VEH0025</t>
        </is>
      </c>
      <c r="S230" s="11" t="n">
        <v>45957</v>
      </c>
      <c r="T230" s="10" t="inlineStr">
        <is>
          <t>726</t>
        </is>
      </c>
      <c r="U230" s="10" t="inlineStr">
        <is>
          <t>VEHICLE</t>
        </is>
      </c>
      <c r="V230" s="10" t="inlineStr">
        <is>
          <t>T</t>
        </is>
      </c>
      <c r="W230" s="10" t="inlineStr">
        <is>
          <t>VIVEK B</t>
        </is>
      </c>
    </row>
    <row r="231">
      <c r="A231" s="10" t="inlineStr">
        <is>
          <t>TN57BP3434</t>
        </is>
      </c>
      <c r="B231" s="10" t="inlineStr">
        <is>
          <t>SOCKS</t>
        </is>
      </c>
      <c r="C231" s="10" t="inlineStr">
        <is>
          <t>VEHICLE INSURANCE</t>
        </is>
      </c>
      <c r="D231" s="10" t="inlineStr">
        <is>
          <t>VEHICLE INSURANCE</t>
        </is>
      </c>
      <c r="E231" s="10" t="inlineStr">
        <is>
          <t>YEARLY</t>
        </is>
      </c>
      <c r="F231" s="11" t="n">
        <v>45748</v>
      </c>
      <c r="G231" s="11" t="n">
        <v>46112</v>
      </c>
      <c r="H231" s="12">
        <f>IF(OR($F231="",$G231=""),"",$G231-$F231+1)</f>
        <v/>
      </c>
      <c r="I231" s="10">
        <f>IF($F231="","",IF(MONTH($F231)&gt;=4,YEAR($F231)&amp;"-"&amp;TEXT(YEAR($F231)+1-2000,"00"),YEAR($F231)-1&amp;"-"&amp;TEXT(YEAR($F231)-2000,"00")))</f>
        <v/>
      </c>
      <c r="J231" s="13" t="n">
        <v>78377</v>
      </c>
      <c r="K231" s="14">
        <f>IFERROR($L231/$J231,"")</f>
        <v/>
      </c>
      <c r="L231" s="13" t="n">
        <v>78377</v>
      </c>
      <c r="M231" s="13">
        <f>IFERROR($L231/$H231,"")</f>
        <v/>
      </c>
      <c r="N231" s="11" t="n">
        <v>45905</v>
      </c>
      <c r="O231" s="10">
        <f>IF($N231="","No","Yes")</f>
        <v/>
      </c>
      <c r="P231" s="12">
        <f>IF(OR($F231="",$G231=""),0,IF(AND($F231&lt;=README!$B$4,README!$B$4&lt;=$G231),1,0))</f>
        <v/>
      </c>
      <c r="Q231" s="12">
        <f>IF(OR($F231="",$G231=""),0,IF(AND($F231&lt;=DATE(README!$B$5,12,31),$G231&gt;=DATE(README!$B$5,1,1)),1,0))</f>
        <v/>
      </c>
      <c r="R231" s="10" t="inlineStr">
        <is>
          <t>GUP-VEH0020</t>
        </is>
      </c>
      <c r="S231" s="11" t="n">
        <v>45799</v>
      </c>
      <c r="T231" s="10" t="inlineStr">
        <is>
          <t>645</t>
        </is>
      </c>
      <c r="U231" s="10" t="inlineStr">
        <is>
          <t>VEHICLE</t>
        </is>
      </c>
      <c r="V231" s="10" t="inlineStr">
        <is>
          <t>T</t>
        </is>
      </c>
      <c r="W231" s="10" t="inlineStr">
        <is>
          <t>VIVEK B</t>
        </is>
      </c>
    </row>
    <row r="232">
      <c r="A232" s="10" t="inlineStr">
        <is>
          <t>TN57BP3434</t>
        </is>
      </c>
      <c r="B232" s="10" t="inlineStr">
        <is>
          <t>GENERAL</t>
        </is>
      </c>
      <c r="C232" s="10" t="inlineStr">
        <is>
          <t>VEHICLE OUTSIDE SERVICES</t>
        </is>
      </c>
      <c r="D232" s="10" t="inlineStr">
        <is>
          <t xml:space="preserve">MAINTENANCE SERVICE </t>
        </is>
      </c>
      <c r="E232" s="10" t="inlineStr">
        <is>
          <t>YEARLY</t>
        </is>
      </c>
      <c r="F232" s="11" t="n">
        <v>45748</v>
      </c>
      <c r="G232" s="11" t="n">
        <v>46112</v>
      </c>
      <c r="H232" s="12">
        <f>IF(OR($F232="",$G232=""),"",$G232-$F232+1)</f>
        <v/>
      </c>
      <c r="I232" s="10">
        <f>IF($F232="","",IF(MONTH($F232)&gt;=4,YEAR($F232)&amp;"-"&amp;TEXT(YEAR($F232)+1-2000,"00"),YEAR($F232)-1&amp;"-"&amp;TEXT(YEAR($F232)-2000,"00")))</f>
        <v/>
      </c>
      <c r="J232" s="13" t="n">
        <v>28704.47</v>
      </c>
      <c r="K232" s="14">
        <f>IFERROR($L232/$J232,"")</f>
        <v/>
      </c>
      <c r="L232" s="13" t="n">
        <v>28704.47</v>
      </c>
      <c r="M232" s="13">
        <f>IFERROR($L232/$H232,"")</f>
        <v/>
      </c>
      <c r="N232" s="11" t="n">
        <v>45869</v>
      </c>
      <c r="O232" s="10">
        <f>IF($N232="","No","Yes")</f>
        <v/>
      </c>
      <c r="P232" s="12">
        <f>IF(OR($F232="",$G232=""),0,IF(AND($F232&lt;=README!$B$4,README!$B$4&lt;=$G232),1,0))</f>
        <v/>
      </c>
      <c r="Q232" s="12">
        <f>IF(OR($F232="",$G232=""),0,IF(AND($F232&lt;=DATE(README!$B$5,12,31),$G232&gt;=DATE(README!$B$5,1,1)),1,0))</f>
        <v/>
      </c>
      <c r="R232" s="10" t="inlineStr">
        <is>
          <t>GUP-VEH0019</t>
        </is>
      </c>
      <c r="S232" s="11" t="n">
        <v>45777</v>
      </c>
      <c r="T232" s="10" t="inlineStr">
        <is>
          <t>638</t>
        </is>
      </c>
      <c r="U232" s="10" t="inlineStr">
        <is>
          <t>VEHICLE</t>
        </is>
      </c>
      <c r="V232" s="10" t="inlineStr">
        <is>
          <t>T</t>
        </is>
      </c>
      <c r="W232" s="10" t="inlineStr">
        <is>
          <t>VIVEK B</t>
        </is>
      </c>
    </row>
    <row r="233">
      <c r="A233" s="10" t="inlineStr">
        <is>
          <t>TN57BP3434</t>
        </is>
      </c>
      <c r="B233" s="10" t="inlineStr">
        <is>
          <t>SOCKS</t>
        </is>
      </c>
      <c r="C233" s="10" t="inlineStr">
        <is>
          <t>ROAD TAX</t>
        </is>
      </c>
      <c r="D233" s="10" t="inlineStr">
        <is>
          <t>ROAD TAX</t>
        </is>
      </c>
      <c r="E233" s="10" t="inlineStr">
        <is>
          <t>QUARTER - II</t>
        </is>
      </c>
      <c r="F233" s="11" t="n">
        <v>45839</v>
      </c>
      <c r="G233" s="11" t="n">
        <v>45930</v>
      </c>
      <c r="H233" s="12">
        <f>IF(OR($F233="",$G233=""),"",$G233-$F233+1)</f>
        <v/>
      </c>
      <c r="I233" s="10">
        <f>IF($F233="","",IF(MONTH($F233)&gt;=4,YEAR($F233)&amp;"-"&amp;TEXT(YEAR($F233)+1-2000,"00"),YEAR($F233)-1&amp;"-"&amp;TEXT(YEAR($F233)-2000,"00")))</f>
        <v/>
      </c>
      <c r="J233" s="13" t="n">
        <v>32724</v>
      </c>
      <c r="K233" s="14">
        <f>IFERROR($L233/$J233,"")</f>
        <v/>
      </c>
      <c r="L233" s="13" t="n">
        <v>32724</v>
      </c>
      <c r="M233" s="13">
        <f>IFERROR($L233/$H233,"")</f>
        <v/>
      </c>
      <c r="N233" s="11" t="n">
        <v>46030</v>
      </c>
      <c r="O233" s="10">
        <f>IF($N233="","No","Yes")</f>
        <v/>
      </c>
      <c r="P233" s="12">
        <f>IF(OR($F233="",$G233=""),0,IF(AND($F233&lt;=README!$B$4,README!$B$4&lt;=$G233),1,0))</f>
        <v/>
      </c>
      <c r="Q233" s="12">
        <f>IF(OR($F233="",$G233=""),0,IF(AND($F233&lt;=DATE(README!$B$5,12,31),$G233&gt;=DATE(README!$B$5,1,1)),1,0))</f>
        <v/>
      </c>
      <c r="R233" s="10" t="inlineStr">
        <is>
          <t>GUP-VEH0014</t>
        </is>
      </c>
      <c r="S233" s="11" t="n">
        <v>45748</v>
      </c>
      <c r="T233" s="10" t="inlineStr">
        <is>
          <t>609</t>
        </is>
      </c>
      <c r="U233" s="10" t="inlineStr">
        <is>
          <t>VEHICLE</t>
        </is>
      </c>
      <c r="V233" s="10" t="inlineStr">
        <is>
          <t>T</t>
        </is>
      </c>
      <c r="W233" s="10" t="inlineStr">
        <is>
          <t>VIVEK B</t>
        </is>
      </c>
    </row>
    <row r="234">
      <c r="A234" s="10" t="inlineStr">
        <is>
          <t>TN57BP3434</t>
        </is>
      </c>
      <c r="B234" s="10" t="inlineStr">
        <is>
          <t>SOCKS</t>
        </is>
      </c>
      <c r="C234" s="10" t="inlineStr">
        <is>
          <t>ROAD TAX</t>
        </is>
      </c>
      <c r="D234" s="10" t="inlineStr">
        <is>
          <t>ROAD TAX</t>
        </is>
      </c>
      <c r="E234" s="10" t="inlineStr">
        <is>
          <t>QUARTER - III</t>
        </is>
      </c>
      <c r="F234" s="11" t="n">
        <v>45931</v>
      </c>
      <c r="G234" s="11" t="n">
        <v>46022</v>
      </c>
      <c r="H234" s="12">
        <f>IF(OR($F234="",$G234=""),"",$G234-$F234+1)</f>
        <v/>
      </c>
      <c r="I234" s="10">
        <f>IF($F234="","",IF(MONTH($F234)&gt;=4,YEAR($F234)&amp;"-"&amp;TEXT(YEAR($F234)+1-2000,"00"),YEAR($F234)-1&amp;"-"&amp;TEXT(YEAR($F234)-2000,"00")))</f>
        <v/>
      </c>
      <c r="J234" s="13" t="n">
        <v>32734</v>
      </c>
      <c r="K234" s="14">
        <f>IFERROR($L234/$J234,"")</f>
        <v/>
      </c>
      <c r="L234" s="13" t="n">
        <v>32734</v>
      </c>
      <c r="M234" s="13">
        <f>IFERROR($L234/$H234,"")</f>
        <v/>
      </c>
      <c r="N234" s="11" t="n">
        <v>46030</v>
      </c>
      <c r="O234" s="10">
        <f>IF($N234="","No","Yes")</f>
        <v/>
      </c>
      <c r="P234" s="12">
        <f>IF(OR($F234="",$G234=""),0,IF(AND($F234&lt;=README!$B$4,README!$B$4&lt;=$G234),1,0))</f>
        <v/>
      </c>
      <c r="Q234" s="12">
        <f>IF(OR($F234="",$G234=""),0,IF(AND($F234&lt;=DATE(README!$B$5,12,31),$G234&gt;=DATE(README!$B$5,1,1)),1,0))</f>
        <v/>
      </c>
      <c r="R234" s="10" t="inlineStr">
        <is>
          <t>GUP-VEH0014</t>
        </is>
      </c>
      <c r="S234" s="11" t="n">
        <v>45748</v>
      </c>
      <c r="T234" s="10" t="inlineStr">
        <is>
          <t>609</t>
        </is>
      </c>
      <c r="U234" s="10" t="inlineStr">
        <is>
          <t>VEHICLE</t>
        </is>
      </c>
      <c r="V234" s="10" t="inlineStr">
        <is>
          <t>T</t>
        </is>
      </c>
      <c r="W234" s="10" t="inlineStr">
        <is>
          <t>VIVEK B</t>
        </is>
      </c>
    </row>
    <row r="235">
      <c r="A235" s="10" t="inlineStr">
        <is>
          <t>TN57BP3434</t>
        </is>
      </c>
      <c r="B235" s="10" t="inlineStr">
        <is>
          <t>SOCKS</t>
        </is>
      </c>
      <c r="C235" s="10" t="inlineStr">
        <is>
          <t>RTO EXPENSE</t>
        </is>
      </c>
      <c r="D235" s="10" t="inlineStr">
        <is>
          <t>HP-LOAN CLOSURE</t>
        </is>
      </c>
      <c r="E235" s="10" t="inlineStr">
        <is>
          <t>DECEMBER</t>
        </is>
      </c>
      <c r="F235" s="11" t="n">
        <v>45992</v>
      </c>
      <c r="G235" s="11" t="n">
        <v>46022</v>
      </c>
      <c r="H235" s="12">
        <f>IF(OR($F235="",$G235=""),"",$G235-$F235+1)</f>
        <v/>
      </c>
      <c r="I235" s="10">
        <f>IF($F235="","",IF(MONTH($F235)&gt;=4,YEAR($F235)&amp;"-"&amp;TEXT(YEAR($F235)+1-2000,"00"),YEAR($F235)-1&amp;"-"&amp;TEXT(YEAR($F235)-2000,"00")))</f>
        <v/>
      </c>
      <c r="J235" s="13" t="n">
        <v>1300</v>
      </c>
      <c r="K235" s="14">
        <f>IFERROR($L235/$J235,"")</f>
        <v/>
      </c>
      <c r="L235" s="13" t="n">
        <v>1300</v>
      </c>
      <c r="M235" s="13">
        <f>IFERROR($L235/$H235,"")</f>
        <v/>
      </c>
      <c r="N235" s="11" t="n">
        <v>45994</v>
      </c>
      <c r="O235" s="10">
        <f>IF($N235="","No","Yes")</f>
        <v/>
      </c>
      <c r="P235" s="12">
        <f>IF(OR($F235="",$G235=""),0,IF(AND($F235&lt;=README!$B$4,README!$B$4&lt;=$G235),1,0))</f>
        <v/>
      </c>
      <c r="Q235" s="12">
        <f>IF(OR($F235="",$G235=""),0,IF(AND($F235&lt;=DATE(README!$B$5,12,31),$G235&gt;=DATE(README!$B$5,1,1)),1,0))</f>
        <v/>
      </c>
      <c r="R235" s="10" t="inlineStr">
        <is>
          <t>GUP-VEH0022</t>
        </is>
      </c>
      <c r="S235" s="11" t="n">
        <v>45834</v>
      </c>
      <c r="T235" s="10" t="inlineStr">
        <is>
          <t>655</t>
        </is>
      </c>
      <c r="U235" s="10" t="inlineStr">
        <is>
          <t>VEHICLE</t>
        </is>
      </c>
      <c r="V235" s="10" t="inlineStr">
        <is>
          <t>T</t>
        </is>
      </c>
      <c r="W235" s="10" t="inlineStr">
        <is>
          <t>VIVEK B</t>
        </is>
      </c>
    </row>
    <row r="236">
      <c r="A236" s="10" t="inlineStr">
        <is>
          <t>TN57BP3434</t>
        </is>
      </c>
      <c r="B236" s="10" t="inlineStr">
        <is>
          <t>SOCKS</t>
        </is>
      </c>
      <c r="C236" s="10" t="inlineStr">
        <is>
          <t>ROAD TAX</t>
        </is>
      </c>
      <c r="D236" s="10" t="inlineStr">
        <is>
          <t>ROAD TAX</t>
        </is>
      </c>
      <c r="E236" s="10" t="inlineStr">
        <is>
          <t>QUARTER - IV</t>
        </is>
      </c>
      <c r="F236" s="11" t="n">
        <v>46023</v>
      </c>
      <c r="G236" s="11" t="n">
        <v>46112</v>
      </c>
      <c r="H236" s="12">
        <f>IF(OR($F236="",$G236=""),"",$G236-$F236+1)</f>
        <v/>
      </c>
      <c r="I236" s="10">
        <f>IF($F236="","",IF(MONTH($F236)&gt;=4,YEAR($F236)&amp;"-"&amp;TEXT(YEAR($F236)+1-2000,"00"),YEAR($F236)-1&amp;"-"&amp;TEXT(YEAR($F236)-2000,"00")))</f>
        <v/>
      </c>
      <c r="J236" s="13" t="n">
        <v>32734</v>
      </c>
      <c r="K236" s="14">
        <f>IFERROR($L236/$J236,"")</f>
        <v/>
      </c>
      <c r="L236" s="13" t="n">
        <v>32734</v>
      </c>
      <c r="M236" s="13">
        <f>IFERROR($L236/$H236,"")</f>
        <v/>
      </c>
      <c r="N236" s="11" t="n">
        <v>46030</v>
      </c>
      <c r="O236" s="10">
        <f>IF($N236="","No","Yes")</f>
        <v/>
      </c>
      <c r="P236" s="12">
        <f>IF(OR($F236="",$G236=""),0,IF(AND($F236&lt;=README!$B$4,README!$B$4&lt;=$G236),1,0))</f>
        <v/>
      </c>
      <c r="Q236" s="12">
        <f>IF(OR($F236="",$G236=""),0,IF(AND($F236&lt;=DATE(README!$B$5,12,31),$G236&gt;=DATE(README!$B$5,1,1)),1,0))</f>
        <v/>
      </c>
      <c r="R236" s="10" t="inlineStr">
        <is>
          <t>GUP-VEH0014</t>
        </is>
      </c>
      <c r="S236" s="11" t="n">
        <v>45748</v>
      </c>
      <c r="T236" s="10" t="inlineStr">
        <is>
          <t>609</t>
        </is>
      </c>
      <c r="U236" s="10" t="inlineStr">
        <is>
          <t>VEHICLE</t>
        </is>
      </c>
      <c r="V236" s="10" t="inlineStr">
        <is>
          <t>T</t>
        </is>
      </c>
      <c r="W236" s="10" t="inlineStr">
        <is>
          <t>VIVEK B</t>
        </is>
      </c>
    </row>
    <row r="237">
      <c r="A237" s="10" t="inlineStr">
        <is>
          <t>TN57BP3434</t>
        </is>
      </c>
      <c r="B237" s="10" t="inlineStr">
        <is>
          <t>SOCKS</t>
        </is>
      </c>
      <c r="C237" s="10" t="inlineStr">
        <is>
          <t>FC WORK</t>
        </is>
      </c>
      <c r="D237" s="10" t="inlineStr">
        <is>
          <t>FC WORK</t>
        </is>
      </c>
      <c r="E237" s="10" t="inlineStr">
        <is>
          <t>FEBRUARY</t>
        </is>
      </c>
      <c r="F237" s="11" t="n">
        <v>46054</v>
      </c>
      <c r="G237" s="11" t="n">
        <v>46081</v>
      </c>
      <c r="H237" s="12">
        <f>IF(OR($F237="",$G237=""),"",$G237-$F237+1)</f>
        <v/>
      </c>
      <c r="I237" s="10">
        <f>IF($F237="","",IF(MONTH($F237)&gt;=4,YEAR($F237)&amp;"-"&amp;TEXT(YEAR($F237)+1-2000,"00"),YEAR($F237)-1&amp;"-"&amp;TEXT(YEAR($F237)-2000,"00")))</f>
        <v/>
      </c>
      <c r="J237" s="13" t="n">
        <v>43110</v>
      </c>
      <c r="K237" s="14">
        <f>IFERROR($L237/$J237,"")</f>
        <v/>
      </c>
      <c r="L237" s="13" t="n">
        <v>43110</v>
      </c>
      <c r="M237" s="13">
        <f>IFERROR($L237/$H237,"")</f>
        <v/>
      </c>
      <c r="N237" s="11" t="n">
        <v>46065</v>
      </c>
      <c r="O237" s="10">
        <f>IF($N237="","No","Yes")</f>
        <v/>
      </c>
      <c r="P237" s="12">
        <f>IF(OR($F237="",$G237=""),0,IF(AND($F237&lt;=README!$B$4,README!$B$4&lt;=$G237),1,0))</f>
        <v/>
      </c>
      <c r="Q237" s="12">
        <f>IF(OR($F237="",$G237=""),0,IF(AND($F237&lt;=DATE(README!$B$5,12,31),$G237&gt;=DATE(README!$B$5,1,1)),1,0))</f>
        <v/>
      </c>
      <c r="R237" s="10" t="inlineStr">
        <is>
          <t>GUP-VEH0021</t>
        </is>
      </c>
      <c r="S237" s="11" t="n">
        <v>45832</v>
      </c>
      <c r="T237" s="10" t="inlineStr">
        <is>
          <t>654</t>
        </is>
      </c>
      <c r="U237" s="10" t="inlineStr">
        <is>
          <t>VEHICLE</t>
        </is>
      </c>
      <c r="V237" s="10" t="inlineStr">
        <is>
          <t>T</t>
        </is>
      </c>
      <c r="W237" s="10" t="inlineStr">
        <is>
          <t>VIVEK B</t>
        </is>
      </c>
    </row>
    <row r="238">
      <c r="A238" s="10" t="inlineStr">
        <is>
          <t>TN57BP3434</t>
        </is>
      </c>
      <c r="B238" s="10" t="inlineStr">
        <is>
          <t>SOCKS</t>
        </is>
      </c>
      <c r="C238" s="10" t="inlineStr">
        <is>
          <t>ROAD TAX</t>
        </is>
      </c>
      <c r="D238" s="10" t="inlineStr">
        <is>
          <t>ROAD TAX</t>
        </is>
      </c>
      <c r="E238" s="10" t="inlineStr">
        <is>
          <t>QUARTER - I</t>
        </is>
      </c>
      <c r="F238" s="11" t="n">
        <v>46113</v>
      </c>
      <c r="G238" s="11" t="n">
        <v>46203</v>
      </c>
      <c r="H238" s="12">
        <f>IF(OR($F238="",$G238=""),"",$G238-$F238+1)</f>
        <v/>
      </c>
      <c r="I238" s="10">
        <f>IF($F238="","",IF(MONTH($F238)&gt;=4,YEAR($F238)&amp;"-"&amp;TEXT(YEAR($F238)+1-2000,"00"),YEAR($F238)-1&amp;"-"&amp;TEXT(YEAR($F238)-2000,"00")))</f>
        <v/>
      </c>
      <c r="J238" s="13" t="n">
        <v>32734</v>
      </c>
      <c r="K238" s="14">
        <f>IFERROR($L238/$J238,"")</f>
        <v/>
      </c>
      <c r="L238" s="13" t="n">
        <v>32734</v>
      </c>
      <c r="M238" s="13">
        <f>IFERROR($L238/$H238,"")</f>
        <v/>
      </c>
      <c r="N238" s="11" t="n">
        <v>46088</v>
      </c>
      <c r="O238" s="10">
        <f>IF($N238="","No","Yes")</f>
        <v/>
      </c>
      <c r="P238" s="12">
        <f>IF(OR($F238="",$G238=""),0,IF(AND($F238&lt;=README!$B$4,README!$B$4&lt;=$G238),1,0))</f>
        <v/>
      </c>
      <c r="Q238" s="12">
        <f>IF(OR($F238="",$G238=""),0,IF(AND($F238&lt;=DATE(README!$B$5,12,31),$G238&gt;=DATE(README!$B$5,1,1)),1,0))</f>
        <v/>
      </c>
      <c r="R238" s="10" t="inlineStr">
        <is>
          <t>GUP-VEH0030</t>
        </is>
      </c>
      <c r="S238" s="11" t="n">
        <v>46113</v>
      </c>
      <c r="T238" s="10" t="inlineStr">
        <is>
          <t>796</t>
        </is>
      </c>
      <c r="U238" s="10" t="inlineStr">
        <is>
          <t>VEHICLE</t>
        </is>
      </c>
      <c r="V238" s="10" t="inlineStr">
        <is>
          <t>T</t>
        </is>
      </c>
      <c r="W238" s="10" t="inlineStr">
        <is>
          <t>VIVEK B</t>
        </is>
      </c>
    </row>
    <row r="239">
      <c r="A239" s="10" t="inlineStr">
        <is>
          <t>TN57BP3434</t>
        </is>
      </c>
      <c r="B239" s="10" t="inlineStr">
        <is>
          <t>SOCKS</t>
        </is>
      </c>
      <c r="C239" s="10" t="inlineStr">
        <is>
          <t>ROAD TAX</t>
        </is>
      </c>
      <c r="D239" s="10" t="inlineStr">
        <is>
          <t>ROAD TAX</t>
        </is>
      </c>
      <c r="E239" s="10" t="inlineStr">
        <is>
          <t>QUARTER - II</t>
        </is>
      </c>
      <c r="F239" s="11" t="n">
        <v>46204</v>
      </c>
      <c r="G239" s="11" t="n">
        <v>46295</v>
      </c>
      <c r="H239" s="12">
        <f>IF(OR($F239="",$G239=""),"",$G239-$F239+1)</f>
        <v/>
      </c>
      <c r="I239" s="10">
        <f>IF($F239="","",IF(MONTH($F239)&gt;=4,YEAR($F239)&amp;"-"&amp;TEXT(YEAR($F239)+1-2000,"00"),YEAR($F239)-1&amp;"-"&amp;TEXT(YEAR($F239)-2000,"00")))</f>
        <v/>
      </c>
      <c r="J239" s="13" t="n">
        <v>32734</v>
      </c>
      <c r="K239" s="14">
        <f>IFERROR($L239/$J239,"")</f>
        <v/>
      </c>
      <c r="L239" s="13" t="n">
        <v>32734</v>
      </c>
      <c r="M239" s="13">
        <f>IFERROR($L239/$H239,"")</f>
        <v/>
      </c>
      <c r="N239" s="11" t="n">
        <v>46196</v>
      </c>
      <c r="O239" s="10">
        <f>IF($N239="","No","Yes")</f>
        <v/>
      </c>
      <c r="P239" s="12">
        <f>IF(OR($F239="",$G239=""),0,IF(AND($F239&lt;=README!$B$4,README!$B$4&lt;=$G239),1,0))</f>
        <v/>
      </c>
      <c r="Q239" s="12">
        <f>IF(OR($F239="",$G239=""),0,IF(AND($F239&lt;=DATE(README!$B$5,12,31),$G239&gt;=DATE(README!$B$5,1,1)),1,0))</f>
        <v/>
      </c>
      <c r="R239" s="10" t="inlineStr">
        <is>
          <t>GUP-VEH0030</t>
        </is>
      </c>
      <c r="S239" s="11" t="n">
        <v>46113</v>
      </c>
      <c r="T239" s="10" t="inlineStr">
        <is>
          <t>796</t>
        </is>
      </c>
      <c r="U239" s="10" t="inlineStr">
        <is>
          <t>VEHICLE</t>
        </is>
      </c>
      <c r="V239" s="10" t="inlineStr">
        <is>
          <t>T</t>
        </is>
      </c>
      <c r="W239" s="10" t="inlineStr">
        <is>
          <t>VIVEK B</t>
        </is>
      </c>
    </row>
    <row r="240">
      <c r="A240" s="10" t="inlineStr">
        <is>
          <t>TN57BP3636</t>
        </is>
      </c>
      <c r="B240" s="10" t="inlineStr">
        <is>
          <t>SOCKS</t>
        </is>
      </c>
      <c r="C240" s="10" t="inlineStr">
        <is>
          <t>ROAD TAX</t>
        </is>
      </c>
      <c r="D240" s="10" t="inlineStr">
        <is>
          <t>ROAD TAX</t>
        </is>
      </c>
      <c r="E240" s="10" t="inlineStr">
        <is>
          <t>YEARLY</t>
        </is>
      </c>
      <c r="F240" s="11" t="n">
        <v>45383</v>
      </c>
      <c r="G240" s="11" t="n">
        <v>45747</v>
      </c>
      <c r="H240" s="12">
        <f>IF(OR($F240="",$G240=""),"",$G240-$F240+1)</f>
        <v/>
      </c>
      <c r="I240" s="10">
        <f>IF($F240="","",IF(MONTH($F240)&gt;=4,YEAR($F240)&amp;"-"&amp;TEXT(YEAR($F240)+1-2000,"00"),YEAR($F240)-1&amp;"-"&amp;TEXT(YEAR($F240)-2000,"00")))</f>
        <v/>
      </c>
      <c r="J240" s="13" t="n">
        <v>21816</v>
      </c>
      <c r="K240" s="14">
        <f>IFERROR($L240/$J240,"")</f>
        <v/>
      </c>
      <c r="L240" s="13" t="n">
        <v>21816</v>
      </c>
      <c r="M240" s="13">
        <f>IFERROR($L240/$H240,"")</f>
        <v/>
      </c>
      <c r="N240" s="11" t="n">
        <v>45649</v>
      </c>
      <c r="O240" s="10">
        <f>IF($N240="","No","Yes")</f>
        <v/>
      </c>
      <c r="P240" s="12">
        <f>IF(OR($F240="",$G240=""),0,IF(AND($F240&lt;=README!$B$4,README!$B$4&lt;=$G240),1,0))</f>
        <v/>
      </c>
      <c r="Q240" s="12">
        <f>IF(OR($F240="",$G240=""),0,IF(AND($F240&lt;=DATE(README!$B$5,12,31),$G240&gt;=DATE(README!$B$5,1,1)),1,0))</f>
        <v/>
      </c>
      <c r="R240" s="10" t="inlineStr">
        <is>
          <t>GUP-VEH0011</t>
        </is>
      </c>
      <c r="S240" s="11" t="n">
        <v>45477</v>
      </c>
      <c r="T240" s="10" t="inlineStr">
        <is>
          <t>548</t>
        </is>
      </c>
      <c r="U240" s="10" t="inlineStr">
        <is>
          <t>VEHICLE</t>
        </is>
      </c>
      <c r="V240" s="10" t="inlineStr">
        <is>
          <t>T</t>
        </is>
      </c>
      <c r="W240" s="10" t="inlineStr">
        <is>
          <t>VIVEK B</t>
        </is>
      </c>
    </row>
    <row r="241">
      <c r="A241" s="10" t="inlineStr">
        <is>
          <t>TN57BP3636</t>
        </is>
      </c>
      <c r="B241" s="10" t="inlineStr">
        <is>
          <t>SOCKS</t>
        </is>
      </c>
      <c r="C241" s="10" t="inlineStr">
        <is>
          <t>ROAD TAX</t>
        </is>
      </c>
      <c r="D241" s="10" t="inlineStr">
        <is>
          <t>ROAD TAX</t>
        </is>
      </c>
      <c r="E241" s="10" t="inlineStr">
        <is>
          <t>YEARLY</t>
        </is>
      </c>
      <c r="F241" s="11" t="n">
        <v>45383</v>
      </c>
      <c r="G241" s="11" t="n">
        <v>45747</v>
      </c>
      <c r="H241" s="12">
        <f>IF(OR($F241="",$G241=""),"",$G241-$F241+1)</f>
        <v/>
      </c>
      <c r="I241" s="10">
        <f>IF($F241="","",IF(MONTH($F241)&gt;=4,YEAR($F241)&amp;"-"&amp;TEXT(YEAR($F241)+1-2000,"00"),YEAR($F241)-1&amp;"-"&amp;TEXT(YEAR($F241)-2000,"00")))</f>
        <v/>
      </c>
      <c r="J241" s="13" t="n">
        <v>21816</v>
      </c>
      <c r="K241" s="14">
        <f>IFERROR($L241/$J241,"")</f>
        <v/>
      </c>
      <c r="L241" s="13" t="n">
        <v>21816</v>
      </c>
      <c r="M241" s="13">
        <f>IFERROR($L241/$H241,"")</f>
        <v/>
      </c>
      <c r="N241" s="11" t="n">
        <v>45569</v>
      </c>
      <c r="O241" s="10">
        <f>IF($N241="","No","Yes")</f>
        <v/>
      </c>
      <c r="P241" s="12">
        <f>IF(OR($F241="",$G241=""),0,IF(AND($F241&lt;=README!$B$4,README!$B$4&lt;=$G241),1,0))</f>
        <v/>
      </c>
      <c r="Q241" s="12">
        <f>IF(OR($F241="",$G241=""),0,IF(AND($F241&lt;=DATE(README!$B$5,12,31),$G241&gt;=DATE(README!$B$5,1,1)),1,0))</f>
        <v/>
      </c>
      <c r="R241" s="10" t="inlineStr">
        <is>
          <t>GUP-VEH0011</t>
        </is>
      </c>
      <c r="S241" s="11" t="n">
        <v>45477</v>
      </c>
      <c r="T241" s="10" t="inlineStr">
        <is>
          <t>548</t>
        </is>
      </c>
      <c r="U241" s="10" t="inlineStr">
        <is>
          <t>VEHICLE</t>
        </is>
      </c>
      <c r="V241" s="10" t="inlineStr">
        <is>
          <t>T</t>
        </is>
      </c>
      <c r="W241" s="10" t="inlineStr">
        <is>
          <t>VIVEK B</t>
        </is>
      </c>
    </row>
    <row r="242">
      <c r="A242" s="10" t="inlineStr">
        <is>
          <t>TN57BP3636</t>
        </is>
      </c>
      <c r="B242" s="10" t="inlineStr">
        <is>
          <t>SOCKS</t>
        </is>
      </c>
      <c r="C242" s="10" t="inlineStr">
        <is>
          <t>ROAD TAX</t>
        </is>
      </c>
      <c r="D242" s="10" t="inlineStr">
        <is>
          <t>ROAD TAX</t>
        </is>
      </c>
      <c r="E242" s="10" t="inlineStr">
        <is>
          <t>YEARLY</t>
        </is>
      </c>
      <c r="F242" s="11" t="n">
        <v>45383</v>
      </c>
      <c r="G242" s="11" t="n">
        <v>45747</v>
      </c>
      <c r="H242" s="12">
        <f>IF(OR($F242="",$G242=""),"",$G242-$F242+1)</f>
        <v/>
      </c>
      <c r="I242" s="10">
        <f>IF($F242="","",IF(MONTH($F242)&gt;=4,YEAR($F242)&amp;"-"&amp;TEXT(YEAR($F242)+1-2000,"00"),YEAR($F242)-1&amp;"-"&amp;TEXT(YEAR($F242)-2000,"00")))</f>
        <v/>
      </c>
      <c r="J242" s="13" t="n">
        <v>21816</v>
      </c>
      <c r="K242" s="14">
        <f>IFERROR($L242/$J242,"")</f>
        <v/>
      </c>
      <c r="L242" s="13" t="n">
        <v>21816</v>
      </c>
      <c r="M242" s="13">
        <f>IFERROR($L242/$H242,"")</f>
        <v/>
      </c>
      <c r="N242" s="11" t="n">
        <v>45481</v>
      </c>
      <c r="O242" s="10">
        <f>IF($N242="","No","Yes")</f>
        <v/>
      </c>
      <c r="P242" s="12">
        <f>IF(OR($F242="",$G242=""),0,IF(AND($F242&lt;=README!$B$4,README!$B$4&lt;=$G242),1,0))</f>
        <v/>
      </c>
      <c r="Q242" s="12">
        <f>IF(OR($F242="",$G242=""),0,IF(AND($F242&lt;=DATE(README!$B$5,12,31),$G242&gt;=DATE(README!$B$5,1,1)),1,0))</f>
        <v/>
      </c>
      <c r="R242" s="10" t="inlineStr">
        <is>
          <t>GUP-VEH0011</t>
        </is>
      </c>
      <c r="S242" s="11" t="n">
        <v>45477</v>
      </c>
      <c r="T242" s="10" t="inlineStr">
        <is>
          <t>548</t>
        </is>
      </c>
      <c r="U242" s="10" t="inlineStr">
        <is>
          <t>VEHICLE</t>
        </is>
      </c>
      <c r="V242" s="10" t="inlineStr">
        <is>
          <t>T</t>
        </is>
      </c>
      <c r="W242" s="10" t="inlineStr">
        <is>
          <t>VIVEK B</t>
        </is>
      </c>
    </row>
    <row r="243">
      <c r="A243" s="10" t="inlineStr">
        <is>
          <t>TN57BP3636</t>
        </is>
      </c>
      <c r="B243" s="10" t="inlineStr">
        <is>
          <t>SOCKS</t>
        </is>
      </c>
      <c r="C243" s="10" t="inlineStr">
        <is>
          <t>RTO EXPENSE</t>
        </is>
      </c>
      <c r="D243" s="10" t="inlineStr">
        <is>
          <t>ADDITIONAL DISTRICT PERMIT</t>
        </is>
      </c>
      <c r="E243" s="10" t="inlineStr">
        <is>
          <t>YEARLY</t>
        </is>
      </c>
      <c r="F243" s="11" t="n">
        <v>45383</v>
      </c>
      <c r="G243" s="11" t="n">
        <v>45747</v>
      </c>
      <c r="H243" s="12">
        <f>IF(OR($F243="",$G243=""),"",$G243-$F243+1)</f>
        <v/>
      </c>
      <c r="I243" s="10">
        <f>IF($F243="","",IF(MONTH($F243)&gt;=4,YEAR($F243)&amp;"-"&amp;TEXT(YEAR($F243)+1-2000,"00"),YEAR($F243)-1&amp;"-"&amp;TEXT(YEAR($F243)-2000,"00")))</f>
        <v/>
      </c>
      <c r="J243" s="13" t="n">
        <v>7000</v>
      </c>
      <c r="K243" s="14">
        <f>IFERROR($L243/$J243,"")</f>
        <v/>
      </c>
      <c r="L243" s="13" t="n">
        <v>7000</v>
      </c>
      <c r="M243" s="13">
        <f>IFERROR($L243/$H243,"")</f>
        <v/>
      </c>
      <c r="N243" s="11" t="n">
        <v>45699</v>
      </c>
      <c r="O243" s="10">
        <f>IF($N243="","No","Yes")</f>
        <v/>
      </c>
      <c r="P243" s="12">
        <f>IF(OR($F243="",$G243=""),0,IF(AND($F243&lt;=README!$B$4,README!$B$4&lt;=$G243),1,0))</f>
        <v/>
      </c>
      <c r="Q243" s="12">
        <f>IF(OR($F243="",$G243=""),0,IF(AND($F243&lt;=DATE(README!$B$5,12,31),$G243&gt;=DATE(README!$B$5,1,1)),1,0))</f>
        <v/>
      </c>
      <c r="R243" s="10" t="inlineStr">
        <is>
          <t>GUP-VEH0010</t>
        </is>
      </c>
      <c r="S243" s="11" t="n">
        <v>45475</v>
      </c>
      <c r="T243" s="10" t="inlineStr">
        <is>
          <t>547</t>
        </is>
      </c>
      <c r="U243" s="10" t="inlineStr">
        <is>
          <t>VEHICLE</t>
        </is>
      </c>
      <c r="V243" s="10" t="inlineStr">
        <is>
          <t>T</t>
        </is>
      </c>
      <c r="W243" s="10" t="inlineStr">
        <is>
          <t>VIVEK B</t>
        </is>
      </c>
    </row>
    <row r="244">
      <c r="A244" s="10" t="inlineStr">
        <is>
          <t>TN57BP3636</t>
        </is>
      </c>
      <c r="B244" s="10" t="inlineStr">
        <is>
          <t>SOCKS</t>
        </is>
      </c>
      <c r="C244" s="10" t="inlineStr">
        <is>
          <t>TYRE</t>
        </is>
      </c>
      <c r="D244" s="10" t="inlineStr">
        <is>
          <t>TYRE</t>
        </is>
      </c>
      <c r="E244" s="10" t="inlineStr">
        <is>
          <t>YEARLY</t>
        </is>
      </c>
      <c r="F244" s="11" t="n">
        <v>45383</v>
      </c>
      <c r="G244" s="11" t="n">
        <v>45747</v>
      </c>
      <c r="H244" s="12">
        <f>IF(OR($F244="",$G244=""),"",$G244-$F244+1)</f>
        <v/>
      </c>
      <c r="I244" s="10">
        <f>IF($F244="","",IF(MONTH($F244)&gt;=4,YEAR($F244)&amp;"-"&amp;TEXT(YEAR($F244)+1-2000,"00"),YEAR($F244)-1&amp;"-"&amp;TEXT(YEAR($F244)-2000,"00")))</f>
        <v/>
      </c>
      <c r="J244" s="13" t="n">
        <v>19200</v>
      </c>
      <c r="K244" s="14">
        <f>IFERROR($L244/$J244,"")</f>
        <v/>
      </c>
      <c r="L244" s="13" t="n">
        <v>57600</v>
      </c>
      <c r="M244" s="13">
        <f>IFERROR($L244/$H244,"")</f>
        <v/>
      </c>
      <c r="N244" s="11" t="n">
        <v>45554</v>
      </c>
      <c r="O244" s="10">
        <f>IF($N244="","No","Yes")</f>
        <v/>
      </c>
      <c r="P244" s="12">
        <f>IF(OR($F244="",$G244=""),0,IF(AND($F244&lt;=README!$B$4,README!$B$4&lt;=$G244),1,0))</f>
        <v/>
      </c>
      <c r="Q244" s="12">
        <f>IF(OR($F244="",$G244=""),0,IF(AND($F244&lt;=DATE(README!$B$5,12,31),$G244&gt;=DATE(README!$B$5,1,1)),1,0))</f>
        <v/>
      </c>
      <c r="R244" s="10" t="inlineStr">
        <is>
          <t>GUP-VEH0006</t>
        </is>
      </c>
      <c r="S244" s="11" t="n">
        <v>45442</v>
      </c>
      <c r="T244" s="10" t="inlineStr">
        <is>
          <t>522</t>
        </is>
      </c>
      <c r="U244" s="10" t="inlineStr">
        <is>
          <t>VEHICLE</t>
        </is>
      </c>
      <c r="V244" s="10" t="inlineStr">
        <is>
          <t>T</t>
        </is>
      </c>
      <c r="W244" s="10" t="inlineStr">
        <is>
          <t>VIVEK B</t>
        </is>
      </c>
    </row>
    <row r="245">
      <c r="A245" s="10" t="inlineStr">
        <is>
          <t>TN57BP3636</t>
        </is>
      </c>
      <c r="B245" s="10" t="inlineStr">
        <is>
          <t>SOCKS</t>
        </is>
      </c>
      <c r="C245" s="10" t="inlineStr">
        <is>
          <t>VEHICLE INSURANCE</t>
        </is>
      </c>
      <c r="D245" s="10" t="inlineStr">
        <is>
          <t>VEHICLE INSURANCE</t>
        </is>
      </c>
      <c r="E245" s="10" t="inlineStr">
        <is>
          <t>YEARLY</t>
        </is>
      </c>
      <c r="F245" s="11" t="n">
        <v>45383</v>
      </c>
      <c r="G245" s="11" t="n">
        <v>45747</v>
      </c>
      <c r="H245" s="12">
        <f>IF(OR($F245="",$G245=""),"",$G245-$F245+1)</f>
        <v/>
      </c>
      <c r="I245" s="10">
        <f>IF($F245="","",IF(MONTH($F245)&gt;=4,YEAR($F245)&amp;"-"&amp;TEXT(YEAR($F245)+1-2000,"00"),YEAR($F245)-1&amp;"-"&amp;TEXT(YEAR($F245)-2000,"00")))</f>
        <v/>
      </c>
      <c r="J245" s="13" t="n">
        <v>58327</v>
      </c>
      <c r="K245" s="14">
        <f>IFERROR($L245/$J245,"")</f>
        <v/>
      </c>
      <c r="L245" s="13" t="n">
        <v>58327</v>
      </c>
      <c r="M245" s="13">
        <f>IFERROR($L245/$H245,"")</f>
        <v/>
      </c>
      <c r="N245" s="11" t="n">
        <v>45664</v>
      </c>
      <c r="O245" s="10">
        <f>IF($N245="","No","Yes")</f>
        <v/>
      </c>
      <c r="P245" s="12">
        <f>IF(OR($F245="",$G245=""),0,IF(AND($F245&lt;=README!$B$4,README!$B$4&lt;=$G245),1,0))</f>
        <v/>
      </c>
      <c r="Q245" s="12">
        <f>IF(OR($F245="",$G245=""),0,IF(AND($F245&lt;=DATE(README!$B$5,12,31),$G245&gt;=DATE(README!$B$5,1,1)),1,0))</f>
        <v/>
      </c>
      <c r="R245" s="10" t="inlineStr">
        <is>
          <t>GUP-VEH0013</t>
        </is>
      </c>
      <c r="S245" s="11" t="n">
        <v>45478</v>
      </c>
      <c r="T245" s="10" t="inlineStr">
        <is>
          <t>550</t>
        </is>
      </c>
      <c r="U245" s="10" t="inlineStr">
        <is>
          <t>VEHICLE</t>
        </is>
      </c>
      <c r="V245" s="10" t="inlineStr">
        <is>
          <t>T</t>
        </is>
      </c>
      <c r="W245" s="10" t="inlineStr">
        <is>
          <t>VIVEK B</t>
        </is>
      </c>
    </row>
    <row r="246">
      <c r="A246" s="10" t="inlineStr">
        <is>
          <t>TN57BP3636</t>
        </is>
      </c>
      <c r="B246" s="10" t="inlineStr">
        <is>
          <t>SOCKS</t>
        </is>
      </c>
      <c r="C246" s="10" t="inlineStr">
        <is>
          <t>ROAD TAX</t>
        </is>
      </c>
      <c r="D246" s="10" t="inlineStr">
        <is>
          <t>ROAD TAX</t>
        </is>
      </c>
      <c r="E246" s="10" t="inlineStr">
        <is>
          <t>QUARTER - I</t>
        </is>
      </c>
      <c r="F246" s="11" t="n">
        <v>45748</v>
      </c>
      <c r="G246" s="11" t="n">
        <v>45838</v>
      </c>
      <c r="H246" s="12">
        <f>IF(OR($F246="",$G246=""),"",$G246-$F246+1)</f>
        <v/>
      </c>
      <c r="I246" s="10">
        <f>IF($F246="","",IF(MONTH($F246)&gt;=4,YEAR($F246)&amp;"-"&amp;TEXT(YEAR($F246)+1-2000,"00"),YEAR($F246)-1&amp;"-"&amp;TEXT(YEAR($F246)-2000,"00")))</f>
        <v/>
      </c>
      <c r="J246" s="13" t="n">
        <v>21816</v>
      </c>
      <c r="K246" s="14">
        <f>IFERROR($L246/$J246,"")</f>
        <v/>
      </c>
      <c r="L246" s="13" t="n">
        <v>21816</v>
      </c>
      <c r="M246" s="13">
        <f>IFERROR($L246/$H246,"")</f>
        <v/>
      </c>
      <c r="N246" s="11" t="n">
        <v>46030</v>
      </c>
      <c r="O246" s="10">
        <f>IF($N246="","No","Yes")</f>
        <v/>
      </c>
      <c r="P246" s="12">
        <f>IF(OR($F246="",$G246=""),0,IF(AND($F246&lt;=README!$B$4,README!$B$4&lt;=$G246),1,0))</f>
        <v/>
      </c>
      <c r="Q246" s="12">
        <f>IF(OR($F246="",$G246=""),0,IF(AND($F246&lt;=DATE(README!$B$5,12,31),$G246&gt;=DATE(README!$B$5,1,1)),1,0))</f>
        <v/>
      </c>
      <c r="R246" s="10" t="inlineStr">
        <is>
          <t>GUP-VEH0014</t>
        </is>
      </c>
      <c r="S246" s="11" t="n">
        <v>45748</v>
      </c>
      <c r="T246" s="10" t="inlineStr">
        <is>
          <t>609</t>
        </is>
      </c>
      <c r="U246" s="10" t="inlineStr">
        <is>
          <t>VEHICLE</t>
        </is>
      </c>
      <c r="V246" s="10" t="inlineStr">
        <is>
          <t>T</t>
        </is>
      </c>
      <c r="W246" s="10" t="inlineStr">
        <is>
          <t>VIVEK B</t>
        </is>
      </c>
    </row>
    <row r="247">
      <c r="A247" s="10" t="inlineStr">
        <is>
          <t>TN57BP3636</t>
        </is>
      </c>
      <c r="B247" s="10" t="inlineStr">
        <is>
          <t>SOCKS</t>
        </is>
      </c>
      <c r="C247" s="10" t="inlineStr">
        <is>
          <t>TYRE</t>
        </is>
      </c>
      <c r="D247" s="10" t="inlineStr">
        <is>
          <t>TYRE</t>
        </is>
      </c>
      <c r="E247" s="10" t="inlineStr">
        <is>
          <t>YEARLY</t>
        </is>
      </c>
      <c r="F247" s="11" t="n">
        <v>45748</v>
      </c>
      <c r="G247" s="11" t="n">
        <v>46112</v>
      </c>
      <c r="H247" s="12">
        <f>IF(OR($F247="",$G247=""),"",$G247-$F247+1)</f>
        <v/>
      </c>
      <c r="I247" s="10">
        <f>IF($F247="","",IF(MONTH($F247)&gt;=4,YEAR($F247)&amp;"-"&amp;TEXT(YEAR($F247)+1-2000,"00"),YEAR($F247)-1&amp;"-"&amp;TEXT(YEAR($F247)-2000,"00")))</f>
        <v/>
      </c>
      <c r="J247" s="13" t="n">
        <v>19200</v>
      </c>
      <c r="K247" s="14">
        <f>IFERROR($L247/$J247,"")</f>
        <v/>
      </c>
      <c r="L247" s="13" t="n">
        <v>19200</v>
      </c>
      <c r="M247" s="13">
        <f>IFERROR($L247/$H247,"")</f>
        <v/>
      </c>
      <c r="N247" s="11" t="n">
        <v>45986</v>
      </c>
      <c r="O247" s="10">
        <f>IF($N247="","No","Yes")</f>
        <v/>
      </c>
      <c r="P247" s="12">
        <f>IF(OR($F247="",$G247=""),0,IF(AND($F247&lt;=README!$B$4,README!$B$4&lt;=$G247),1,0))</f>
        <v/>
      </c>
      <c r="Q247" s="12">
        <f>IF(OR($F247="",$G247=""),0,IF(AND($F247&lt;=DATE(README!$B$5,12,31),$G247&gt;=DATE(README!$B$5,1,1)),1,0))</f>
        <v/>
      </c>
      <c r="R247" s="10" t="inlineStr">
        <is>
          <t>GUP-VEH0025</t>
        </is>
      </c>
      <c r="S247" s="11" t="n">
        <v>45957</v>
      </c>
      <c r="T247" s="10" t="inlineStr">
        <is>
          <t>726</t>
        </is>
      </c>
      <c r="U247" s="10" t="inlineStr">
        <is>
          <t>VEHICLE</t>
        </is>
      </c>
      <c r="V247" s="10" t="inlineStr">
        <is>
          <t>T</t>
        </is>
      </c>
      <c r="W247" s="10" t="inlineStr">
        <is>
          <t>VIVEK B</t>
        </is>
      </c>
    </row>
    <row r="248">
      <c r="A248" s="10" t="inlineStr">
        <is>
          <t>TN57BP3636</t>
        </is>
      </c>
      <c r="B248" s="10" t="inlineStr">
        <is>
          <t>SOCKS</t>
        </is>
      </c>
      <c r="C248" s="10" t="inlineStr">
        <is>
          <t>ROAD TAX</t>
        </is>
      </c>
      <c r="D248" s="10" t="inlineStr">
        <is>
          <t>ROAD TAX</t>
        </is>
      </c>
      <c r="E248" s="10" t="inlineStr">
        <is>
          <t>QUARTER - II</t>
        </is>
      </c>
      <c r="F248" s="11" t="n">
        <v>45839</v>
      </c>
      <c r="G248" s="11" t="n">
        <v>45930</v>
      </c>
      <c r="H248" s="12">
        <f>IF(OR($F248="",$G248=""),"",$G248-$F248+1)</f>
        <v/>
      </c>
      <c r="I248" s="10">
        <f>IF($F248="","",IF(MONTH($F248)&gt;=4,YEAR($F248)&amp;"-"&amp;TEXT(YEAR($F248)+1-2000,"00"),YEAR($F248)-1&amp;"-"&amp;TEXT(YEAR($F248)-2000,"00")))</f>
        <v/>
      </c>
      <c r="J248" s="13" t="n">
        <v>21816</v>
      </c>
      <c r="K248" s="14">
        <f>IFERROR($L248/$J248,"")</f>
        <v/>
      </c>
      <c r="L248" s="13" t="n">
        <v>21816</v>
      </c>
      <c r="M248" s="13">
        <f>IFERROR($L248/$H248,"")</f>
        <v/>
      </c>
      <c r="N248" s="11" t="n">
        <v>46030</v>
      </c>
      <c r="O248" s="10">
        <f>IF($N248="","No","Yes")</f>
        <v/>
      </c>
      <c r="P248" s="12">
        <f>IF(OR($F248="",$G248=""),0,IF(AND($F248&lt;=README!$B$4,README!$B$4&lt;=$G248),1,0))</f>
        <v/>
      </c>
      <c r="Q248" s="12">
        <f>IF(OR($F248="",$G248=""),0,IF(AND($F248&lt;=DATE(README!$B$5,12,31),$G248&gt;=DATE(README!$B$5,1,1)),1,0))</f>
        <v/>
      </c>
      <c r="R248" s="10" t="inlineStr">
        <is>
          <t>GUP-VEH0014</t>
        </is>
      </c>
      <c r="S248" s="11" t="n">
        <v>45748</v>
      </c>
      <c r="T248" s="10" t="inlineStr">
        <is>
          <t>609</t>
        </is>
      </c>
      <c r="U248" s="10" t="inlineStr">
        <is>
          <t>VEHICLE</t>
        </is>
      </c>
      <c r="V248" s="10" t="inlineStr">
        <is>
          <t>T</t>
        </is>
      </c>
      <c r="W248" s="10" t="inlineStr">
        <is>
          <t>VIVEK B</t>
        </is>
      </c>
    </row>
    <row r="249">
      <c r="A249" s="10" t="inlineStr">
        <is>
          <t>TN57BP3636</t>
        </is>
      </c>
      <c r="B249" s="10" t="inlineStr">
        <is>
          <t>SOCKS</t>
        </is>
      </c>
      <c r="C249" s="10" t="inlineStr">
        <is>
          <t>ROAD TAX</t>
        </is>
      </c>
      <c r="D249" s="10" t="inlineStr">
        <is>
          <t>ROAD TAX</t>
        </is>
      </c>
      <c r="E249" s="10" t="inlineStr">
        <is>
          <t>QUARTER - III</t>
        </is>
      </c>
      <c r="F249" s="11" t="n">
        <v>45931</v>
      </c>
      <c r="G249" s="11" t="n">
        <v>46022</v>
      </c>
      <c r="H249" s="12">
        <f>IF(OR($F249="",$G249=""),"",$G249-$F249+1)</f>
        <v/>
      </c>
      <c r="I249" s="10">
        <f>IF($F249="","",IF(MONTH($F249)&gt;=4,YEAR($F249)&amp;"-"&amp;TEXT(YEAR($F249)+1-2000,"00"),YEAR($F249)-1&amp;"-"&amp;TEXT(YEAR($F249)-2000,"00")))</f>
        <v/>
      </c>
      <c r="J249" s="13" t="n">
        <v>21826</v>
      </c>
      <c r="K249" s="14">
        <f>IFERROR($L249/$J249,"")</f>
        <v/>
      </c>
      <c r="L249" s="13" t="n">
        <v>21826</v>
      </c>
      <c r="M249" s="13">
        <f>IFERROR($L249/$H249,"")</f>
        <v/>
      </c>
      <c r="N249" s="11" t="n">
        <v>46030</v>
      </c>
      <c r="O249" s="10">
        <f>IF($N249="","No","Yes")</f>
        <v/>
      </c>
      <c r="P249" s="12">
        <f>IF(OR($F249="",$G249=""),0,IF(AND($F249&lt;=README!$B$4,README!$B$4&lt;=$G249),1,0))</f>
        <v/>
      </c>
      <c r="Q249" s="12">
        <f>IF(OR($F249="",$G249=""),0,IF(AND($F249&lt;=DATE(README!$B$5,12,31),$G249&gt;=DATE(README!$B$5,1,1)),1,0))</f>
        <v/>
      </c>
      <c r="R249" s="10" t="inlineStr">
        <is>
          <t>GUP-VEH0014</t>
        </is>
      </c>
      <c r="S249" s="11" t="n">
        <v>45748</v>
      </c>
      <c r="T249" s="10" t="inlineStr">
        <is>
          <t>609</t>
        </is>
      </c>
      <c r="U249" s="10" t="inlineStr">
        <is>
          <t>VEHICLE</t>
        </is>
      </c>
      <c r="V249" s="10" t="inlineStr">
        <is>
          <t>T</t>
        </is>
      </c>
      <c r="W249" s="10" t="inlineStr">
        <is>
          <t>VIVEK B</t>
        </is>
      </c>
    </row>
    <row r="250">
      <c r="A250" s="10" t="inlineStr">
        <is>
          <t>TN57BP3636</t>
        </is>
      </c>
      <c r="B250" s="10" t="inlineStr">
        <is>
          <t>SOCKS</t>
        </is>
      </c>
      <c r="C250" s="10" t="inlineStr">
        <is>
          <t>ROAD TAX</t>
        </is>
      </c>
      <c r="D250" s="10" t="inlineStr">
        <is>
          <t>ROAD TAX</t>
        </is>
      </c>
      <c r="E250" s="10" t="inlineStr">
        <is>
          <t>QUARTER - IV</t>
        </is>
      </c>
      <c r="F250" s="11" t="n">
        <v>46023</v>
      </c>
      <c r="G250" s="11" t="n">
        <v>46112</v>
      </c>
      <c r="H250" s="12">
        <f>IF(OR($F250="",$G250=""),"",$G250-$F250+1)</f>
        <v/>
      </c>
      <c r="I250" s="10">
        <f>IF($F250="","",IF(MONTH($F250)&gt;=4,YEAR($F250)&amp;"-"&amp;TEXT(YEAR($F250)+1-2000,"00"),YEAR($F250)-1&amp;"-"&amp;TEXT(YEAR($F250)-2000,"00")))</f>
        <v/>
      </c>
      <c r="J250" s="13" t="n">
        <v>21826</v>
      </c>
      <c r="K250" s="14">
        <f>IFERROR($L250/$J250,"")</f>
        <v/>
      </c>
      <c r="L250" s="13" t="n">
        <v>21826</v>
      </c>
      <c r="M250" s="13">
        <f>IFERROR($L250/$H250,"")</f>
        <v/>
      </c>
      <c r="N250" s="11" t="n">
        <v>46030</v>
      </c>
      <c r="O250" s="10">
        <f>IF($N250="","No","Yes")</f>
        <v/>
      </c>
      <c r="P250" s="12">
        <f>IF(OR($F250="",$G250=""),0,IF(AND($F250&lt;=README!$B$4,README!$B$4&lt;=$G250),1,0))</f>
        <v/>
      </c>
      <c r="Q250" s="12">
        <f>IF(OR($F250="",$G250=""),0,IF(AND($F250&lt;=DATE(README!$B$5,12,31),$G250&gt;=DATE(README!$B$5,1,1)),1,0))</f>
        <v/>
      </c>
      <c r="R250" s="10" t="inlineStr">
        <is>
          <t>GUP-VEH0014</t>
        </is>
      </c>
      <c r="S250" s="11" t="n">
        <v>45748</v>
      </c>
      <c r="T250" s="10" t="inlineStr">
        <is>
          <t>609</t>
        </is>
      </c>
      <c r="U250" s="10" t="inlineStr">
        <is>
          <t>VEHICLE</t>
        </is>
      </c>
      <c r="V250" s="10" t="inlineStr">
        <is>
          <t>T</t>
        </is>
      </c>
      <c r="W250" s="10" t="inlineStr">
        <is>
          <t>VIVEK B</t>
        </is>
      </c>
    </row>
    <row r="251">
      <c r="A251" s="10" t="inlineStr">
        <is>
          <t>TN57BP3636</t>
        </is>
      </c>
      <c r="B251" s="10" t="inlineStr">
        <is>
          <t>SOCKS</t>
        </is>
      </c>
      <c r="C251" s="10" t="inlineStr">
        <is>
          <t>VEHICLE INSURANCE</t>
        </is>
      </c>
      <c r="D251" s="10" t="inlineStr">
        <is>
          <t>VEHICLE INSURANCE</t>
        </is>
      </c>
      <c r="E251" s="10" t="inlineStr">
        <is>
          <t>FEBRUARY</t>
        </is>
      </c>
      <c r="F251" s="11" t="n">
        <v>46054</v>
      </c>
      <c r="G251" s="11" t="n">
        <v>46081</v>
      </c>
      <c r="H251" s="12">
        <f>IF(OR($F251="",$G251=""),"",$G251-$F251+1)</f>
        <v/>
      </c>
      <c r="I251" s="10">
        <f>IF($F251="","",IF(MONTH($F251)&gt;=4,YEAR($F251)&amp;"-"&amp;TEXT(YEAR($F251)+1-2000,"00"),YEAR($F251)-1&amp;"-"&amp;TEXT(YEAR($F251)-2000,"00")))</f>
        <v/>
      </c>
      <c r="J251" s="13" t="n">
        <v>57979</v>
      </c>
      <c r="K251" s="14">
        <f>IFERROR($L251/$J251,"")</f>
        <v/>
      </c>
      <c r="L251" s="13" t="n">
        <v>57979</v>
      </c>
      <c r="M251" s="13">
        <f>IFERROR($L251/$H251,"")</f>
        <v/>
      </c>
      <c r="N251" s="11" t="n">
        <v>46056</v>
      </c>
      <c r="O251" s="10">
        <f>IF($N251="","No","Yes")</f>
        <v/>
      </c>
      <c r="P251" s="12">
        <f>IF(OR($F251="",$G251=""),0,IF(AND($F251&lt;=README!$B$4,README!$B$4&lt;=$G251),1,0))</f>
        <v/>
      </c>
      <c r="Q251" s="12">
        <f>IF(OR($F251="",$G251=""),0,IF(AND($F251&lt;=DATE(README!$B$5,12,31),$G251&gt;=DATE(README!$B$5,1,1)),1,0))</f>
        <v/>
      </c>
      <c r="R251" s="10" t="inlineStr">
        <is>
          <t>GUP-VEH0020</t>
        </is>
      </c>
      <c r="S251" s="11" t="n">
        <v>45799</v>
      </c>
      <c r="T251" s="10" t="inlineStr">
        <is>
          <t>645</t>
        </is>
      </c>
      <c r="U251" s="10" t="inlineStr">
        <is>
          <t>VEHICLE</t>
        </is>
      </c>
      <c r="V251" s="10" t="inlineStr">
        <is>
          <t>T</t>
        </is>
      </c>
      <c r="W251" s="10" t="inlineStr">
        <is>
          <t>VIVEK B</t>
        </is>
      </c>
    </row>
    <row r="252">
      <c r="A252" s="10" t="inlineStr">
        <is>
          <t>TN57BP3636</t>
        </is>
      </c>
      <c r="B252" s="10" t="inlineStr">
        <is>
          <t>SOCKS</t>
        </is>
      </c>
      <c r="C252" s="10" t="inlineStr">
        <is>
          <t>FC WORK</t>
        </is>
      </c>
      <c r="D252" s="10" t="inlineStr">
        <is>
          <t>FC WORK</t>
        </is>
      </c>
      <c r="E252" s="10" t="inlineStr">
        <is>
          <t>YEARLY</t>
        </is>
      </c>
      <c r="F252" s="11" t="n">
        <v>46113</v>
      </c>
      <c r="G252" s="11" t="n">
        <v>46477</v>
      </c>
      <c r="H252" s="12">
        <f>IF(OR($F252="",$G252=""),"",$G252-$F252+1)</f>
        <v/>
      </c>
      <c r="I252" s="10">
        <f>IF($F252="","",IF(MONTH($F252)&gt;=4,YEAR($F252)&amp;"-"&amp;TEXT(YEAR($F252)+1-2000,"00"),YEAR($F252)-1&amp;"-"&amp;TEXT(YEAR($F252)-2000,"00")))</f>
        <v/>
      </c>
      <c r="J252" s="13" t="n">
        <v>42570</v>
      </c>
      <c r="K252" s="14">
        <f>IFERROR($L252/$J252,"")</f>
        <v/>
      </c>
      <c r="L252" s="13" t="n">
        <v>42570</v>
      </c>
      <c r="M252" s="13">
        <f>IFERROR($L252/$H252,"")</f>
        <v/>
      </c>
      <c r="N252" s="11" t="n">
        <v>46121</v>
      </c>
      <c r="O252" s="10">
        <f>IF($N252="","No","Yes")</f>
        <v/>
      </c>
      <c r="P252" s="12">
        <f>IF(OR($F252="",$G252=""),0,IF(AND($F252&lt;=README!$B$4,README!$B$4&lt;=$G252),1,0))</f>
        <v/>
      </c>
      <c r="Q252" s="12">
        <f>IF(OR($F252="",$G252=""),0,IF(AND($F252&lt;=DATE(README!$B$5,12,31),$G252&gt;=DATE(README!$B$5,1,1)),1,0))</f>
        <v/>
      </c>
      <c r="R252" s="10" t="inlineStr">
        <is>
          <t>GUP-VEH0032</t>
        </is>
      </c>
      <c r="S252" s="11" t="n">
        <v>46118</v>
      </c>
      <c r="T252" s="10" t="inlineStr">
        <is>
          <t>813</t>
        </is>
      </c>
      <c r="U252" s="10" t="inlineStr">
        <is>
          <t>VEHICLE</t>
        </is>
      </c>
      <c r="V252" s="10" t="inlineStr">
        <is>
          <t>T</t>
        </is>
      </c>
      <c r="W252" s="10" t="inlineStr">
        <is>
          <t>VIVEK B</t>
        </is>
      </c>
    </row>
    <row r="253">
      <c r="A253" s="10" t="inlineStr">
        <is>
          <t>TN57BP3636</t>
        </is>
      </c>
      <c r="B253" s="10" t="inlineStr">
        <is>
          <t>SOCKS</t>
        </is>
      </c>
      <c r="C253" s="10" t="inlineStr">
        <is>
          <t>ROAD TAX</t>
        </is>
      </c>
      <c r="D253" s="10" t="inlineStr">
        <is>
          <t>ROAD TAX</t>
        </is>
      </c>
      <c r="E253" s="10" t="inlineStr">
        <is>
          <t>QUARTER - I</t>
        </is>
      </c>
      <c r="F253" s="11" t="n">
        <v>46113</v>
      </c>
      <c r="G253" s="11" t="n">
        <v>46203</v>
      </c>
      <c r="H253" s="12">
        <f>IF(OR($F253="",$G253=""),"",$G253-$F253+1)</f>
        <v/>
      </c>
      <c r="I253" s="10">
        <f>IF($F253="","",IF(MONTH($F253)&gt;=4,YEAR($F253)&amp;"-"&amp;TEXT(YEAR($F253)+1-2000,"00"),YEAR($F253)-1&amp;"-"&amp;TEXT(YEAR($F253)-2000,"00")))</f>
        <v/>
      </c>
      <c r="J253" s="13" t="n">
        <v>21826</v>
      </c>
      <c r="K253" s="14">
        <f>IFERROR($L253/$J253,"")</f>
        <v/>
      </c>
      <c r="L253" s="13" t="n">
        <v>21826</v>
      </c>
      <c r="M253" s="13">
        <f>IFERROR($L253/$H253,"")</f>
        <v/>
      </c>
      <c r="N253" s="11" t="n">
        <v>46088</v>
      </c>
      <c r="O253" s="10">
        <f>IF($N253="","No","Yes")</f>
        <v/>
      </c>
      <c r="P253" s="12">
        <f>IF(OR($F253="",$G253=""),0,IF(AND($F253&lt;=README!$B$4,README!$B$4&lt;=$G253),1,0))</f>
        <v/>
      </c>
      <c r="Q253" s="12">
        <f>IF(OR($F253="",$G253=""),0,IF(AND($F253&lt;=DATE(README!$B$5,12,31),$G253&gt;=DATE(README!$B$5,1,1)),1,0))</f>
        <v/>
      </c>
      <c r="R253" s="10" t="inlineStr">
        <is>
          <t>GUP-VEH0030</t>
        </is>
      </c>
      <c r="S253" s="11" t="n">
        <v>46113</v>
      </c>
      <c r="T253" s="10" t="inlineStr">
        <is>
          <t>796</t>
        </is>
      </c>
      <c r="U253" s="10" t="inlineStr">
        <is>
          <t>VEHICLE</t>
        </is>
      </c>
      <c r="V253" s="10" t="inlineStr">
        <is>
          <t>T</t>
        </is>
      </c>
      <c r="W253" s="10" t="inlineStr">
        <is>
          <t>VIVEK B</t>
        </is>
      </c>
    </row>
    <row r="254">
      <c r="A254" s="10" t="inlineStr">
        <is>
          <t>TN57BP3636</t>
        </is>
      </c>
      <c r="B254" s="10" t="inlineStr">
        <is>
          <t>SOCKS</t>
        </is>
      </c>
      <c r="C254" s="10" t="inlineStr">
        <is>
          <t>RTO EXPENSE</t>
        </is>
      </c>
      <c r="D254" s="10" t="inlineStr">
        <is>
          <t>RTO EXPENSES - FC</t>
        </is>
      </c>
      <c r="E254" s="10" t="inlineStr">
        <is>
          <t>YEARLY</t>
        </is>
      </c>
      <c r="F254" s="11" t="n">
        <v>46113</v>
      </c>
      <c r="G254" s="11" t="n">
        <v>46477</v>
      </c>
      <c r="H254" s="12">
        <f>IF(OR($F254="",$G254=""),"",$G254-$F254+1)</f>
        <v/>
      </c>
      <c r="I254" s="10">
        <f>IF($F254="","",IF(MONTH($F254)&gt;=4,YEAR($F254)&amp;"-"&amp;TEXT(YEAR($F254)+1-2000,"00"),YEAR($F254)-1&amp;"-"&amp;TEXT(YEAR($F254)-2000,"00")))</f>
        <v/>
      </c>
      <c r="J254" s="13" t="n">
        <v>7500</v>
      </c>
      <c r="K254" s="14">
        <f>IFERROR($L254/$J254,"")</f>
        <v/>
      </c>
      <c r="L254" s="13" t="n">
        <v>7500</v>
      </c>
      <c r="M254" s="13">
        <f>IFERROR($L254/$H254,"")</f>
        <v/>
      </c>
      <c r="N254" s="11" t="n">
        <v>46121</v>
      </c>
      <c r="O254" s="10">
        <f>IF($N254="","No","Yes")</f>
        <v/>
      </c>
      <c r="P254" s="12">
        <f>IF(OR($F254="",$G254=""),0,IF(AND($F254&lt;=README!$B$4,README!$B$4&lt;=$G254),1,0))</f>
        <v/>
      </c>
      <c r="Q254" s="12">
        <f>IF(OR($F254="",$G254=""),0,IF(AND($F254&lt;=DATE(README!$B$5,12,31),$G254&gt;=DATE(README!$B$5,1,1)),1,0))</f>
        <v/>
      </c>
      <c r="R254" s="10" t="inlineStr">
        <is>
          <t>GUP-VEH0033</t>
        </is>
      </c>
      <c r="S254" s="11" t="n">
        <v>46118</v>
      </c>
      <c r="T254" s="10" t="inlineStr">
        <is>
          <t>814</t>
        </is>
      </c>
      <c r="U254" s="10" t="inlineStr">
        <is>
          <t>VEHICLE</t>
        </is>
      </c>
      <c r="V254" s="10" t="inlineStr">
        <is>
          <t>T</t>
        </is>
      </c>
      <c r="W254" s="10" t="inlineStr">
        <is>
          <t>VIVEK B</t>
        </is>
      </c>
    </row>
    <row r="255">
      <c r="A255" s="10" t="inlineStr">
        <is>
          <t>TN57BP3636</t>
        </is>
      </c>
      <c r="B255" s="10" t="inlineStr">
        <is>
          <t>SOCKS</t>
        </is>
      </c>
      <c r="C255" s="10" t="inlineStr">
        <is>
          <t>ROAD TAX</t>
        </is>
      </c>
      <c r="D255" s="10" t="inlineStr">
        <is>
          <t>ROAD TAX</t>
        </is>
      </c>
      <c r="E255" s="10" t="inlineStr">
        <is>
          <t>QUARTER - II</t>
        </is>
      </c>
      <c r="F255" s="11" t="n">
        <v>46204</v>
      </c>
      <c r="G255" s="11" t="n">
        <v>46295</v>
      </c>
      <c r="H255" s="12">
        <f>IF(OR($F255="",$G255=""),"",$G255-$F255+1)</f>
        <v/>
      </c>
      <c r="I255" s="10">
        <f>IF($F255="","",IF(MONTH($F255)&gt;=4,YEAR($F255)&amp;"-"&amp;TEXT(YEAR($F255)+1-2000,"00"),YEAR($F255)-1&amp;"-"&amp;TEXT(YEAR($F255)-2000,"00")))</f>
        <v/>
      </c>
      <c r="J255" s="13" t="n">
        <v>21826</v>
      </c>
      <c r="K255" s="14">
        <f>IFERROR($L255/$J255,"")</f>
        <v/>
      </c>
      <c r="L255" s="13" t="n">
        <v>21826</v>
      </c>
      <c r="M255" s="13">
        <f>IFERROR($L255/$H255,"")</f>
        <v/>
      </c>
      <c r="N255" s="11" t="n">
        <v>46196</v>
      </c>
      <c r="O255" s="10">
        <f>IF($N255="","No","Yes")</f>
        <v/>
      </c>
      <c r="P255" s="12">
        <f>IF(OR($F255="",$G255=""),0,IF(AND($F255&lt;=README!$B$4,README!$B$4&lt;=$G255),1,0))</f>
        <v/>
      </c>
      <c r="Q255" s="12">
        <f>IF(OR($F255="",$G255=""),0,IF(AND($F255&lt;=DATE(README!$B$5,12,31),$G255&gt;=DATE(README!$B$5,1,1)),1,0))</f>
        <v/>
      </c>
      <c r="R255" s="10" t="inlineStr">
        <is>
          <t>GUP-VEH0030</t>
        </is>
      </c>
      <c r="S255" s="11" t="n">
        <v>46113</v>
      </c>
      <c r="T255" s="10" t="inlineStr">
        <is>
          <t>796</t>
        </is>
      </c>
      <c r="U255" s="10" t="inlineStr">
        <is>
          <t>VEHICLE</t>
        </is>
      </c>
      <c r="V255" s="10" t="inlineStr">
        <is>
          <t>T</t>
        </is>
      </c>
      <c r="W255" s="10" t="inlineStr">
        <is>
          <t>VIVEK B</t>
        </is>
      </c>
    </row>
    <row r="256">
      <c r="A256" s="10" t="inlineStr">
        <is>
          <t>TN57BP5356</t>
        </is>
      </c>
      <c r="B256" s="10" t="inlineStr">
        <is>
          <t>SOCKS</t>
        </is>
      </c>
      <c r="C256" s="10" t="inlineStr">
        <is>
          <t>VEHICLE INSURANCE</t>
        </is>
      </c>
      <c r="D256" s="10" t="inlineStr">
        <is>
          <t>VEHICLE INSURANCE</t>
        </is>
      </c>
      <c r="E256" s="10" t="inlineStr">
        <is>
          <t>YEARLY</t>
        </is>
      </c>
      <c r="F256" s="11" t="n">
        <v>45383</v>
      </c>
      <c r="G256" s="11" t="n">
        <v>45747</v>
      </c>
      <c r="H256" s="12">
        <f>IF(OR($F256="",$G256=""),"",$G256-$F256+1)</f>
        <v/>
      </c>
      <c r="I256" s="10">
        <f>IF($F256="","",IF(MONTH($F256)&gt;=4,YEAR($F256)&amp;"-"&amp;TEXT(YEAR($F256)+1-2000,"00"),YEAR($F256)-1&amp;"-"&amp;TEXT(YEAR($F256)-2000,"00")))</f>
        <v/>
      </c>
      <c r="J256" s="13" t="n">
        <v>29702</v>
      </c>
      <c r="K256" s="14">
        <f>IFERROR($L256/$J256,"")</f>
        <v/>
      </c>
      <c r="L256" s="13" t="n">
        <v>29702</v>
      </c>
      <c r="M256" s="13">
        <f>IFERROR($L256/$H256,"")</f>
        <v/>
      </c>
      <c r="N256" s="11" t="n">
        <v>45775</v>
      </c>
      <c r="O256" s="10">
        <f>IF($N256="","No","Yes")</f>
        <v/>
      </c>
      <c r="P256" s="12">
        <f>IF(OR($F256="",$G256=""),0,IF(AND($F256&lt;=README!$B$4,README!$B$4&lt;=$G256),1,0))</f>
        <v/>
      </c>
      <c r="Q256" s="12">
        <f>IF(OR($F256="",$G256=""),0,IF(AND($F256&lt;=DATE(README!$B$5,12,31),$G256&gt;=DATE(README!$B$5,1,1)),1,0))</f>
        <v/>
      </c>
      <c r="R256" s="10" t="inlineStr">
        <is>
          <t>GUP-VEH0013</t>
        </is>
      </c>
      <c r="S256" s="11" t="n">
        <v>45478</v>
      </c>
      <c r="T256" s="10" t="inlineStr">
        <is>
          <t>550</t>
        </is>
      </c>
      <c r="U256" s="10" t="inlineStr">
        <is>
          <t>VEHICLE</t>
        </is>
      </c>
      <c r="V256" s="10" t="inlineStr">
        <is>
          <t>T</t>
        </is>
      </c>
      <c r="W256" s="10" t="inlineStr">
        <is>
          <t>VIVEK B</t>
        </is>
      </c>
    </row>
    <row r="257">
      <c r="A257" s="10" t="inlineStr">
        <is>
          <t>TN57BP5356</t>
        </is>
      </c>
      <c r="B257" s="10" t="inlineStr">
        <is>
          <t>SOCKS</t>
        </is>
      </c>
      <c r="C257" s="10" t="inlineStr">
        <is>
          <t>VEHICLE INSURANCE</t>
        </is>
      </c>
      <c r="D257" s="10" t="inlineStr">
        <is>
          <t>VEHICLE INSURANCE</t>
        </is>
      </c>
      <c r="E257" s="10" t="inlineStr">
        <is>
          <t>YEARLY</t>
        </is>
      </c>
      <c r="F257" s="11" t="n">
        <v>45748</v>
      </c>
      <c r="G257" s="11" t="n">
        <v>46112</v>
      </c>
      <c r="H257" s="12">
        <f>IF(OR($F257="",$G257=""),"",$G257-$F257+1)</f>
        <v/>
      </c>
      <c r="I257" s="10">
        <f>IF($F257="","",IF(MONTH($F257)&gt;=4,YEAR($F257)&amp;"-"&amp;TEXT(YEAR($F257)+1-2000,"00"),YEAR($F257)-1&amp;"-"&amp;TEXT(YEAR($F257)-2000,"00")))</f>
        <v/>
      </c>
      <c r="J257" s="13" t="n">
        <v>29702</v>
      </c>
      <c r="K257" s="14">
        <f>IFERROR($L257/$J257,"")</f>
        <v/>
      </c>
      <c r="L257" s="13" t="n">
        <v>0</v>
      </c>
      <c r="M257" s="13">
        <f>IFERROR($L257/$H257,"")</f>
        <v/>
      </c>
      <c r="N257" s="11" t="n"/>
      <c r="O257" s="10">
        <f>IF($N257="","No","Yes")</f>
        <v/>
      </c>
      <c r="P257" s="12">
        <f>IF(OR($F257="",$G257=""),0,IF(AND($F257&lt;=README!$B$4,README!$B$4&lt;=$G257),1,0))</f>
        <v/>
      </c>
      <c r="Q257" s="12">
        <f>IF(OR($F257="",$G257=""),0,IF(AND($F257&lt;=DATE(README!$B$5,12,31),$G257&gt;=DATE(README!$B$5,1,1)),1,0))</f>
        <v/>
      </c>
      <c r="R257" s="10" t="inlineStr">
        <is>
          <t>GUP-VEH0020</t>
        </is>
      </c>
      <c r="S257" s="11" t="n">
        <v>45799</v>
      </c>
      <c r="T257" s="10" t="inlineStr">
        <is>
          <t>645</t>
        </is>
      </c>
      <c r="U257" s="10" t="inlineStr">
        <is>
          <t>VEHICLE</t>
        </is>
      </c>
      <c r="V257" s="10" t="inlineStr">
        <is>
          <t>T</t>
        </is>
      </c>
      <c r="W257" s="10" t="inlineStr">
        <is>
          <t>VIVEK B</t>
        </is>
      </c>
    </row>
    <row r="258">
      <c r="A258" s="10" t="inlineStr">
        <is>
          <t>TN57BQ3434</t>
        </is>
      </c>
      <c r="B258" s="10" t="inlineStr">
        <is>
          <t>SOCKS</t>
        </is>
      </c>
      <c r="C258" s="10" t="inlineStr">
        <is>
          <t>ADBLU</t>
        </is>
      </c>
      <c r="D258" s="10" t="inlineStr">
        <is>
          <t>ADBLU</t>
        </is>
      </c>
      <c r="E258" s="10" t="inlineStr">
        <is>
          <t>YEARLY</t>
        </is>
      </c>
      <c r="F258" s="11" t="n">
        <v>45383</v>
      </c>
      <c r="G258" s="11" t="n">
        <v>45747</v>
      </c>
      <c r="H258" s="12">
        <f>IF(OR($F258="",$G258=""),"",$G258-$F258+1)</f>
        <v/>
      </c>
      <c r="I258" s="10">
        <f>IF($F258="","",IF(MONTH($F258)&gt;=4,YEAR($F258)&amp;"-"&amp;TEXT(YEAR($F258)+1-2000,"00"),YEAR($F258)-1&amp;"-"&amp;TEXT(YEAR($F258)-2000,"00")))</f>
        <v/>
      </c>
      <c r="J258" s="13" t="n">
        <v>61</v>
      </c>
      <c r="K258" s="14">
        <f>IFERROR($L258/$J258,"")</f>
        <v/>
      </c>
      <c r="L258" s="13" t="n">
        <v>2440</v>
      </c>
      <c r="M258" s="13">
        <f>IFERROR($L258/$H258,"")</f>
        <v/>
      </c>
      <c r="N258" s="11" t="n">
        <v>45479</v>
      </c>
      <c r="O258" s="10">
        <f>IF($N258="","No","Yes")</f>
        <v/>
      </c>
      <c r="P258" s="12">
        <f>IF(OR($F258="",$G258=""),0,IF(AND($F258&lt;=README!$B$4,README!$B$4&lt;=$G258),1,0))</f>
        <v/>
      </c>
      <c r="Q258" s="12">
        <f>IF(OR($F258="",$G258=""),0,IF(AND($F258&lt;=DATE(README!$B$5,12,31),$G258&gt;=DATE(README!$B$5,1,1)),1,0))</f>
        <v/>
      </c>
      <c r="R258" s="10" t="inlineStr">
        <is>
          <t>GUP-VEH0008</t>
        </is>
      </c>
      <c r="S258" s="11" t="n">
        <v>45461</v>
      </c>
      <c r="T258" s="10" t="inlineStr">
        <is>
          <t>541</t>
        </is>
      </c>
      <c r="U258" s="10" t="inlineStr">
        <is>
          <t>VEHICLE</t>
        </is>
      </c>
      <c r="V258" s="10" t="inlineStr">
        <is>
          <t>T</t>
        </is>
      </c>
      <c r="W258" s="10" t="inlineStr">
        <is>
          <t>VIVEK B</t>
        </is>
      </c>
    </row>
    <row r="259">
      <c r="A259" s="10" t="inlineStr">
        <is>
          <t>TN57BQ3434</t>
        </is>
      </c>
      <c r="B259" s="10" t="inlineStr">
        <is>
          <t>SOCKS</t>
        </is>
      </c>
      <c r="C259" s="10" t="inlineStr">
        <is>
          <t>ADBLU</t>
        </is>
      </c>
      <c r="D259" s="10" t="inlineStr">
        <is>
          <t>ADBLU</t>
        </is>
      </c>
      <c r="E259" s="10" t="inlineStr">
        <is>
          <t>YEARLY</t>
        </is>
      </c>
      <c r="F259" s="11" t="n">
        <v>45383</v>
      </c>
      <c r="G259" s="11" t="n">
        <v>45747</v>
      </c>
      <c r="H259" s="12">
        <f>IF(OR($F259="",$G259=""),"",$G259-$F259+1)</f>
        <v/>
      </c>
      <c r="I259" s="10">
        <f>IF($F259="","",IF(MONTH($F259)&gt;=4,YEAR($F259)&amp;"-"&amp;TEXT(YEAR($F259)+1-2000,"00"),YEAR($F259)-1&amp;"-"&amp;TEXT(YEAR($F259)-2000,"00")))</f>
        <v/>
      </c>
      <c r="J259" s="13" t="n">
        <v>61</v>
      </c>
      <c r="K259" s="14">
        <f>IFERROR($L259/$J259,"")</f>
        <v/>
      </c>
      <c r="L259" s="13" t="n">
        <v>2440</v>
      </c>
      <c r="M259" s="13">
        <f>IFERROR($L259/$H259,"")</f>
        <v/>
      </c>
      <c r="N259" s="11" t="n">
        <v>45623</v>
      </c>
      <c r="O259" s="10">
        <f>IF($N259="","No","Yes")</f>
        <v/>
      </c>
      <c r="P259" s="12">
        <f>IF(OR($F259="",$G259=""),0,IF(AND($F259&lt;=README!$B$4,README!$B$4&lt;=$G259),1,0))</f>
        <v/>
      </c>
      <c r="Q259" s="12">
        <f>IF(OR($F259="",$G259=""),0,IF(AND($F259&lt;=DATE(README!$B$5,12,31),$G259&gt;=DATE(README!$B$5,1,1)),1,0))</f>
        <v/>
      </c>
      <c r="R259" s="10" t="inlineStr">
        <is>
          <t>GUP-VEH0008</t>
        </is>
      </c>
      <c r="S259" s="11" t="n">
        <v>45461</v>
      </c>
      <c r="T259" s="10" t="inlineStr">
        <is>
          <t>541</t>
        </is>
      </c>
      <c r="U259" s="10" t="inlineStr">
        <is>
          <t>VEHICLE</t>
        </is>
      </c>
      <c r="V259" s="10" t="inlineStr">
        <is>
          <t>T</t>
        </is>
      </c>
      <c r="W259" s="10" t="inlineStr">
        <is>
          <t>VIVEK B</t>
        </is>
      </c>
    </row>
    <row r="260">
      <c r="A260" s="10" t="inlineStr">
        <is>
          <t>TN57BQ3434</t>
        </is>
      </c>
      <c r="B260" s="10" t="inlineStr">
        <is>
          <t>SOCKS</t>
        </is>
      </c>
      <c r="C260" s="10" t="inlineStr">
        <is>
          <t>ADBLU</t>
        </is>
      </c>
      <c r="D260" s="10" t="inlineStr">
        <is>
          <t>ADBLU</t>
        </is>
      </c>
      <c r="E260" s="10" t="inlineStr">
        <is>
          <t>YEARLY</t>
        </is>
      </c>
      <c r="F260" s="11" t="n">
        <v>45383</v>
      </c>
      <c r="G260" s="11" t="n">
        <v>45747</v>
      </c>
      <c r="H260" s="12">
        <f>IF(OR($F260="",$G260=""),"",$G260-$F260+1)</f>
        <v/>
      </c>
      <c r="I260" s="10">
        <f>IF($F260="","",IF(MONTH($F260)&gt;=4,YEAR($F260)&amp;"-"&amp;TEXT(YEAR($F260)+1-2000,"00"),YEAR($F260)-1&amp;"-"&amp;TEXT(YEAR($F260)-2000,"00")))</f>
        <v/>
      </c>
      <c r="J260" s="13" t="n">
        <v>61</v>
      </c>
      <c r="K260" s="14">
        <f>IFERROR($L260/$J260,"")</f>
        <v/>
      </c>
      <c r="L260" s="13" t="n">
        <v>2440</v>
      </c>
      <c r="M260" s="13">
        <f>IFERROR($L260/$H260,"")</f>
        <v/>
      </c>
      <c r="N260" s="11" t="n">
        <v>45602</v>
      </c>
      <c r="O260" s="10">
        <f>IF($N260="","No","Yes")</f>
        <v/>
      </c>
      <c r="P260" s="12">
        <f>IF(OR($F260="",$G260=""),0,IF(AND($F260&lt;=README!$B$4,README!$B$4&lt;=$G260),1,0))</f>
        <v/>
      </c>
      <c r="Q260" s="12">
        <f>IF(OR($F260="",$G260=""),0,IF(AND($F260&lt;=DATE(README!$B$5,12,31),$G260&gt;=DATE(README!$B$5,1,1)),1,0))</f>
        <v/>
      </c>
      <c r="R260" s="10" t="inlineStr">
        <is>
          <t>GUP-VEH0008</t>
        </is>
      </c>
      <c r="S260" s="11" t="n">
        <v>45461</v>
      </c>
      <c r="T260" s="10" t="inlineStr">
        <is>
          <t>541</t>
        </is>
      </c>
      <c r="U260" s="10" t="inlineStr">
        <is>
          <t>VEHICLE</t>
        </is>
      </c>
      <c r="V260" s="10" t="inlineStr">
        <is>
          <t>T</t>
        </is>
      </c>
      <c r="W260" s="10" t="inlineStr">
        <is>
          <t>VIVEK B</t>
        </is>
      </c>
    </row>
    <row r="261">
      <c r="A261" s="10" t="inlineStr">
        <is>
          <t>TN57BQ3434</t>
        </is>
      </c>
      <c r="B261" s="10" t="inlineStr">
        <is>
          <t>SOCKS</t>
        </is>
      </c>
      <c r="C261" s="10" t="inlineStr">
        <is>
          <t>ADBLU</t>
        </is>
      </c>
      <c r="D261" s="10" t="inlineStr">
        <is>
          <t>ADBLU</t>
        </is>
      </c>
      <c r="E261" s="10" t="inlineStr">
        <is>
          <t>YEARLY</t>
        </is>
      </c>
      <c r="F261" s="11" t="n">
        <v>45383</v>
      </c>
      <c r="G261" s="11" t="n">
        <v>45747</v>
      </c>
      <c r="H261" s="12">
        <f>IF(OR($F261="",$G261=""),"",$G261-$F261+1)</f>
        <v/>
      </c>
      <c r="I261" s="10">
        <f>IF($F261="","",IF(MONTH($F261)&gt;=4,YEAR($F261)&amp;"-"&amp;TEXT(YEAR($F261)+1-2000,"00"),YEAR($F261)-1&amp;"-"&amp;TEXT(YEAR($F261)-2000,"00")))</f>
        <v/>
      </c>
      <c r="J261" s="13" t="n">
        <v>61</v>
      </c>
      <c r="K261" s="14">
        <f>IFERROR($L261/$J261,"")</f>
        <v/>
      </c>
      <c r="L261" s="13" t="n">
        <v>2562</v>
      </c>
      <c r="M261" s="13">
        <f>IFERROR($L261/$H261,"")</f>
        <v/>
      </c>
      <c r="N261" s="11" t="n">
        <v>45700</v>
      </c>
      <c r="O261" s="10">
        <f>IF($N261="","No","Yes")</f>
        <v/>
      </c>
      <c r="P261" s="12">
        <f>IF(OR($F261="",$G261=""),0,IF(AND($F261&lt;=README!$B$4,README!$B$4&lt;=$G261),1,0))</f>
        <v/>
      </c>
      <c r="Q261" s="12">
        <f>IF(OR($F261="",$G261=""),0,IF(AND($F261&lt;=DATE(README!$B$5,12,31),$G261&gt;=DATE(README!$B$5,1,1)),1,0))</f>
        <v/>
      </c>
      <c r="R261" s="10" t="inlineStr">
        <is>
          <t>GUP-VEH0008</t>
        </is>
      </c>
      <c r="S261" s="11" t="n">
        <v>45461</v>
      </c>
      <c r="T261" s="10" t="inlineStr">
        <is>
          <t>541</t>
        </is>
      </c>
      <c r="U261" s="10" t="inlineStr">
        <is>
          <t>VEHICLE</t>
        </is>
      </c>
      <c r="V261" s="10" t="inlineStr">
        <is>
          <t>T</t>
        </is>
      </c>
      <c r="W261" s="10" t="inlineStr">
        <is>
          <t>VIVEK B</t>
        </is>
      </c>
    </row>
    <row r="262">
      <c r="A262" s="10" t="inlineStr">
        <is>
          <t>TN57BQ3434</t>
        </is>
      </c>
      <c r="B262" s="10" t="inlineStr">
        <is>
          <t>SOCKS</t>
        </is>
      </c>
      <c r="C262" s="10" t="inlineStr">
        <is>
          <t>ADBLU</t>
        </is>
      </c>
      <c r="D262" s="10" t="inlineStr">
        <is>
          <t>ADBLU</t>
        </is>
      </c>
      <c r="E262" s="10" t="inlineStr">
        <is>
          <t>YEARLY</t>
        </is>
      </c>
      <c r="F262" s="11" t="n">
        <v>45383</v>
      </c>
      <c r="G262" s="11" t="n">
        <v>45747</v>
      </c>
      <c r="H262" s="12">
        <f>IF(OR($F262="",$G262=""),"",$G262-$F262+1)</f>
        <v/>
      </c>
      <c r="I262" s="10">
        <f>IF($F262="","",IF(MONTH($F262)&gt;=4,YEAR($F262)&amp;"-"&amp;TEXT(YEAR($F262)+1-2000,"00"),YEAR($F262)-1&amp;"-"&amp;TEXT(YEAR($F262)-2000,"00")))</f>
        <v/>
      </c>
      <c r="J262" s="13" t="n">
        <v>61</v>
      </c>
      <c r="K262" s="14">
        <f>IFERROR($L262/$J262,"")</f>
        <v/>
      </c>
      <c r="L262" s="13" t="n">
        <v>2562</v>
      </c>
      <c r="M262" s="13">
        <f>IFERROR($L262/$H262,"")</f>
        <v/>
      </c>
      <c r="N262" s="11" t="n">
        <v>45700</v>
      </c>
      <c r="O262" s="10">
        <f>IF($N262="","No","Yes")</f>
        <v/>
      </c>
      <c r="P262" s="12">
        <f>IF(OR($F262="",$G262=""),0,IF(AND($F262&lt;=README!$B$4,README!$B$4&lt;=$G262),1,0))</f>
        <v/>
      </c>
      <c r="Q262" s="12">
        <f>IF(OR($F262="",$G262=""),0,IF(AND($F262&lt;=DATE(README!$B$5,12,31),$G262&gt;=DATE(README!$B$5,1,1)),1,0))</f>
        <v/>
      </c>
      <c r="R262" s="10" t="inlineStr">
        <is>
          <t>GUP-VEH0008</t>
        </is>
      </c>
      <c r="S262" s="11" t="n">
        <v>45461</v>
      </c>
      <c r="T262" s="10" t="inlineStr">
        <is>
          <t>541</t>
        </is>
      </c>
      <c r="U262" s="10" t="inlineStr">
        <is>
          <t>VEHICLE</t>
        </is>
      </c>
      <c r="V262" s="10" t="inlineStr">
        <is>
          <t>T</t>
        </is>
      </c>
      <c r="W262" s="10" t="inlineStr">
        <is>
          <t>VIVEK B</t>
        </is>
      </c>
    </row>
    <row r="263">
      <c r="A263" s="10" t="inlineStr">
        <is>
          <t>TN57BQ3434</t>
        </is>
      </c>
      <c r="B263" s="10" t="inlineStr">
        <is>
          <t>SOCKS</t>
        </is>
      </c>
      <c r="C263" s="10" t="inlineStr">
        <is>
          <t>ROAD TAX</t>
        </is>
      </c>
      <c r="D263" s="10" t="inlineStr">
        <is>
          <t>ROAD TAX</t>
        </is>
      </c>
      <c r="E263" s="10" t="inlineStr">
        <is>
          <t>YEARLY</t>
        </is>
      </c>
      <c r="F263" s="11" t="n">
        <v>45383</v>
      </c>
      <c r="G263" s="11" t="n">
        <v>45747</v>
      </c>
      <c r="H263" s="12">
        <f>IF(OR($F263="",$G263=""),"",$G263-$F263+1)</f>
        <v/>
      </c>
      <c r="I263" s="10">
        <f>IF($F263="","",IF(MONTH($F263)&gt;=4,YEAR($F263)&amp;"-"&amp;TEXT(YEAR($F263)+1-2000,"00"),YEAR($F263)-1&amp;"-"&amp;TEXT(YEAR($F263)-2000,"00")))</f>
        <v/>
      </c>
      <c r="J263" s="13" t="n">
        <v>32724</v>
      </c>
      <c r="K263" s="14">
        <f>IFERROR($L263/$J263,"")</f>
        <v/>
      </c>
      <c r="L263" s="13" t="n">
        <v>32724</v>
      </c>
      <c r="M263" s="13">
        <f>IFERROR($L263/$H263,"")</f>
        <v/>
      </c>
      <c r="N263" s="11" t="n">
        <v>45569</v>
      </c>
      <c r="O263" s="10">
        <f>IF($N263="","No","Yes")</f>
        <v/>
      </c>
      <c r="P263" s="12">
        <f>IF(OR($F263="",$G263=""),0,IF(AND($F263&lt;=README!$B$4,README!$B$4&lt;=$G263),1,0))</f>
        <v/>
      </c>
      <c r="Q263" s="12">
        <f>IF(OR($F263="",$G263=""),0,IF(AND($F263&lt;=DATE(README!$B$5,12,31),$G263&gt;=DATE(README!$B$5,1,1)),1,0))</f>
        <v/>
      </c>
      <c r="R263" s="10" t="inlineStr">
        <is>
          <t>GUP-VEH0011</t>
        </is>
      </c>
      <c r="S263" s="11" t="n">
        <v>45477</v>
      </c>
      <c r="T263" s="10" t="inlineStr">
        <is>
          <t>548</t>
        </is>
      </c>
      <c r="U263" s="10" t="inlineStr">
        <is>
          <t>VEHICLE</t>
        </is>
      </c>
      <c r="V263" s="10" t="inlineStr">
        <is>
          <t>T</t>
        </is>
      </c>
      <c r="W263" s="10" t="inlineStr">
        <is>
          <t>VIVEK B</t>
        </is>
      </c>
    </row>
    <row r="264">
      <c r="A264" s="10" t="inlineStr">
        <is>
          <t>TN57BQ3434</t>
        </is>
      </c>
      <c r="B264" s="10" t="inlineStr">
        <is>
          <t>SOCKS</t>
        </is>
      </c>
      <c r="C264" s="10" t="inlineStr">
        <is>
          <t>ROAD TAX</t>
        </is>
      </c>
      <c r="D264" s="10" t="inlineStr">
        <is>
          <t>ROAD TAX</t>
        </is>
      </c>
      <c r="E264" s="10" t="inlineStr">
        <is>
          <t>YEARLY</t>
        </is>
      </c>
      <c r="F264" s="11" t="n">
        <v>45383</v>
      </c>
      <c r="G264" s="11" t="n">
        <v>45747</v>
      </c>
      <c r="H264" s="12">
        <f>IF(OR($F264="",$G264=""),"",$G264-$F264+1)</f>
        <v/>
      </c>
      <c r="I264" s="10">
        <f>IF($F264="","",IF(MONTH($F264)&gt;=4,YEAR($F264)&amp;"-"&amp;TEXT(YEAR($F264)+1-2000,"00"),YEAR($F264)-1&amp;"-"&amp;TEXT(YEAR($F264)-2000,"00")))</f>
        <v/>
      </c>
      <c r="J264" s="13" t="n">
        <v>32724</v>
      </c>
      <c r="K264" s="14">
        <f>IFERROR($L264/$J264,"")</f>
        <v/>
      </c>
      <c r="L264" s="13" t="n">
        <v>32724</v>
      </c>
      <c r="M264" s="13">
        <f>IFERROR($L264/$H264,"")</f>
        <v/>
      </c>
      <c r="N264" s="11" t="n">
        <v>45649</v>
      </c>
      <c r="O264" s="10">
        <f>IF($N264="","No","Yes")</f>
        <v/>
      </c>
      <c r="P264" s="12">
        <f>IF(OR($F264="",$G264=""),0,IF(AND($F264&lt;=README!$B$4,README!$B$4&lt;=$G264),1,0))</f>
        <v/>
      </c>
      <c r="Q264" s="12">
        <f>IF(OR($F264="",$G264=""),0,IF(AND($F264&lt;=DATE(README!$B$5,12,31),$G264&gt;=DATE(README!$B$5,1,1)),1,0))</f>
        <v/>
      </c>
      <c r="R264" s="10" t="inlineStr">
        <is>
          <t>GUP-VEH0011</t>
        </is>
      </c>
      <c r="S264" s="11" t="n">
        <v>45477</v>
      </c>
      <c r="T264" s="10" t="inlineStr">
        <is>
          <t>548</t>
        </is>
      </c>
      <c r="U264" s="10" t="inlineStr">
        <is>
          <t>VEHICLE</t>
        </is>
      </c>
      <c r="V264" s="10" t="inlineStr">
        <is>
          <t>T</t>
        </is>
      </c>
      <c r="W264" s="10" t="inlineStr">
        <is>
          <t>VIVEK B</t>
        </is>
      </c>
    </row>
    <row r="265">
      <c r="A265" s="10" t="inlineStr">
        <is>
          <t>TN57BQ3434</t>
        </is>
      </c>
      <c r="B265" s="10" t="inlineStr">
        <is>
          <t>SOCKS</t>
        </is>
      </c>
      <c r="C265" s="10" t="inlineStr">
        <is>
          <t>ROAD TAX</t>
        </is>
      </c>
      <c r="D265" s="10" t="inlineStr">
        <is>
          <t>ROAD TAX</t>
        </is>
      </c>
      <c r="E265" s="10" t="inlineStr">
        <is>
          <t>YEARLY</t>
        </is>
      </c>
      <c r="F265" s="11" t="n">
        <v>45383</v>
      </c>
      <c r="G265" s="11" t="n">
        <v>45747</v>
      </c>
      <c r="H265" s="12">
        <f>IF(OR($F265="",$G265=""),"",$G265-$F265+1)</f>
        <v/>
      </c>
      <c r="I265" s="10">
        <f>IF($F265="","",IF(MONTH($F265)&gt;=4,YEAR($F265)&amp;"-"&amp;TEXT(YEAR($F265)+1-2000,"00"),YEAR($F265)-1&amp;"-"&amp;TEXT(YEAR($F265)-2000,"00")))</f>
        <v/>
      </c>
      <c r="J265" s="13" t="n">
        <v>32724</v>
      </c>
      <c r="K265" s="14">
        <f>IFERROR($L265/$J265,"")</f>
        <v/>
      </c>
      <c r="L265" s="13" t="n">
        <v>32724</v>
      </c>
      <c r="M265" s="13">
        <f>IFERROR($L265/$H265,"")</f>
        <v/>
      </c>
      <c r="N265" s="11" t="n">
        <v>45481</v>
      </c>
      <c r="O265" s="10">
        <f>IF($N265="","No","Yes")</f>
        <v/>
      </c>
      <c r="P265" s="12">
        <f>IF(OR($F265="",$G265=""),0,IF(AND($F265&lt;=README!$B$4,README!$B$4&lt;=$G265),1,0))</f>
        <v/>
      </c>
      <c r="Q265" s="12">
        <f>IF(OR($F265="",$G265=""),0,IF(AND($F265&lt;=DATE(README!$B$5,12,31),$G265&gt;=DATE(README!$B$5,1,1)),1,0))</f>
        <v/>
      </c>
      <c r="R265" s="10" t="inlineStr">
        <is>
          <t>GUP-VEH0011</t>
        </is>
      </c>
      <c r="S265" s="11" t="n">
        <v>45477</v>
      </c>
      <c r="T265" s="10" t="inlineStr">
        <is>
          <t>548</t>
        </is>
      </c>
      <c r="U265" s="10" t="inlineStr">
        <is>
          <t>VEHICLE</t>
        </is>
      </c>
      <c r="V265" s="10" t="inlineStr">
        <is>
          <t>T</t>
        </is>
      </c>
      <c r="W265" s="10" t="inlineStr">
        <is>
          <t>VIVEK B</t>
        </is>
      </c>
    </row>
    <row r="266">
      <c r="A266" s="10" t="inlineStr">
        <is>
          <t>TN57BQ3434</t>
        </is>
      </c>
      <c r="B266" s="10" t="inlineStr">
        <is>
          <t>SOCKS</t>
        </is>
      </c>
      <c r="C266" s="10" t="inlineStr">
        <is>
          <t>TYRE</t>
        </is>
      </c>
      <c r="D266" s="10" t="inlineStr">
        <is>
          <t>TYRE</t>
        </is>
      </c>
      <c r="E266" s="10" t="inlineStr">
        <is>
          <t>YEARLY</t>
        </is>
      </c>
      <c r="F266" s="11" t="n">
        <v>45383</v>
      </c>
      <c r="G266" s="11" t="n">
        <v>45747</v>
      </c>
      <c r="H266" s="12">
        <f>IF(OR($F266="",$G266=""),"",$G266-$F266+1)</f>
        <v/>
      </c>
      <c r="I266" s="10">
        <f>IF($F266="","",IF(MONTH($F266)&gt;=4,YEAR($F266)&amp;"-"&amp;TEXT(YEAR($F266)+1-2000,"00"),YEAR($F266)-1&amp;"-"&amp;TEXT(YEAR($F266)-2000,"00")))</f>
        <v/>
      </c>
      <c r="J266" s="13" t="n">
        <v>30200</v>
      </c>
      <c r="K266" s="14">
        <f>IFERROR($L266/$J266,"")</f>
        <v/>
      </c>
      <c r="L266" s="13" t="n">
        <v>30200</v>
      </c>
      <c r="M266" s="13">
        <f>IFERROR($L266/$H266,"")</f>
        <v/>
      </c>
      <c r="N266" s="11" t="n">
        <v>45590</v>
      </c>
      <c r="O266" s="10">
        <f>IF($N266="","No","Yes")</f>
        <v/>
      </c>
      <c r="P266" s="12">
        <f>IF(OR($F266="",$G266=""),0,IF(AND($F266&lt;=README!$B$4,README!$B$4&lt;=$G266),1,0))</f>
        <v/>
      </c>
      <c r="Q266" s="12">
        <f>IF(OR($F266="",$G266=""),0,IF(AND($F266&lt;=DATE(README!$B$5,12,31),$G266&gt;=DATE(README!$B$5,1,1)),1,0))</f>
        <v/>
      </c>
      <c r="R266" s="10" t="inlineStr">
        <is>
          <t>GUP-VEH0006</t>
        </is>
      </c>
      <c r="S266" s="11" t="n">
        <v>45442</v>
      </c>
      <c r="T266" s="10" t="inlineStr">
        <is>
          <t>522</t>
        </is>
      </c>
      <c r="U266" s="10" t="inlineStr">
        <is>
          <t>VEHICLE</t>
        </is>
      </c>
      <c r="V266" s="10" t="inlineStr">
        <is>
          <t>T</t>
        </is>
      </c>
      <c r="W266" s="10" t="inlineStr">
        <is>
          <t>VIVEK B</t>
        </is>
      </c>
    </row>
    <row r="267">
      <c r="A267" s="10" t="inlineStr">
        <is>
          <t>TN57BQ3434</t>
        </is>
      </c>
      <c r="B267" s="10" t="inlineStr">
        <is>
          <t>SOCKS</t>
        </is>
      </c>
      <c r="C267" s="10" t="inlineStr">
        <is>
          <t>VEHICLE INSURANCE</t>
        </is>
      </c>
      <c r="D267" s="10" t="inlineStr">
        <is>
          <t>VEHICLE INSURANCE</t>
        </is>
      </c>
      <c r="E267" s="10" t="inlineStr">
        <is>
          <t>YEARLY</t>
        </is>
      </c>
      <c r="F267" s="11" t="n">
        <v>45383</v>
      </c>
      <c r="G267" s="11" t="n">
        <v>45747</v>
      </c>
      <c r="H267" s="12">
        <f>IF(OR($F267="",$G267=""),"",$G267-$F267+1)</f>
        <v/>
      </c>
      <c r="I267" s="10">
        <f>IF($F267="","",IF(MONTH($F267)&gt;=4,YEAR($F267)&amp;"-"&amp;TEXT(YEAR($F267)+1-2000,"00"),YEAR($F267)-1&amp;"-"&amp;TEXT(YEAR($F267)-2000,"00")))</f>
        <v/>
      </c>
      <c r="J267" s="13" t="n">
        <v>79453</v>
      </c>
      <c r="K267" s="14">
        <f>IFERROR($L267/$J267,"")</f>
        <v/>
      </c>
      <c r="L267" s="13" t="n">
        <v>79453</v>
      </c>
      <c r="M267" s="13">
        <f>IFERROR($L267/$H267,"")</f>
        <v/>
      </c>
      <c r="N267" s="11" t="n">
        <v>45541</v>
      </c>
      <c r="O267" s="10">
        <f>IF($N267="","No","Yes")</f>
        <v/>
      </c>
      <c r="P267" s="12">
        <f>IF(OR($F267="",$G267=""),0,IF(AND($F267&lt;=README!$B$4,README!$B$4&lt;=$G267),1,0))</f>
        <v/>
      </c>
      <c r="Q267" s="12">
        <f>IF(OR($F267="",$G267=""),0,IF(AND($F267&lt;=DATE(README!$B$5,12,31),$G267&gt;=DATE(README!$B$5,1,1)),1,0))</f>
        <v/>
      </c>
      <c r="R267" s="10" t="inlineStr">
        <is>
          <t>GUP-VEH0013</t>
        </is>
      </c>
      <c r="S267" s="11" t="n">
        <v>45478</v>
      </c>
      <c r="T267" s="10" t="inlineStr">
        <is>
          <t>550</t>
        </is>
      </c>
      <c r="U267" s="10" t="inlineStr">
        <is>
          <t>VEHICLE</t>
        </is>
      </c>
      <c r="V267" s="10" t="inlineStr">
        <is>
          <t>T</t>
        </is>
      </c>
      <c r="W267" s="10" t="inlineStr">
        <is>
          <t>VIVEK B</t>
        </is>
      </c>
    </row>
    <row r="268">
      <c r="A268" s="10" t="inlineStr">
        <is>
          <t>TN57BQ3434</t>
        </is>
      </c>
      <c r="B268" s="10" t="inlineStr">
        <is>
          <t>SOCKS</t>
        </is>
      </c>
      <c r="C268" s="10" t="inlineStr">
        <is>
          <t>ROAD TAX</t>
        </is>
      </c>
      <c r="D268" s="10" t="inlineStr">
        <is>
          <t>ROAD TAX</t>
        </is>
      </c>
      <c r="E268" s="10" t="inlineStr">
        <is>
          <t>QUARTER - I</t>
        </is>
      </c>
      <c r="F268" s="11" t="n">
        <v>45748</v>
      </c>
      <c r="G268" s="11" t="n">
        <v>45838</v>
      </c>
      <c r="H268" s="12">
        <f>IF(OR($F268="",$G268=""),"",$G268-$F268+1)</f>
        <v/>
      </c>
      <c r="I268" s="10">
        <f>IF($F268="","",IF(MONTH($F268)&gt;=4,YEAR($F268)&amp;"-"&amp;TEXT(YEAR($F268)+1-2000,"00"),YEAR($F268)-1&amp;"-"&amp;TEXT(YEAR($F268)-2000,"00")))</f>
        <v/>
      </c>
      <c r="J268" s="13" t="n">
        <v>32724</v>
      </c>
      <c r="K268" s="14">
        <f>IFERROR($L268/$J268,"")</f>
        <v/>
      </c>
      <c r="L268" s="13" t="n">
        <v>32724</v>
      </c>
      <c r="M268" s="13">
        <f>IFERROR($L268/$H268,"")</f>
        <v/>
      </c>
      <c r="N268" s="11" t="n">
        <v>46030</v>
      </c>
      <c r="O268" s="10">
        <f>IF($N268="","No","Yes")</f>
        <v/>
      </c>
      <c r="P268" s="12">
        <f>IF(OR($F268="",$G268=""),0,IF(AND($F268&lt;=README!$B$4,README!$B$4&lt;=$G268),1,0))</f>
        <v/>
      </c>
      <c r="Q268" s="12">
        <f>IF(OR($F268="",$G268=""),0,IF(AND($F268&lt;=DATE(README!$B$5,12,31),$G268&gt;=DATE(README!$B$5,1,1)),1,0))</f>
        <v/>
      </c>
      <c r="R268" s="10" t="inlineStr">
        <is>
          <t>GUP-VEH0014</t>
        </is>
      </c>
      <c r="S268" s="11" t="n">
        <v>45748</v>
      </c>
      <c r="T268" s="10" t="inlineStr">
        <is>
          <t>609</t>
        </is>
      </c>
      <c r="U268" s="10" t="inlineStr">
        <is>
          <t>VEHICLE</t>
        </is>
      </c>
      <c r="V268" s="10" t="inlineStr">
        <is>
          <t>T</t>
        </is>
      </c>
      <c r="W268" s="10" t="inlineStr">
        <is>
          <t>VIVEK B</t>
        </is>
      </c>
    </row>
    <row r="269">
      <c r="A269" s="10" t="inlineStr">
        <is>
          <t>TN57BQ3434</t>
        </is>
      </c>
      <c r="B269" s="10" t="inlineStr">
        <is>
          <t>SOCKS</t>
        </is>
      </c>
      <c r="C269" s="10" t="inlineStr">
        <is>
          <t>RTO EXPENSE</t>
        </is>
      </c>
      <c r="D269" s="10" t="inlineStr">
        <is>
          <t>RTO EXPENSE</t>
        </is>
      </c>
      <c r="E269" s="10" t="inlineStr">
        <is>
          <t>YEARLY</t>
        </is>
      </c>
      <c r="F269" s="11" t="n">
        <v>45748</v>
      </c>
      <c r="G269" s="11" t="n">
        <v>46112</v>
      </c>
      <c r="H269" s="12">
        <f>IF(OR($F269="",$G269=""),"",$G269-$F269+1)</f>
        <v/>
      </c>
      <c r="I269" s="10">
        <f>IF($F269="","",IF(MONTH($F269)&gt;=4,YEAR($F269)&amp;"-"&amp;TEXT(YEAR($F269)+1-2000,"00"),YEAR($F269)-1&amp;"-"&amp;TEXT(YEAR($F269)-2000,"00")))</f>
        <v/>
      </c>
      <c r="J269" s="13" t="n">
        <v>10400</v>
      </c>
      <c r="K269" s="14">
        <f>IFERROR($L269/$J269,"")</f>
        <v/>
      </c>
      <c r="L269" s="13" t="n">
        <v>10400</v>
      </c>
      <c r="M269" s="13">
        <f>IFERROR($L269/$H269,"")</f>
        <v/>
      </c>
      <c r="N269" s="11" t="n">
        <v>46028</v>
      </c>
      <c r="O269" s="10">
        <f>IF($N269="","No","Yes")</f>
        <v/>
      </c>
      <c r="P269" s="12">
        <f>IF(OR($F269="",$G269=""),0,IF(AND($F269&lt;=README!$B$4,README!$B$4&lt;=$G269),1,0))</f>
        <v/>
      </c>
      <c r="Q269" s="12">
        <f>IF(OR($F269="",$G269=""),0,IF(AND($F269&lt;=DATE(README!$B$5,12,31),$G269&gt;=DATE(README!$B$5,1,1)),1,0))</f>
        <v/>
      </c>
      <c r="R269" s="10" t="inlineStr">
        <is>
          <t>GUP-VEH0022</t>
        </is>
      </c>
      <c r="S269" s="11" t="n">
        <v>45834</v>
      </c>
      <c r="T269" s="10" t="inlineStr">
        <is>
          <t>655</t>
        </is>
      </c>
      <c r="U269" s="10" t="inlineStr">
        <is>
          <t>VEHICLE</t>
        </is>
      </c>
      <c r="V269" s="10" t="inlineStr">
        <is>
          <t>T</t>
        </is>
      </c>
      <c r="W269" s="10" t="inlineStr">
        <is>
          <t>VIVEK B</t>
        </is>
      </c>
    </row>
    <row r="270">
      <c r="A270" s="10" t="inlineStr">
        <is>
          <t>TN57BQ3434</t>
        </is>
      </c>
      <c r="B270" s="10" t="inlineStr">
        <is>
          <t>SOCKS</t>
        </is>
      </c>
      <c r="C270" s="10" t="inlineStr">
        <is>
          <t>TYRE</t>
        </is>
      </c>
      <c r="D270" s="10" t="inlineStr">
        <is>
          <t>TYRE</t>
        </is>
      </c>
      <c r="E270" s="10" t="inlineStr">
        <is>
          <t>YEARLY</t>
        </is>
      </c>
      <c r="F270" s="11" t="n">
        <v>45748</v>
      </c>
      <c r="G270" s="11" t="n">
        <v>46112</v>
      </c>
      <c r="H270" s="12">
        <f>IF(OR($F270="",$G270=""),"",$G270-$F270+1)</f>
        <v/>
      </c>
      <c r="I270" s="10">
        <f>IF($F270="","",IF(MONTH($F270)&gt;=4,YEAR($F270)&amp;"-"&amp;TEXT(YEAR($F270)+1-2000,"00"),YEAR($F270)-1&amp;"-"&amp;TEXT(YEAR($F270)-2000,"00")))</f>
        <v/>
      </c>
      <c r="J270" s="13" t="n">
        <v>30300</v>
      </c>
      <c r="K270" s="14">
        <f>IFERROR($L270/$J270,"")</f>
        <v/>
      </c>
      <c r="L270" s="13" t="n">
        <v>30300</v>
      </c>
      <c r="M270" s="13">
        <f>IFERROR($L270/$H270,"")</f>
        <v/>
      </c>
      <c r="N270" s="11" t="n">
        <v>45972</v>
      </c>
      <c r="O270" s="10">
        <f>IF($N270="","No","Yes")</f>
        <v/>
      </c>
      <c r="P270" s="12">
        <f>IF(OR($F270="",$G270=""),0,IF(AND($F270&lt;=README!$B$4,README!$B$4&lt;=$G270),1,0))</f>
        <v/>
      </c>
      <c r="Q270" s="12">
        <f>IF(OR($F270="",$G270=""),0,IF(AND($F270&lt;=DATE(README!$B$5,12,31),$G270&gt;=DATE(README!$B$5,1,1)),1,0))</f>
        <v/>
      </c>
      <c r="R270" s="10" t="inlineStr">
        <is>
          <t>GUP-VEH0025</t>
        </is>
      </c>
      <c r="S270" s="11" t="n">
        <v>45957</v>
      </c>
      <c r="T270" s="10" t="inlineStr">
        <is>
          <t>726</t>
        </is>
      </c>
      <c r="U270" s="10" t="inlineStr">
        <is>
          <t>VEHICLE</t>
        </is>
      </c>
      <c r="V270" s="10" t="inlineStr">
        <is>
          <t>T</t>
        </is>
      </c>
      <c r="W270" s="10" t="inlineStr">
        <is>
          <t>VIVEK B</t>
        </is>
      </c>
    </row>
    <row r="271">
      <c r="A271" s="10" t="inlineStr">
        <is>
          <t>TN57BQ3434</t>
        </is>
      </c>
      <c r="B271" s="10" t="inlineStr">
        <is>
          <t>SOCKS</t>
        </is>
      </c>
      <c r="C271" s="10" t="inlineStr">
        <is>
          <t>VEHICLE INSURANCE</t>
        </is>
      </c>
      <c r="D271" s="10" t="inlineStr">
        <is>
          <t>VEHICLE INSURANCE</t>
        </is>
      </c>
      <c r="E271" s="10" t="inlineStr">
        <is>
          <t>YEARLY</t>
        </is>
      </c>
      <c r="F271" s="11" t="n">
        <v>45748</v>
      </c>
      <c r="G271" s="11" t="n">
        <v>46112</v>
      </c>
      <c r="H271" s="12">
        <f>IF(OR($F271="",$G271=""),"",$G271-$F271+1)</f>
        <v/>
      </c>
      <c r="I271" s="10">
        <f>IF($F271="","",IF(MONTH($F271)&gt;=4,YEAR($F271)&amp;"-"&amp;TEXT(YEAR($F271)+1-2000,"00"),YEAR($F271)-1&amp;"-"&amp;TEXT(YEAR($F271)-2000,"00")))</f>
        <v/>
      </c>
      <c r="J271" s="13" t="n">
        <v>78377</v>
      </c>
      <c r="K271" s="14">
        <f>IFERROR($L271/$J271,"")</f>
        <v/>
      </c>
      <c r="L271" s="13" t="n">
        <v>78377</v>
      </c>
      <c r="M271" s="13">
        <f>IFERROR($L271/$H271,"")</f>
        <v/>
      </c>
      <c r="N271" s="11" t="n">
        <v>45905</v>
      </c>
      <c r="O271" s="10">
        <f>IF($N271="","No","Yes")</f>
        <v/>
      </c>
      <c r="P271" s="12">
        <f>IF(OR($F271="",$G271=""),0,IF(AND($F271&lt;=README!$B$4,README!$B$4&lt;=$G271),1,0))</f>
        <v/>
      </c>
      <c r="Q271" s="12">
        <f>IF(OR($F271="",$G271=""),0,IF(AND($F271&lt;=DATE(README!$B$5,12,31),$G271&gt;=DATE(README!$B$5,1,1)),1,0))</f>
        <v/>
      </c>
      <c r="R271" s="10" t="inlineStr">
        <is>
          <t>GUP-VEH0020</t>
        </is>
      </c>
      <c r="S271" s="11" t="n">
        <v>45799</v>
      </c>
      <c r="T271" s="10" t="inlineStr">
        <is>
          <t>645</t>
        </is>
      </c>
      <c r="U271" s="10" t="inlineStr">
        <is>
          <t>VEHICLE</t>
        </is>
      </c>
      <c r="V271" s="10" t="inlineStr">
        <is>
          <t>T</t>
        </is>
      </c>
      <c r="W271" s="10" t="inlineStr">
        <is>
          <t>VIVEK B</t>
        </is>
      </c>
    </row>
    <row r="272">
      <c r="A272" s="10" t="inlineStr">
        <is>
          <t>TN57BQ3434</t>
        </is>
      </c>
      <c r="B272" s="10" t="inlineStr">
        <is>
          <t>GENERAL</t>
        </is>
      </c>
      <c r="C272" s="10" t="inlineStr">
        <is>
          <t>VEHICLE OUTSIDE SERVICES</t>
        </is>
      </c>
      <c r="D272" s="10" t="inlineStr">
        <is>
          <t xml:space="preserve">MAINTENANCE SERVICE </t>
        </is>
      </c>
      <c r="E272" s="10" t="inlineStr">
        <is>
          <t>YEARLY</t>
        </is>
      </c>
      <c r="F272" s="11" t="n">
        <v>45748</v>
      </c>
      <c r="G272" s="11" t="n">
        <v>46112</v>
      </c>
      <c r="H272" s="12">
        <f>IF(OR($F272="",$G272=""),"",$G272-$F272+1)</f>
        <v/>
      </c>
      <c r="I272" s="10">
        <f>IF($F272="","",IF(MONTH($F272)&gt;=4,YEAR($F272)&amp;"-"&amp;TEXT(YEAR($F272)+1-2000,"00"),YEAR($F272)-1&amp;"-"&amp;TEXT(YEAR($F272)-2000,"00")))</f>
        <v/>
      </c>
      <c r="J272" s="13" t="n">
        <v>13610.99</v>
      </c>
      <c r="K272" s="14">
        <f>IFERROR($L272/$J272,"")</f>
        <v/>
      </c>
      <c r="L272" s="13" t="n">
        <v>13610.99</v>
      </c>
      <c r="M272" s="13">
        <f>IFERROR($L272/$H272,"")</f>
        <v/>
      </c>
      <c r="N272" s="11" t="n">
        <v>45890</v>
      </c>
      <c r="O272" s="10">
        <f>IF($N272="","No","Yes")</f>
        <v/>
      </c>
      <c r="P272" s="12">
        <f>IF(OR($F272="",$G272=""),0,IF(AND($F272&lt;=README!$B$4,README!$B$4&lt;=$G272),1,0))</f>
        <v/>
      </c>
      <c r="Q272" s="12">
        <f>IF(OR($F272="",$G272=""),0,IF(AND($F272&lt;=DATE(README!$B$5,12,31),$G272&gt;=DATE(README!$B$5,1,1)),1,0))</f>
        <v/>
      </c>
      <c r="R272" s="10" t="inlineStr">
        <is>
          <t>GUP-VEH0019</t>
        </is>
      </c>
      <c r="S272" s="11" t="n">
        <v>45777</v>
      </c>
      <c r="T272" s="10" t="inlineStr">
        <is>
          <t>638</t>
        </is>
      </c>
      <c r="U272" s="10" t="inlineStr">
        <is>
          <t>VEHICLE</t>
        </is>
      </c>
      <c r="V272" s="10" t="inlineStr">
        <is>
          <t>T</t>
        </is>
      </c>
      <c r="W272" s="10" t="inlineStr">
        <is>
          <t>VIVEK B</t>
        </is>
      </c>
    </row>
    <row r="273">
      <c r="A273" s="10" t="inlineStr">
        <is>
          <t>TN57BQ3434</t>
        </is>
      </c>
      <c r="B273" s="10" t="inlineStr">
        <is>
          <t>SOCKS</t>
        </is>
      </c>
      <c r="C273" s="10" t="inlineStr">
        <is>
          <t>ROAD TAX</t>
        </is>
      </c>
      <c r="D273" s="10" t="inlineStr">
        <is>
          <t>ROAD TAX</t>
        </is>
      </c>
      <c r="E273" s="10" t="inlineStr">
        <is>
          <t>QUARTER - II</t>
        </is>
      </c>
      <c r="F273" s="11" t="n">
        <v>45839</v>
      </c>
      <c r="G273" s="11" t="n">
        <v>45930</v>
      </c>
      <c r="H273" s="12">
        <f>IF(OR($F273="",$G273=""),"",$G273-$F273+1)</f>
        <v/>
      </c>
      <c r="I273" s="10">
        <f>IF($F273="","",IF(MONTH($F273)&gt;=4,YEAR($F273)&amp;"-"&amp;TEXT(YEAR($F273)+1-2000,"00"),YEAR($F273)-1&amp;"-"&amp;TEXT(YEAR($F273)-2000,"00")))</f>
        <v/>
      </c>
      <c r="J273" s="13" t="n">
        <v>32724</v>
      </c>
      <c r="K273" s="14">
        <f>IFERROR($L273/$J273,"")</f>
        <v/>
      </c>
      <c r="L273" s="13" t="n">
        <v>32724</v>
      </c>
      <c r="M273" s="13">
        <f>IFERROR($L273/$H273,"")</f>
        <v/>
      </c>
      <c r="N273" s="11" t="n">
        <v>46030</v>
      </c>
      <c r="O273" s="10">
        <f>IF($N273="","No","Yes")</f>
        <v/>
      </c>
      <c r="P273" s="12">
        <f>IF(OR($F273="",$G273=""),0,IF(AND($F273&lt;=README!$B$4,README!$B$4&lt;=$G273),1,0))</f>
        <v/>
      </c>
      <c r="Q273" s="12">
        <f>IF(OR($F273="",$G273=""),0,IF(AND($F273&lt;=DATE(README!$B$5,12,31),$G273&gt;=DATE(README!$B$5,1,1)),1,0))</f>
        <v/>
      </c>
      <c r="R273" s="10" t="inlineStr">
        <is>
          <t>GUP-VEH0014</t>
        </is>
      </c>
      <c r="S273" s="11" t="n">
        <v>45748</v>
      </c>
      <c r="T273" s="10" t="inlineStr">
        <is>
          <t>609</t>
        </is>
      </c>
      <c r="U273" s="10" t="inlineStr">
        <is>
          <t>VEHICLE</t>
        </is>
      </c>
      <c r="V273" s="10" t="inlineStr">
        <is>
          <t>T</t>
        </is>
      </c>
      <c r="W273" s="10" t="inlineStr">
        <is>
          <t>VIVEK B</t>
        </is>
      </c>
    </row>
    <row r="274">
      <c r="A274" s="10" t="inlineStr">
        <is>
          <t>TN57BQ3434</t>
        </is>
      </c>
      <c r="B274" s="10" t="inlineStr">
        <is>
          <t>SOCKS</t>
        </is>
      </c>
      <c r="C274" s="10" t="inlineStr">
        <is>
          <t>ROAD TAX</t>
        </is>
      </c>
      <c r="D274" s="10" t="inlineStr">
        <is>
          <t>ROAD TAX</t>
        </is>
      </c>
      <c r="E274" s="10" t="inlineStr">
        <is>
          <t>QUARTER - III</t>
        </is>
      </c>
      <c r="F274" s="11" t="n">
        <v>45931</v>
      </c>
      <c r="G274" s="11" t="n">
        <v>46022</v>
      </c>
      <c r="H274" s="12">
        <f>IF(OR($F274="",$G274=""),"",$G274-$F274+1)</f>
        <v/>
      </c>
      <c r="I274" s="10">
        <f>IF($F274="","",IF(MONTH($F274)&gt;=4,YEAR($F274)&amp;"-"&amp;TEXT(YEAR($F274)+1-2000,"00"),YEAR($F274)-1&amp;"-"&amp;TEXT(YEAR($F274)-2000,"00")))</f>
        <v/>
      </c>
      <c r="J274" s="13" t="n">
        <v>32734</v>
      </c>
      <c r="K274" s="14">
        <f>IFERROR($L274/$J274,"")</f>
        <v/>
      </c>
      <c r="L274" s="13" t="n">
        <v>32734</v>
      </c>
      <c r="M274" s="13">
        <f>IFERROR($L274/$H274,"")</f>
        <v/>
      </c>
      <c r="N274" s="11" t="n">
        <v>46030</v>
      </c>
      <c r="O274" s="10">
        <f>IF($N274="","No","Yes")</f>
        <v/>
      </c>
      <c r="P274" s="12">
        <f>IF(OR($F274="",$G274=""),0,IF(AND($F274&lt;=README!$B$4,README!$B$4&lt;=$G274),1,0))</f>
        <v/>
      </c>
      <c r="Q274" s="12">
        <f>IF(OR($F274="",$G274=""),0,IF(AND($F274&lt;=DATE(README!$B$5,12,31),$G274&gt;=DATE(README!$B$5,1,1)),1,0))</f>
        <v/>
      </c>
      <c r="R274" s="10" t="inlineStr">
        <is>
          <t>GUP-VEH0014</t>
        </is>
      </c>
      <c r="S274" s="11" t="n">
        <v>45748</v>
      </c>
      <c r="T274" s="10" t="inlineStr">
        <is>
          <t>609</t>
        </is>
      </c>
      <c r="U274" s="10" t="inlineStr">
        <is>
          <t>VEHICLE</t>
        </is>
      </c>
      <c r="V274" s="10" t="inlineStr">
        <is>
          <t>T</t>
        </is>
      </c>
      <c r="W274" s="10" t="inlineStr">
        <is>
          <t>VIVEK B</t>
        </is>
      </c>
    </row>
    <row r="275">
      <c r="A275" s="10" t="inlineStr">
        <is>
          <t>TN57BQ3434</t>
        </is>
      </c>
      <c r="B275" s="10" t="inlineStr">
        <is>
          <t>SOCKS</t>
        </is>
      </c>
      <c r="C275" s="10" t="inlineStr">
        <is>
          <t>RTO EXPENSE</t>
        </is>
      </c>
      <c r="D275" s="10" t="inlineStr">
        <is>
          <t>HP-LOAN CLOSURE</t>
        </is>
      </c>
      <c r="E275" s="10" t="inlineStr">
        <is>
          <t>DECEMBER</t>
        </is>
      </c>
      <c r="F275" s="11" t="n">
        <v>45992</v>
      </c>
      <c r="G275" s="11" t="n">
        <v>46022</v>
      </c>
      <c r="H275" s="12">
        <f>IF(OR($F275="",$G275=""),"",$G275-$F275+1)</f>
        <v/>
      </c>
      <c r="I275" s="10">
        <f>IF($F275="","",IF(MONTH($F275)&gt;=4,YEAR($F275)&amp;"-"&amp;TEXT(YEAR($F275)+1-2000,"00"),YEAR($F275)-1&amp;"-"&amp;TEXT(YEAR($F275)-2000,"00")))</f>
        <v/>
      </c>
      <c r="J275" s="13" t="n">
        <v>1300</v>
      </c>
      <c r="K275" s="14">
        <f>IFERROR($L275/$J275,"")</f>
        <v/>
      </c>
      <c r="L275" s="13" t="n">
        <v>1300</v>
      </c>
      <c r="M275" s="13">
        <f>IFERROR($L275/$H275,"")</f>
        <v/>
      </c>
      <c r="N275" s="11" t="n">
        <v>45994</v>
      </c>
      <c r="O275" s="10">
        <f>IF($N275="","No","Yes")</f>
        <v/>
      </c>
      <c r="P275" s="12">
        <f>IF(OR($F275="",$G275=""),0,IF(AND($F275&lt;=README!$B$4,README!$B$4&lt;=$G275),1,0))</f>
        <v/>
      </c>
      <c r="Q275" s="12">
        <f>IF(OR($F275="",$G275=""),0,IF(AND($F275&lt;=DATE(README!$B$5,12,31),$G275&gt;=DATE(README!$B$5,1,1)),1,0))</f>
        <v/>
      </c>
      <c r="R275" s="10" t="inlineStr">
        <is>
          <t>GUP-VEH0022</t>
        </is>
      </c>
      <c r="S275" s="11" t="n">
        <v>45834</v>
      </c>
      <c r="T275" s="10" t="inlineStr">
        <is>
          <t>655</t>
        </is>
      </c>
      <c r="U275" s="10" t="inlineStr">
        <is>
          <t>VEHICLE</t>
        </is>
      </c>
      <c r="V275" s="10" t="inlineStr">
        <is>
          <t>T</t>
        </is>
      </c>
      <c r="W275" s="10" t="inlineStr">
        <is>
          <t>VIVEK B</t>
        </is>
      </c>
    </row>
    <row r="276">
      <c r="A276" s="10" t="inlineStr">
        <is>
          <t>TN57BQ3434</t>
        </is>
      </c>
      <c r="B276" s="10" t="inlineStr">
        <is>
          <t>SOCKS</t>
        </is>
      </c>
      <c r="C276" s="10" t="inlineStr">
        <is>
          <t>ROAD TAX</t>
        </is>
      </c>
      <c r="D276" s="10" t="inlineStr">
        <is>
          <t>ROAD TAX</t>
        </is>
      </c>
      <c r="E276" s="10" t="inlineStr">
        <is>
          <t>QUARTER - IV</t>
        </is>
      </c>
      <c r="F276" s="11" t="n">
        <v>46023</v>
      </c>
      <c r="G276" s="11" t="n">
        <v>46112</v>
      </c>
      <c r="H276" s="12">
        <f>IF(OR($F276="",$G276=""),"",$G276-$F276+1)</f>
        <v/>
      </c>
      <c r="I276" s="10">
        <f>IF($F276="","",IF(MONTH($F276)&gt;=4,YEAR($F276)&amp;"-"&amp;TEXT(YEAR($F276)+1-2000,"00"),YEAR($F276)-1&amp;"-"&amp;TEXT(YEAR($F276)-2000,"00")))</f>
        <v/>
      </c>
      <c r="J276" s="13" t="n">
        <v>32734</v>
      </c>
      <c r="K276" s="14">
        <f>IFERROR($L276/$J276,"")</f>
        <v/>
      </c>
      <c r="L276" s="13" t="n">
        <v>32734</v>
      </c>
      <c r="M276" s="13">
        <f>IFERROR($L276/$H276,"")</f>
        <v/>
      </c>
      <c r="N276" s="11" t="n">
        <v>46030</v>
      </c>
      <c r="O276" s="10">
        <f>IF($N276="","No","Yes")</f>
        <v/>
      </c>
      <c r="P276" s="12">
        <f>IF(OR($F276="",$G276=""),0,IF(AND($F276&lt;=README!$B$4,README!$B$4&lt;=$G276),1,0))</f>
        <v/>
      </c>
      <c r="Q276" s="12">
        <f>IF(OR($F276="",$G276=""),0,IF(AND($F276&lt;=DATE(README!$B$5,12,31),$G276&gt;=DATE(README!$B$5,1,1)),1,0))</f>
        <v/>
      </c>
      <c r="R276" s="10" t="inlineStr">
        <is>
          <t>GUP-VEH0014</t>
        </is>
      </c>
      <c r="S276" s="11" t="n">
        <v>45748</v>
      </c>
      <c r="T276" s="10" t="inlineStr">
        <is>
          <t>609</t>
        </is>
      </c>
      <c r="U276" s="10" t="inlineStr">
        <is>
          <t>VEHICLE</t>
        </is>
      </c>
      <c r="V276" s="10" t="inlineStr">
        <is>
          <t>T</t>
        </is>
      </c>
      <c r="W276" s="10" t="inlineStr">
        <is>
          <t>VIVEK B</t>
        </is>
      </c>
    </row>
    <row r="277">
      <c r="A277" s="10" t="inlineStr">
        <is>
          <t>TN57BQ3434</t>
        </is>
      </c>
      <c r="B277" s="10" t="inlineStr">
        <is>
          <t>SOCKS</t>
        </is>
      </c>
      <c r="C277" s="10" t="inlineStr">
        <is>
          <t>FC WORK</t>
        </is>
      </c>
      <c r="D277" s="10" t="inlineStr">
        <is>
          <t>FC WORK</t>
        </is>
      </c>
      <c r="E277" s="10" t="inlineStr">
        <is>
          <t>FEBRUARY</t>
        </is>
      </c>
      <c r="F277" s="11" t="n">
        <v>46054</v>
      </c>
      <c r="G277" s="11" t="n">
        <v>46081</v>
      </c>
      <c r="H277" s="12">
        <f>IF(OR($F277="",$G277=""),"",$G277-$F277+1)</f>
        <v/>
      </c>
      <c r="I277" s="10">
        <f>IF($F277="","",IF(MONTH($F277)&gt;=4,YEAR($F277)&amp;"-"&amp;TEXT(YEAR($F277)+1-2000,"00"),YEAR($F277)-1&amp;"-"&amp;TEXT(YEAR($F277)-2000,"00")))</f>
        <v/>
      </c>
      <c r="J277" s="13" t="n">
        <v>43010</v>
      </c>
      <c r="K277" s="14">
        <f>IFERROR($L277/$J277,"")</f>
        <v/>
      </c>
      <c r="L277" s="13" t="n">
        <v>43010</v>
      </c>
      <c r="M277" s="13">
        <f>IFERROR($L277/$H277,"")</f>
        <v/>
      </c>
      <c r="N277" s="11" t="n">
        <v>46072</v>
      </c>
      <c r="O277" s="10">
        <f>IF($N277="","No","Yes")</f>
        <v/>
      </c>
      <c r="P277" s="12">
        <f>IF(OR($F277="",$G277=""),0,IF(AND($F277&lt;=README!$B$4,README!$B$4&lt;=$G277),1,0))</f>
        <v/>
      </c>
      <c r="Q277" s="12">
        <f>IF(OR($F277="",$G277=""),0,IF(AND($F277&lt;=DATE(README!$B$5,12,31),$G277&gt;=DATE(README!$B$5,1,1)),1,0))</f>
        <v/>
      </c>
      <c r="R277" s="10" t="inlineStr">
        <is>
          <t>GUP-VEH0021</t>
        </is>
      </c>
      <c r="S277" s="11" t="n">
        <v>45832</v>
      </c>
      <c r="T277" s="10" t="inlineStr">
        <is>
          <t>654</t>
        </is>
      </c>
      <c r="U277" s="10" t="inlineStr">
        <is>
          <t>VEHICLE</t>
        </is>
      </c>
      <c r="V277" s="10" t="inlineStr">
        <is>
          <t>T</t>
        </is>
      </c>
      <c r="W277" s="10" t="inlineStr">
        <is>
          <t>VIVEK B</t>
        </is>
      </c>
    </row>
    <row r="278">
      <c r="A278" s="10" t="inlineStr">
        <is>
          <t>TN57BQ3434</t>
        </is>
      </c>
      <c r="B278" s="10" t="inlineStr">
        <is>
          <t>SOCKS</t>
        </is>
      </c>
      <c r="C278" s="10" t="inlineStr">
        <is>
          <t>ROAD TAX</t>
        </is>
      </c>
      <c r="D278" s="10" t="inlineStr">
        <is>
          <t>ROAD TAX</t>
        </is>
      </c>
      <c r="E278" s="10" t="inlineStr">
        <is>
          <t>QUARTER - I</t>
        </is>
      </c>
      <c r="F278" s="11" t="n">
        <v>46113</v>
      </c>
      <c r="G278" s="11" t="n">
        <v>46203</v>
      </c>
      <c r="H278" s="12">
        <f>IF(OR($F278="",$G278=""),"",$G278-$F278+1)</f>
        <v/>
      </c>
      <c r="I278" s="10">
        <f>IF($F278="","",IF(MONTH($F278)&gt;=4,YEAR($F278)&amp;"-"&amp;TEXT(YEAR($F278)+1-2000,"00"),YEAR($F278)-1&amp;"-"&amp;TEXT(YEAR($F278)-2000,"00")))</f>
        <v/>
      </c>
      <c r="J278" s="13" t="n">
        <v>32734</v>
      </c>
      <c r="K278" s="14">
        <f>IFERROR($L278/$J278,"")</f>
        <v/>
      </c>
      <c r="L278" s="13" t="n">
        <v>32734</v>
      </c>
      <c r="M278" s="13">
        <f>IFERROR($L278/$H278,"")</f>
        <v/>
      </c>
      <c r="N278" s="11" t="n">
        <v>46088</v>
      </c>
      <c r="O278" s="10">
        <f>IF($N278="","No","Yes")</f>
        <v/>
      </c>
      <c r="P278" s="12">
        <f>IF(OR($F278="",$G278=""),0,IF(AND($F278&lt;=README!$B$4,README!$B$4&lt;=$G278),1,0))</f>
        <v/>
      </c>
      <c r="Q278" s="12">
        <f>IF(OR($F278="",$G278=""),0,IF(AND($F278&lt;=DATE(README!$B$5,12,31),$G278&gt;=DATE(README!$B$5,1,1)),1,0))</f>
        <v/>
      </c>
      <c r="R278" s="10" t="inlineStr">
        <is>
          <t>GUP-VEH0030</t>
        </is>
      </c>
      <c r="S278" s="11" t="n">
        <v>46113</v>
      </c>
      <c r="T278" s="10" t="inlineStr">
        <is>
          <t>796</t>
        </is>
      </c>
      <c r="U278" s="10" t="inlineStr">
        <is>
          <t>VEHICLE</t>
        </is>
      </c>
      <c r="V278" s="10" t="inlineStr">
        <is>
          <t>T</t>
        </is>
      </c>
      <c r="W278" s="10" t="inlineStr">
        <is>
          <t>VIVEK B</t>
        </is>
      </c>
    </row>
    <row r="279">
      <c r="A279" s="10" t="inlineStr">
        <is>
          <t>TN57BQ3434</t>
        </is>
      </c>
      <c r="B279" s="10" t="inlineStr">
        <is>
          <t>SOCKS</t>
        </is>
      </c>
      <c r="C279" s="10" t="inlineStr">
        <is>
          <t>ROAD TAX</t>
        </is>
      </c>
      <c r="D279" s="10" t="inlineStr">
        <is>
          <t>ROAD TAX</t>
        </is>
      </c>
      <c r="E279" s="10" t="inlineStr">
        <is>
          <t>QUARTER - II</t>
        </is>
      </c>
      <c r="F279" s="11" t="n">
        <v>46204</v>
      </c>
      <c r="G279" s="11" t="n">
        <v>46295</v>
      </c>
      <c r="H279" s="12">
        <f>IF(OR($F279="",$G279=""),"",$G279-$F279+1)</f>
        <v/>
      </c>
      <c r="I279" s="10">
        <f>IF($F279="","",IF(MONTH($F279)&gt;=4,YEAR($F279)&amp;"-"&amp;TEXT(YEAR($F279)+1-2000,"00"),YEAR($F279)-1&amp;"-"&amp;TEXT(YEAR($F279)-2000,"00")))</f>
        <v/>
      </c>
      <c r="J279" s="13" t="n">
        <v>32734</v>
      </c>
      <c r="K279" s="14">
        <f>IFERROR($L279/$J279,"")</f>
        <v/>
      </c>
      <c r="L279" s="13" t="n">
        <v>32734</v>
      </c>
      <c r="M279" s="13">
        <f>IFERROR($L279/$H279,"")</f>
        <v/>
      </c>
      <c r="N279" s="11" t="n">
        <v>46196</v>
      </c>
      <c r="O279" s="10">
        <f>IF($N279="","No","Yes")</f>
        <v/>
      </c>
      <c r="P279" s="12">
        <f>IF(OR($F279="",$G279=""),0,IF(AND($F279&lt;=README!$B$4,README!$B$4&lt;=$G279),1,0))</f>
        <v/>
      </c>
      <c r="Q279" s="12">
        <f>IF(OR($F279="",$G279=""),0,IF(AND($F279&lt;=DATE(README!$B$5,12,31),$G279&gt;=DATE(README!$B$5,1,1)),1,0))</f>
        <v/>
      </c>
      <c r="R279" s="10" t="inlineStr">
        <is>
          <t>GUP-VEH0030</t>
        </is>
      </c>
      <c r="S279" s="11" t="n">
        <v>46113</v>
      </c>
      <c r="T279" s="10" t="inlineStr">
        <is>
          <t>796</t>
        </is>
      </c>
      <c r="U279" s="10" t="inlineStr">
        <is>
          <t>VEHICLE</t>
        </is>
      </c>
      <c r="V279" s="10" t="inlineStr">
        <is>
          <t>T</t>
        </is>
      </c>
      <c r="W279" s="10" t="inlineStr">
        <is>
          <t>VIVEK B</t>
        </is>
      </c>
    </row>
    <row r="280">
      <c r="A280" s="10" t="inlineStr">
        <is>
          <t>TN57BQ3636</t>
        </is>
      </c>
      <c r="B280" s="10" t="inlineStr">
        <is>
          <t>SOCKS</t>
        </is>
      </c>
      <c r="C280" s="10" t="inlineStr">
        <is>
          <t>ROAD TAX</t>
        </is>
      </c>
      <c r="D280" s="10" t="inlineStr">
        <is>
          <t>ROAD TAX</t>
        </is>
      </c>
      <c r="E280" s="10" t="inlineStr">
        <is>
          <t>YEARLY</t>
        </is>
      </c>
      <c r="F280" s="11" t="n">
        <v>45383</v>
      </c>
      <c r="G280" s="11" t="n">
        <v>45747</v>
      </c>
      <c r="H280" s="12">
        <f>IF(OR($F280="",$G280=""),"",$G280-$F280+1)</f>
        <v/>
      </c>
      <c r="I280" s="10">
        <f>IF($F280="","",IF(MONTH($F280)&gt;=4,YEAR($F280)&amp;"-"&amp;TEXT(YEAR($F280)+1-2000,"00"),YEAR($F280)-1&amp;"-"&amp;TEXT(YEAR($F280)-2000,"00")))</f>
        <v/>
      </c>
      <c r="J280" s="13" t="n">
        <v>21816</v>
      </c>
      <c r="K280" s="14">
        <f>IFERROR($L280/$J280,"")</f>
        <v/>
      </c>
      <c r="L280" s="13" t="n">
        <v>21816</v>
      </c>
      <c r="M280" s="13">
        <f>IFERROR($L280/$H280,"")</f>
        <v/>
      </c>
      <c r="N280" s="11" t="n">
        <v>45569</v>
      </c>
      <c r="O280" s="10">
        <f>IF($N280="","No","Yes")</f>
        <v/>
      </c>
      <c r="P280" s="12">
        <f>IF(OR($F280="",$G280=""),0,IF(AND($F280&lt;=README!$B$4,README!$B$4&lt;=$G280),1,0))</f>
        <v/>
      </c>
      <c r="Q280" s="12">
        <f>IF(OR($F280="",$G280=""),0,IF(AND($F280&lt;=DATE(README!$B$5,12,31),$G280&gt;=DATE(README!$B$5,1,1)),1,0))</f>
        <v/>
      </c>
      <c r="R280" s="10" t="inlineStr">
        <is>
          <t>GUP-VEH0011</t>
        </is>
      </c>
      <c r="S280" s="11" t="n">
        <v>45477</v>
      </c>
      <c r="T280" s="10" t="inlineStr">
        <is>
          <t>548</t>
        </is>
      </c>
      <c r="U280" s="10" t="inlineStr">
        <is>
          <t>VEHICLE</t>
        </is>
      </c>
      <c r="V280" s="10" t="inlineStr">
        <is>
          <t>T</t>
        </is>
      </c>
      <c r="W280" s="10" t="inlineStr">
        <is>
          <t>VIVEK B</t>
        </is>
      </c>
    </row>
    <row r="281">
      <c r="A281" s="10" t="inlineStr">
        <is>
          <t>TN57BQ3636</t>
        </is>
      </c>
      <c r="B281" s="10" t="inlineStr">
        <is>
          <t>SOCKS</t>
        </is>
      </c>
      <c r="C281" s="10" t="inlineStr">
        <is>
          <t>ROAD TAX</t>
        </is>
      </c>
      <c r="D281" s="10" t="inlineStr">
        <is>
          <t>ROAD TAX</t>
        </is>
      </c>
      <c r="E281" s="10" t="inlineStr">
        <is>
          <t>YEARLY</t>
        </is>
      </c>
      <c r="F281" s="11" t="n">
        <v>45383</v>
      </c>
      <c r="G281" s="11" t="n">
        <v>45747</v>
      </c>
      <c r="H281" s="12">
        <f>IF(OR($F281="",$G281=""),"",$G281-$F281+1)</f>
        <v/>
      </c>
      <c r="I281" s="10">
        <f>IF($F281="","",IF(MONTH($F281)&gt;=4,YEAR($F281)&amp;"-"&amp;TEXT(YEAR($F281)+1-2000,"00"),YEAR($F281)-1&amp;"-"&amp;TEXT(YEAR($F281)-2000,"00")))</f>
        <v/>
      </c>
      <c r="J281" s="13" t="n">
        <v>21816</v>
      </c>
      <c r="K281" s="14">
        <f>IFERROR($L281/$J281,"")</f>
        <v/>
      </c>
      <c r="L281" s="13" t="n">
        <v>21816</v>
      </c>
      <c r="M281" s="13">
        <f>IFERROR($L281/$H281,"")</f>
        <v/>
      </c>
      <c r="N281" s="11" t="n">
        <v>45649</v>
      </c>
      <c r="O281" s="10">
        <f>IF($N281="","No","Yes")</f>
        <v/>
      </c>
      <c r="P281" s="12">
        <f>IF(OR($F281="",$G281=""),0,IF(AND($F281&lt;=README!$B$4,README!$B$4&lt;=$G281),1,0))</f>
        <v/>
      </c>
      <c r="Q281" s="12">
        <f>IF(OR($F281="",$G281=""),0,IF(AND($F281&lt;=DATE(README!$B$5,12,31),$G281&gt;=DATE(README!$B$5,1,1)),1,0))</f>
        <v/>
      </c>
      <c r="R281" s="10" t="inlineStr">
        <is>
          <t>GUP-VEH0011</t>
        </is>
      </c>
      <c r="S281" s="11" t="n">
        <v>45477</v>
      </c>
      <c r="T281" s="10" t="inlineStr">
        <is>
          <t>548</t>
        </is>
      </c>
      <c r="U281" s="10" t="inlineStr">
        <is>
          <t>VEHICLE</t>
        </is>
      </c>
      <c r="V281" s="10" t="inlineStr">
        <is>
          <t>T</t>
        </is>
      </c>
      <c r="W281" s="10" t="inlineStr">
        <is>
          <t>VIVEK B</t>
        </is>
      </c>
    </row>
    <row r="282">
      <c r="A282" s="10" t="inlineStr">
        <is>
          <t>TN57BQ3636</t>
        </is>
      </c>
      <c r="B282" s="10" t="inlineStr">
        <is>
          <t>SOCKS</t>
        </is>
      </c>
      <c r="C282" s="10" t="inlineStr">
        <is>
          <t>ROAD TAX</t>
        </is>
      </c>
      <c r="D282" s="10" t="inlineStr">
        <is>
          <t>ROAD TAX</t>
        </is>
      </c>
      <c r="E282" s="10" t="inlineStr">
        <is>
          <t>YEARLY</t>
        </is>
      </c>
      <c r="F282" s="11" t="n">
        <v>45383</v>
      </c>
      <c r="G282" s="11" t="n">
        <v>45747</v>
      </c>
      <c r="H282" s="12">
        <f>IF(OR($F282="",$G282=""),"",$G282-$F282+1)</f>
        <v/>
      </c>
      <c r="I282" s="10">
        <f>IF($F282="","",IF(MONTH($F282)&gt;=4,YEAR($F282)&amp;"-"&amp;TEXT(YEAR($F282)+1-2000,"00"),YEAR($F282)-1&amp;"-"&amp;TEXT(YEAR($F282)-2000,"00")))</f>
        <v/>
      </c>
      <c r="J282" s="13" t="n">
        <v>21816</v>
      </c>
      <c r="K282" s="14">
        <f>IFERROR($L282/$J282,"")</f>
        <v/>
      </c>
      <c r="L282" s="13" t="n">
        <v>21816</v>
      </c>
      <c r="M282" s="13">
        <f>IFERROR($L282/$H282,"")</f>
        <v/>
      </c>
      <c r="N282" s="11" t="n">
        <v>45481</v>
      </c>
      <c r="O282" s="10">
        <f>IF($N282="","No","Yes")</f>
        <v/>
      </c>
      <c r="P282" s="12">
        <f>IF(OR($F282="",$G282=""),0,IF(AND($F282&lt;=README!$B$4,README!$B$4&lt;=$G282),1,0))</f>
        <v/>
      </c>
      <c r="Q282" s="12">
        <f>IF(OR($F282="",$G282=""),0,IF(AND($F282&lt;=DATE(README!$B$5,12,31),$G282&gt;=DATE(README!$B$5,1,1)),1,0))</f>
        <v/>
      </c>
      <c r="R282" s="10" t="inlineStr">
        <is>
          <t>GUP-VEH0011</t>
        </is>
      </c>
      <c r="S282" s="11" t="n">
        <v>45477</v>
      </c>
      <c r="T282" s="10" t="inlineStr">
        <is>
          <t>548</t>
        </is>
      </c>
      <c r="U282" s="10" t="inlineStr">
        <is>
          <t>VEHICLE</t>
        </is>
      </c>
      <c r="V282" s="10" t="inlineStr">
        <is>
          <t>T</t>
        </is>
      </c>
      <c r="W282" s="10" t="inlineStr">
        <is>
          <t>VIVEK B</t>
        </is>
      </c>
    </row>
    <row r="283">
      <c r="A283" s="10" t="inlineStr">
        <is>
          <t>TN57BQ3636</t>
        </is>
      </c>
      <c r="B283" s="10" t="inlineStr">
        <is>
          <t>SOCKS</t>
        </is>
      </c>
      <c r="C283" s="10" t="inlineStr">
        <is>
          <t>RTO EXPENSE</t>
        </is>
      </c>
      <c r="D283" s="10" t="inlineStr">
        <is>
          <t>ADDITIONAL DISTRICT PERMIT</t>
        </is>
      </c>
      <c r="E283" s="10" t="inlineStr">
        <is>
          <t>YEARLY</t>
        </is>
      </c>
      <c r="F283" s="11" t="n">
        <v>45383</v>
      </c>
      <c r="G283" s="11" t="n">
        <v>45747</v>
      </c>
      <c r="H283" s="12">
        <f>IF(OR($F283="",$G283=""),"",$G283-$F283+1)</f>
        <v/>
      </c>
      <c r="I283" s="10">
        <f>IF($F283="","",IF(MONTH($F283)&gt;=4,YEAR($F283)&amp;"-"&amp;TEXT(YEAR($F283)+1-2000,"00"),YEAR($F283)-1&amp;"-"&amp;TEXT(YEAR($F283)-2000,"00")))</f>
        <v/>
      </c>
      <c r="J283" s="13" t="n">
        <v>7000</v>
      </c>
      <c r="K283" s="14">
        <f>IFERROR($L283/$J283,"")</f>
        <v/>
      </c>
      <c r="L283" s="13" t="n">
        <v>7000</v>
      </c>
      <c r="M283" s="13">
        <f>IFERROR($L283/$H283,"")</f>
        <v/>
      </c>
      <c r="N283" s="11" t="n">
        <v>45699</v>
      </c>
      <c r="O283" s="10">
        <f>IF($N283="","No","Yes")</f>
        <v/>
      </c>
      <c r="P283" s="12">
        <f>IF(OR($F283="",$G283=""),0,IF(AND($F283&lt;=README!$B$4,README!$B$4&lt;=$G283),1,0))</f>
        <v/>
      </c>
      <c r="Q283" s="12">
        <f>IF(OR($F283="",$G283=""),0,IF(AND($F283&lt;=DATE(README!$B$5,12,31),$G283&gt;=DATE(README!$B$5,1,1)),1,0))</f>
        <v/>
      </c>
      <c r="R283" s="10" t="inlineStr">
        <is>
          <t>GUP-VEH0010</t>
        </is>
      </c>
      <c r="S283" s="11" t="n">
        <v>45475</v>
      </c>
      <c r="T283" s="10" t="inlineStr">
        <is>
          <t>547</t>
        </is>
      </c>
      <c r="U283" s="10" t="inlineStr">
        <is>
          <t>VEHICLE</t>
        </is>
      </c>
      <c r="V283" s="10" t="inlineStr">
        <is>
          <t>T</t>
        </is>
      </c>
      <c r="W283" s="10" t="inlineStr">
        <is>
          <t>VIVEK B</t>
        </is>
      </c>
    </row>
    <row r="284">
      <c r="A284" s="10" t="inlineStr">
        <is>
          <t>TN57BQ3636</t>
        </is>
      </c>
      <c r="B284" s="10" t="inlineStr">
        <is>
          <t>SOCKS</t>
        </is>
      </c>
      <c r="C284" s="10" t="inlineStr">
        <is>
          <t>TYRE</t>
        </is>
      </c>
      <c r="D284" s="10" t="inlineStr">
        <is>
          <t>TYRE</t>
        </is>
      </c>
      <c r="E284" s="10" t="inlineStr">
        <is>
          <t>YEARLY</t>
        </is>
      </c>
      <c r="F284" s="11" t="n">
        <v>45383</v>
      </c>
      <c r="G284" s="11" t="n">
        <v>45747</v>
      </c>
      <c r="H284" s="12">
        <f>IF(OR($F284="",$G284=""),"",$G284-$F284+1)</f>
        <v/>
      </c>
      <c r="I284" s="10">
        <f>IF($F284="","",IF(MONTH($F284)&gt;=4,YEAR($F284)&amp;"-"&amp;TEXT(YEAR($F284)+1-2000,"00"),YEAR($F284)-1&amp;"-"&amp;TEXT(YEAR($F284)-2000,"00")))</f>
        <v/>
      </c>
      <c r="J284" s="13" t="n">
        <v>19200</v>
      </c>
      <c r="K284" s="14">
        <f>IFERROR($L284/$J284,"")</f>
        <v/>
      </c>
      <c r="L284" s="13" t="n">
        <v>0</v>
      </c>
      <c r="M284" s="13">
        <f>IFERROR($L284/$H284,"")</f>
        <v/>
      </c>
      <c r="N284" s="11" t="n"/>
      <c r="O284" s="10">
        <f>IF($N284="","No","Yes")</f>
        <v/>
      </c>
      <c r="P284" s="12">
        <f>IF(OR($F284="",$G284=""),0,IF(AND($F284&lt;=README!$B$4,README!$B$4&lt;=$G284),1,0))</f>
        <v/>
      </c>
      <c r="Q284" s="12">
        <f>IF(OR($F284="",$G284=""),0,IF(AND($F284&lt;=DATE(README!$B$5,12,31),$G284&gt;=DATE(README!$B$5,1,1)),1,0))</f>
        <v/>
      </c>
      <c r="R284" s="10" t="inlineStr">
        <is>
          <t>GUP-VEH0006</t>
        </is>
      </c>
      <c r="S284" s="11" t="n">
        <v>45442</v>
      </c>
      <c r="T284" s="10" t="inlineStr">
        <is>
          <t>522</t>
        </is>
      </c>
      <c r="U284" s="10" t="inlineStr">
        <is>
          <t>VEHICLE</t>
        </is>
      </c>
      <c r="V284" s="10" t="inlineStr">
        <is>
          <t>T</t>
        </is>
      </c>
      <c r="W284" s="10" t="inlineStr">
        <is>
          <t>VIVEK B</t>
        </is>
      </c>
    </row>
    <row r="285">
      <c r="A285" s="10" t="inlineStr">
        <is>
          <t>TN57BQ3636</t>
        </is>
      </c>
      <c r="B285" s="10" t="inlineStr">
        <is>
          <t>SOCKS</t>
        </is>
      </c>
      <c r="C285" s="10" t="inlineStr">
        <is>
          <t>VEHICLE INSURANCE</t>
        </is>
      </c>
      <c r="D285" s="10" t="inlineStr">
        <is>
          <t>VEHICLE INSURANCE</t>
        </is>
      </c>
      <c r="E285" s="10" t="inlineStr">
        <is>
          <t>YEARLY</t>
        </is>
      </c>
      <c r="F285" s="11" t="n">
        <v>45383</v>
      </c>
      <c r="G285" s="11" t="n">
        <v>45747</v>
      </c>
      <c r="H285" s="12">
        <f>IF(OR($F285="",$G285=""),"",$G285-$F285+1)</f>
        <v/>
      </c>
      <c r="I285" s="10">
        <f>IF($F285="","",IF(MONTH($F285)&gt;=4,YEAR($F285)&amp;"-"&amp;TEXT(YEAR($F285)+1-2000,"00"),YEAR($F285)-1&amp;"-"&amp;TEXT(YEAR($F285)-2000,"00")))</f>
        <v/>
      </c>
      <c r="J285" s="13" t="n">
        <v>58327</v>
      </c>
      <c r="K285" s="14">
        <f>IFERROR($L285/$J285,"")</f>
        <v/>
      </c>
      <c r="L285" s="13" t="n">
        <v>58327</v>
      </c>
      <c r="M285" s="13">
        <f>IFERROR($L285/$H285,"")</f>
        <v/>
      </c>
      <c r="N285" s="11" t="n">
        <v>45664</v>
      </c>
      <c r="O285" s="10">
        <f>IF($N285="","No","Yes")</f>
        <v/>
      </c>
      <c r="P285" s="12">
        <f>IF(OR($F285="",$G285=""),0,IF(AND($F285&lt;=README!$B$4,README!$B$4&lt;=$G285),1,0))</f>
        <v/>
      </c>
      <c r="Q285" s="12">
        <f>IF(OR($F285="",$G285=""),0,IF(AND($F285&lt;=DATE(README!$B$5,12,31),$G285&gt;=DATE(README!$B$5,1,1)),1,0))</f>
        <v/>
      </c>
      <c r="R285" s="10" t="inlineStr">
        <is>
          <t>GUP-VEH0013</t>
        </is>
      </c>
      <c r="S285" s="11" t="n">
        <v>45478</v>
      </c>
      <c r="T285" s="10" t="inlineStr">
        <is>
          <t>550</t>
        </is>
      </c>
      <c r="U285" s="10" t="inlineStr">
        <is>
          <t>VEHICLE</t>
        </is>
      </c>
      <c r="V285" s="10" t="inlineStr">
        <is>
          <t>T</t>
        </is>
      </c>
      <c r="W285" s="10" t="inlineStr">
        <is>
          <t>VIVEK B</t>
        </is>
      </c>
    </row>
    <row r="286">
      <c r="A286" s="10" t="inlineStr">
        <is>
          <t>TN57BQ3636</t>
        </is>
      </c>
      <c r="B286" s="10" t="inlineStr">
        <is>
          <t>SOCKS</t>
        </is>
      </c>
      <c r="C286" s="10" t="inlineStr">
        <is>
          <t>VEHICLE OUTSIDE SERVICES</t>
        </is>
      </c>
      <c r="D286" s="10" t="inlineStr">
        <is>
          <t>GLASS STICKERS</t>
        </is>
      </c>
      <c r="E286" s="10" t="inlineStr">
        <is>
          <t>YEARLY</t>
        </is>
      </c>
      <c r="F286" s="11" t="n">
        <v>45383</v>
      </c>
      <c r="G286" s="11" t="n">
        <v>45747</v>
      </c>
      <c r="H286" s="12">
        <f>IF(OR($F286="",$G286=""),"",$G286-$F286+1)</f>
        <v/>
      </c>
      <c r="I286" s="10">
        <f>IF($F286="","",IF(MONTH($F286)&gt;=4,YEAR($F286)&amp;"-"&amp;TEXT(YEAR($F286)+1-2000,"00"),YEAR($F286)-1&amp;"-"&amp;TEXT(YEAR($F286)-2000,"00")))</f>
        <v/>
      </c>
      <c r="J286" s="13" t="n">
        <v>1770</v>
      </c>
      <c r="K286" s="14">
        <f>IFERROR($L286/$J286,"")</f>
        <v/>
      </c>
      <c r="L286" s="13" t="n">
        <v>1770</v>
      </c>
      <c r="M286" s="13">
        <f>IFERROR($L286/$H286,"")</f>
        <v/>
      </c>
      <c r="N286" s="11" t="n">
        <v>45649</v>
      </c>
      <c r="O286" s="10">
        <f>IF($N286="","No","Yes")</f>
        <v/>
      </c>
      <c r="P286" s="12">
        <f>IF(OR($F286="",$G286=""),0,IF(AND($F286&lt;=README!$B$4,README!$B$4&lt;=$G286),1,0))</f>
        <v/>
      </c>
      <c r="Q286" s="12">
        <f>IF(OR($F286="",$G286=""),0,IF(AND($F286&lt;=DATE(README!$B$5,12,31),$G286&gt;=DATE(README!$B$5,1,1)),1,0))</f>
        <v/>
      </c>
      <c r="R286" s="10" t="inlineStr">
        <is>
          <t>GUP-VEH0012</t>
        </is>
      </c>
      <c r="S286" s="11" t="n">
        <v>45477</v>
      </c>
      <c r="T286" s="10" t="inlineStr">
        <is>
          <t>549</t>
        </is>
      </c>
      <c r="U286" s="10" t="inlineStr">
        <is>
          <t>VEHICLE</t>
        </is>
      </c>
      <c r="V286" s="10" t="inlineStr">
        <is>
          <t>T</t>
        </is>
      </c>
      <c r="W286" s="10" t="inlineStr">
        <is>
          <t>VIVEK B</t>
        </is>
      </c>
    </row>
    <row r="287">
      <c r="A287" s="10" t="inlineStr">
        <is>
          <t>TN57BQ3636</t>
        </is>
      </c>
      <c r="B287" s="10" t="inlineStr">
        <is>
          <t>SOCKS</t>
        </is>
      </c>
      <c r="C287" s="10" t="inlineStr">
        <is>
          <t>ROAD TAX</t>
        </is>
      </c>
      <c r="D287" s="10" t="inlineStr">
        <is>
          <t>ROAD TAX</t>
        </is>
      </c>
      <c r="E287" s="10" t="inlineStr">
        <is>
          <t>QUARTER - I</t>
        </is>
      </c>
      <c r="F287" s="11" t="n">
        <v>45748</v>
      </c>
      <c r="G287" s="11" t="n">
        <v>45838</v>
      </c>
      <c r="H287" s="12">
        <f>IF(OR($F287="",$G287=""),"",$G287-$F287+1)</f>
        <v/>
      </c>
      <c r="I287" s="10">
        <f>IF($F287="","",IF(MONTH($F287)&gt;=4,YEAR($F287)&amp;"-"&amp;TEXT(YEAR($F287)+1-2000,"00"),YEAR($F287)-1&amp;"-"&amp;TEXT(YEAR($F287)-2000,"00")))</f>
        <v/>
      </c>
      <c r="J287" s="13" t="n">
        <v>21816</v>
      </c>
      <c r="K287" s="14">
        <f>IFERROR($L287/$J287,"")</f>
        <v/>
      </c>
      <c r="L287" s="13" t="n">
        <v>21816</v>
      </c>
      <c r="M287" s="13">
        <f>IFERROR($L287/$H287,"")</f>
        <v/>
      </c>
      <c r="N287" s="11" t="n">
        <v>46030</v>
      </c>
      <c r="O287" s="10">
        <f>IF($N287="","No","Yes")</f>
        <v/>
      </c>
      <c r="P287" s="12">
        <f>IF(OR($F287="",$G287=""),0,IF(AND($F287&lt;=README!$B$4,README!$B$4&lt;=$G287),1,0))</f>
        <v/>
      </c>
      <c r="Q287" s="12">
        <f>IF(OR($F287="",$G287=""),0,IF(AND($F287&lt;=DATE(README!$B$5,12,31),$G287&gt;=DATE(README!$B$5,1,1)),1,0))</f>
        <v/>
      </c>
      <c r="R287" s="10" t="inlineStr">
        <is>
          <t>GUP-VEH0014</t>
        </is>
      </c>
      <c r="S287" s="11" t="n">
        <v>45748</v>
      </c>
      <c r="T287" s="10" t="inlineStr">
        <is>
          <t>609</t>
        </is>
      </c>
      <c r="U287" s="10" t="inlineStr">
        <is>
          <t>VEHICLE</t>
        </is>
      </c>
      <c r="V287" s="10" t="inlineStr">
        <is>
          <t>T</t>
        </is>
      </c>
      <c r="W287" s="10" t="inlineStr">
        <is>
          <t>VIVEK B</t>
        </is>
      </c>
    </row>
    <row r="288">
      <c r="A288" s="10" t="inlineStr">
        <is>
          <t>TN57BQ3636</t>
        </is>
      </c>
      <c r="B288" s="10" t="inlineStr">
        <is>
          <t>SOCKS</t>
        </is>
      </c>
      <c r="C288" s="10" t="inlineStr">
        <is>
          <t>ROAD TAX</t>
        </is>
      </c>
      <c r="D288" s="10" t="inlineStr">
        <is>
          <t>ROAD TAX</t>
        </is>
      </c>
      <c r="E288" s="10" t="inlineStr">
        <is>
          <t>QUARTER - II</t>
        </is>
      </c>
      <c r="F288" s="11" t="n">
        <v>45839</v>
      </c>
      <c r="G288" s="11" t="n">
        <v>45930</v>
      </c>
      <c r="H288" s="12">
        <f>IF(OR($F288="",$G288=""),"",$G288-$F288+1)</f>
        <v/>
      </c>
      <c r="I288" s="10">
        <f>IF($F288="","",IF(MONTH($F288)&gt;=4,YEAR($F288)&amp;"-"&amp;TEXT(YEAR($F288)+1-2000,"00"),YEAR($F288)-1&amp;"-"&amp;TEXT(YEAR($F288)-2000,"00")))</f>
        <v/>
      </c>
      <c r="J288" s="13" t="n">
        <v>21816</v>
      </c>
      <c r="K288" s="14">
        <f>IFERROR($L288/$J288,"")</f>
        <v/>
      </c>
      <c r="L288" s="13" t="n">
        <v>21816</v>
      </c>
      <c r="M288" s="13">
        <f>IFERROR($L288/$H288,"")</f>
        <v/>
      </c>
      <c r="N288" s="11" t="n">
        <v>46030</v>
      </c>
      <c r="O288" s="10">
        <f>IF($N288="","No","Yes")</f>
        <v/>
      </c>
      <c r="P288" s="12">
        <f>IF(OR($F288="",$G288=""),0,IF(AND($F288&lt;=README!$B$4,README!$B$4&lt;=$G288),1,0))</f>
        <v/>
      </c>
      <c r="Q288" s="12">
        <f>IF(OR($F288="",$G288=""),0,IF(AND($F288&lt;=DATE(README!$B$5,12,31),$G288&gt;=DATE(README!$B$5,1,1)),1,0))</f>
        <v/>
      </c>
      <c r="R288" s="10" t="inlineStr">
        <is>
          <t>GUP-VEH0014</t>
        </is>
      </c>
      <c r="S288" s="11" t="n">
        <v>45748</v>
      </c>
      <c r="T288" s="10" t="inlineStr">
        <is>
          <t>609</t>
        </is>
      </c>
      <c r="U288" s="10" t="inlineStr">
        <is>
          <t>VEHICLE</t>
        </is>
      </c>
      <c r="V288" s="10" t="inlineStr">
        <is>
          <t>T</t>
        </is>
      </c>
      <c r="W288" s="10" t="inlineStr">
        <is>
          <t>VIVEK B</t>
        </is>
      </c>
    </row>
    <row r="289">
      <c r="A289" s="10" t="inlineStr">
        <is>
          <t>TN57BQ3636</t>
        </is>
      </c>
      <c r="B289" s="10" t="inlineStr">
        <is>
          <t>SOCKS</t>
        </is>
      </c>
      <c r="C289" s="10" t="inlineStr">
        <is>
          <t>ROAD TAX</t>
        </is>
      </c>
      <c r="D289" s="10" t="inlineStr">
        <is>
          <t>ROAD TAX</t>
        </is>
      </c>
      <c r="E289" s="10" t="inlineStr">
        <is>
          <t>QUARTER - III</t>
        </is>
      </c>
      <c r="F289" s="11" t="n">
        <v>45931</v>
      </c>
      <c r="G289" s="11" t="n">
        <v>46022</v>
      </c>
      <c r="H289" s="12">
        <f>IF(OR($F289="",$G289=""),"",$G289-$F289+1)</f>
        <v/>
      </c>
      <c r="I289" s="10">
        <f>IF($F289="","",IF(MONTH($F289)&gt;=4,YEAR($F289)&amp;"-"&amp;TEXT(YEAR($F289)+1-2000,"00"),YEAR($F289)-1&amp;"-"&amp;TEXT(YEAR($F289)-2000,"00")))</f>
        <v/>
      </c>
      <c r="J289" s="13" t="n">
        <v>21826</v>
      </c>
      <c r="K289" s="14">
        <f>IFERROR($L289/$J289,"")</f>
        <v/>
      </c>
      <c r="L289" s="13" t="n">
        <v>21826</v>
      </c>
      <c r="M289" s="13">
        <f>IFERROR($L289/$H289,"")</f>
        <v/>
      </c>
      <c r="N289" s="11" t="n">
        <v>46030</v>
      </c>
      <c r="O289" s="10">
        <f>IF($N289="","No","Yes")</f>
        <v/>
      </c>
      <c r="P289" s="12">
        <f>IF(OR($F289="",$G289=""),0,IF(AND($F289&lt;=README!$B$4,README!$B$4&lt;=$G289),1,0))</f>
        <v/>
      </c>
      <c r="Q289" s="12">
        <f>IF(OR($F289="",$G289=""),0,IF(AND($F289&lt;=DATE(README!$B$5,12,31),$G289&gt;=DATE(README!$B$5,1,1)),1,0))</f>
        <v/>
      </c>
      <c r="R289" s="10" t="inlineStr">
        <is>
          <t>GUP-VEH0014</t>
        </is>
      </c>
      <c r="S289" s="11" t="n">
        <v>45748</v>
      </c>
      <c r="T289" s="10" t="inlineStr">
        <is>
          <t>609</t>
        </is>
      </c>
      <c r="U289" s="10" t="inlineStr">
        <is>
          <t>VEHICLE</t>
        </is>
      </c>
      <c r="V289" s="10" t="inlineStr">
        <is>
          <t>T</t>
        </is>
      </c>
      <c r="W289" s="10" t="inlineStr">
        <is>
          <t>VIVEK B</t>
        </is>
      </c>
    </row>
    <row r="290">
      <c r="A290" s="10" t="inlineStr">
        <is>
          <t>TN57BQ3636</t>
        </is>
      </c>
      <c r="B290" s="10" t="inlineStr">
        <is>
          <t>SOCKS</t>
        </is>
      </c>
      <c r="C290" s="10" t="inlineStr">
        <is>
          <t>ROAD TAX</t>
        </is>
      </c>
      <c r="D290" s="10" t="inlineStr">
        <is>
          <t>ROAD TAX</t>
        </is>
      </c>
      <c r="E290" s="10" t="inlineStr">
        <is>
          <t>QUARTER - IV</t>
        </is>
      </c>
      <c r="F290" s="11" t="n">
        <v>46023</v>
      </c>
      <c r="G290" s="11" t="n">
        <v>46112</v>
      </c>
      <c r="H290" s="12">
        <f>IF(OR($F290="",$G290=""),"",$G290-$F290+1)</f>
        <v/>
      </c>
      <c r="I290" s="10">
        <f>IF($F290="","",IF(MONTH($F290)&gt;=4,YEAR($F290)&amp;"-"&amp;TEXT(YEAR($F290)+1-2000,"00"),YEAR($F290)-1&amp;"-"&amp;TEXT(YEAR($F290)-2000,"00")))</f>
        <v/>
      </c>
      <c r="J290" s="13" t="n">
        <v>21826</v>
      </c>
      <c r="K290" s="14">
        <f>IFERROR($L290/$J290,"")</f>
        <v/>
      </c>
      <c r="L290" s="13" t="n">
        <v>21826</v>
      </c>
      <c r="M290" s="13">
        <f>IFERROR($L290/$H290,"")</f>
        <v/>
      </c>
      <c r="N290" s="11" t="n">
        <v>46030</v>
      </c>
      <c r="O290" s="10">
        <f>IF($N290="","No","Yes")</f>
        <v/>
      </c>
      <c r="P290" s="12">
        <f>IF(OR($F290="",$G290=""),0,IF(AND($F290&lt;=README!$B$4,README!$B$4&lt;=$G290),1,0))</f>
        <v/>
      </c>
      <c r="Q290" s="12">
        <f>IF(OR($F290="",$G290=""),0,IF(AND($F290&lt;=DATE(README!$B$5,12,31),$G290&gt;=DATE(README!$B$5,1,1)),1,0))</f>
        <v/>
      </c>
      <c r="R290" s="10" t="inlineStr">
        <is>
          <t>GUP-VEH0014</t>
        </is>
      </c>
      <c r="S290" s="11" t="n">
        <v>45748</v>
      </c>
      <c r="T290" s="10" t="inlineStr">
        <is>
          <t>609</t>
        </is>
      </c>
      <c r="U290" s="10" t="inlineStr">
        <is>
          <t>VEHICLE</t>
        </is>
      </c>
      <c r="V290" s="10" t="inlineStr">
        <is>
          <t>T</t>
        </is>
      </c>
      <c r="W290" s="10" t="inlineStr">
        <is>
          <t>VIVEK B</t>
        </is>
      </c>
    </row>
    <row r="291">
      <c r="A291" s="10" t="inlineStr">
        <is>
          <t>TN57BQ3636</t>
        </is>
      </c>
      <c r="B291" s="10" t="inlineStr">
        <is>
          <t>SOCKS</t>
        </is>
      </c>
      <c r="C291" s="10" t="inlineStr">
        <is>
          <t>VEHICLE INSURANCE</t>
        </is>
      </c>
      <c r="D291" s="10" t="inlineStr">
        <is>
          <t>VEHICLE INSURANCE</t>
        </is>
      </c>
      <c r="E291" s="10" t="inlineStr">
        <is>
          <t>JANUARY</t>
        </is>
      </c>
      <c r="F291" s="11" t="n">
        <v>46023</v>
      </c>
      <c r="G291" s="11" t="n">
        <v>46053</v>
      </c>
      <c r="H291" s="12">
        <f>IF(OR($F291="",$G291=""),"",$G291-$F291+1)</f>
        <v/>
      </c>
      <c r="I291" s="10">
        <f>IF($F291="","",IF(MONTH($F291)&gt;=4,YEAR($F291)&amp;"-"&amp;TEXT(YEAR($F291)+1-2000,"00"),YEAR($F291)-1&amp;"-"&amp;TEXT(YEAR($F291)-2000,"00")))</f>
        <v/>
      </c>
      <c r="J291" s="13" t="n">
        <v>58159</v>
      </c>
      <c r="K291" s="14">
        <f>IFERROR($L291/$J291,"")</f>
        <v/>
      </c>
      <c r="L291" s="13" t="n">
        <v>58159</v>
      </c>
      <c r="M291" s="13">
        <f>IFERROR($L291/$H291,"")</f>
        <v/>
      </c>
      <c r="N291" s="11" t="n">
        <v>46056</v>
      </c>
      <c r="O291" s="10">
        <f>IF($N291="","No","Yes")</f>
        <v/>
      </c>
      <c r="P291" s="12">
        <f>IF(OR($F291="",$G291=""),0,IF(AND($F291&lt;=README!$B$4,README!$B$4&lt;=$G291),1,0))</f>
        <v/>
      </c>
      <c r="Q291" s="12">
        <f>IF(OR($F291="",$G291=""),0,IF(AND($F291&lt;=DATE(README!$B$5,12,31),$G291&gt;=DATE(README!$B$5,1,1)),1,0))</f>
        <v/>
      </c>
      <c r="R291" s="10" t="inlineStr">
        <is>
          <t>GUP-VEH0020</t>
        </is>
      </c>
      <c r="S291" s="11" t="n">
        <v>45799</v>
      </c>
      <c r="T291" s="10" t="inlineStr">
        <is>
          <t>645</t>
        </is>
      </c>
      <c r="U291" s="10" t="inlineStr">
        <is>
          <t>VEHICLE</t>
        </is>
      </c>
      <c r="V291" s="10" t="inlineStr">
        <is>
          <t>T</t>
        </is>
      </c>
      <c r="W291" s="10" t="inlineStr">
        <is>
          <t>VIVEK B</t>
        </is>
      </c>
    </row>
    <row r="292">
      <c r="A292" s="10" t="inlineStr">
        <is>
          <t>TN57BQ3636</t>
        </is>
      </c>
      <c r="B292" s="10" t="inlineStr">
        <is>
          <t>GENERAL</t>
        </is>
      </c>
      <c r="C292" s="10" t="inlineStr">
        <is>
          <t>VEHICLE OUTSIDE SERVICES</t>
        </is>
      </c>
      <c r="D292" s="10" t="inlineStr">
        <is>
          <t xml:space="preserve">MAINTENANCE SERVICE </t>
        </is>
      </c>
      <c r="E292" s="10" t="inlineStr">
        <is>
          <t>JANUARY</t>
        </is>
      </c>
      <c r="F292" s="11" t="n">
        <v>46023</v>
      </c>
      <c r="G292" s="11" t="n">
        <v>46053</v>
      </c>
      <c r="H292" s="12">
        <f>IF(OR($F292="",$G292=""),"",$G292-$F292+1)</f>
        <v/>
      </c>
      <c r="I292" s="10">
        <f>IF($F292="","",IF(MONTH($F292)&gt;=4,YEAR($F292)&amp;"-"&amp;TEXT(YEAR($F292)+1-2000,"00"),YEAR($F292)-1&amp;"-"&amp;TEXT(YEAR($F292)-2000,"00")))</f>
        <v/>
      </c>
      <c r="J292" s="13" t="n">
        <v>4633</v>
      </c>
      <c r="K292" s="14">
        <f>IFERROR($L292/$J292,"")</f>
        <v/>
      </c>
      <c r="L292" s="13" t="n">
        <v>4633</v>
      </c>
      <c r="M292" s="13">
        <f>IFERROR($L292/$H292,"")</f>
        <v/>
      </c>
      <c r="N292" s="11" t="n">
        <v>46050</v>
      </c>
      <c r="O292" s="10">
        <f>IF($N292="","No","Yes")</f>
        <v/>
      </c>
      <c r="P292" s="12">
        <f>IF(OR($F292="",$G292=""),0,IF(AND($F292&lt;=README!$B$4,README!$B$4&lt;=$G292),1,0))</f>
        <v/>
      </c>
      <c r="Q292" s="12">
        <f>IF(OR($F292="",$G292=""),0,IF(AND($F292&lt;=DATE(README!$B$5,12,31),$G292&gt;=DATE(README!$B$5,1,1)),1,0))</f>
        <v/>
      </c>
      <c r="R292" s="10" t="inlineStr">
        <is>
          <t>GUP-VEH0019</t>
        </is>
      </c>
      <c r="S292" s="11" t="n">
        <v>45777</v>
      </c>
      <c r="T292" s="10" t="inlineStr">
        <is>
          <t>638</t>
        </is>
      </c>
      <c r="U292" s="10" t="inlineStr">
        <is>
          <t>VEHICLE</t>
        </is>
      </c>
      <c r="V292" s="10" t="inlineStr">
        <is>
          <t>T</t>
        </is>
      </c>
      <c r="W292" s="10" t="inlineStr">
        <is>
          <t>VIVEK B</t>
        </is>
      </c>
    </row>
    <row r="293">
      <c r="A293" s="10" t="inlineStr">
        <is>
          <t>TN57BQ3636</t>
        </is>
      </c>
      <c r="B293" s="10" t="inlineStr">
        <is>
          <t>SOCKS</t>
        </is>
      </c>
      <c r="C293" s="10" t="inlineStr">
        <is>
          <t>TYRE</t>
        </is>
      </c>
      <c r="D293" s="10" t="inlineStr">
        <is>
          <t>TYRE</t>
        </is>
      </c>
      <c r="E293" s="10" t="inlineStr">
        <is>
          <t>FEBRUARY</t>
        </is>
      </c>
      <c r="F293" s="11" t="n">
        <v>46054</v>
      </c>
      <c r="G293" s="11" t="n">
        <v>46081</v>
      </c>
      <c r="H293" s="12">
        <f>IF(OR($F293="",$G293=""),"",$G293-$F293+1)</f>
        <v/>
      </c>
      <c r="I293" s="10">
        <f>IF($F293="","",IF(MONTH($F293)&gt;=4,YEAR($F293)&amp;"-"&amp;TEXT(YEAR($F293)+1-2000,"00"),YEAR($F293)-1&amp;"-"&amp;TEXT(YEAR($F293)-2000,"00")))</f>
        <v/>
      </c>
      <c r="J293" s="13" t="n">
        <v>19200</v>
      </c>
      <c r="K293" s="14">
        <f>IFERROR($L293/$J293,"")</f>
        <v/>
      </c>
      <c r="L293" s="13" t="n">
        <v>19200</v>
      </c>
      <c r="M293" s="13">
        <f>IFERROR($L293/$H293,"")</f>
        <v/>
      </c>
      <c r="N293" s="11" t="n">
        <v>46072</v>
      </c>
      <c r="O293" s="10">
        <f>IF($N293="","No","Yes")</f>
        <v/>
      </c>
      <c r="P293" s="12">
        <f>IF(OR($F293="",$G293=""),0,IF(AND($F293&lt;=README!$B$4,README!$B$4&lt;=$G293),1,0))</f>
        <v/>
      </c>
      <c r="Q293" s="12">
        <f>IF(OR($F293="",$G293=""),0,IF(AND($F293&lt;=DATE(README!$B$5,12,31),$G293&gt;=DATE(README!$B$5,1,1)),1,0))</f>
        <v/>
      </c>
      <c r="R293" s="10" t="inlineStr">
        <is>
          <t>GUP-VEH0025</t>
        </is>
      </c>
      <c r="S293" s="11" t="n">
        <v>45957</v>
      </c>
      <c r="T293" s="10" t="inlineStr">
        <is>
          <t>726</t>
        </is>
      </c>
      <c r="U293" s="10" t="inlineStr">
        <is>
          <t>VEHICLE</t>
        </is>
      </c>
      <c r="V293" s="10" t="inlineStr">
        <is>
          <t>T</t>
        </is>
      </c>
      <c r="W293" s="10" t="inlineStr">
        <is>
          <t>VIVEK B</t>
        </is>
      </c>
    </row>
    <row r="294">
      <c r="A294" s="10" t="inlineStr">
        <is>
          <t>TN57BQ3636</t>
        </is>
      </c>
      <c r="B294" s="10" t="inlineStr">
        <is>
          <t>SOCKS</t>
        </is>
      </c>
      <c r="C294" s="10" t="inlineStr">
        <is>
          <t>FC WORK</t>
        </is>
      </c>
      <c r="D294" s="10" t="inlineStr">
        <is>
          <t>FC WORK</t>
        </is>
      </c>
      <c r="E294" s="10" t="inlineStr">
        <is>
          <t>YEARLY</t>
        </is>
      </c>
      <c r="F294" s="11" t="n">
        <v>46113</v>
      </c>
      <c r="G294" s="11" t="n">
        <v>46477</v>
      </c>
      <c r="H294" s="12">
        <f>IF(OR($F294="",$G294=""),"",$G294-$F294+1)</f>
        <v/>
      </c>
      <c r="I294" s="10">
        <f>IF($F294="","",IF(MONTH($F294)&gt;=4,YEAR($F294)&amp;"-"&amp;TEXT(YEAR($F294)+1-2000,"00"),YEAR($F294)-1&amp;"-"&amp;TEXT(YEAR($F294)-2000,"00")))</f>
        <v/>
      </c>
      <c r="J294" s="13" t="n">
        <v>121150</v>
      </c>
      <c r="K294" s="14">
        <f>IFERROR($L294/$J294,"")</f>
        <v/>
      </c>
      <c r="L294" s="13" t="n">
        <v>121150</v>
      </c>
      <c r="M294" s="13">
        <f>IFERROR($L294/$H294,"")</f>
        <v/>
      </c>
      <c r="N294" s="11" t="n">
        <v>46186</v>
      </c>
      <c r="O294" s="10">
        <f>IF($N294="","No","Yes")</f>
        <v/>
      </c>
      <c r="P294" s="12">
        <f>IF(OR($F294="",$G294=""),0,IF(AND($F294&lt;=README!$B$4,README!$B$4&lt;=$G294),1,0))</f>
        <v/>
      </c>
      <c r="Q294" s="12">
        <f>IF(OR($F294="",$G294=""),0,IF(AND($F294&lt;=DATE(README!$B$5,12,31),$G294&gt;=DATE(README!$B$5,1,1)),1,0))</f>
        <v/>
      </c>
      <c r="R294" s="10" t="inlineStr">
        <is>
          <t>GUP-VEH0032</t>
        </is>
      </c>
      <c r="S294" s="11" t="n">
        <v>46118</v>
      </c>
      <c r="T294" s="10" t="inlineStr">
        <is>
          <t>813</t>
        </is>
      </c>
      <c r="U294" s="10" t="inlineStr">
        <is>
          <t>VEHICLE</t>
        </is>
      </c>
      <c r="V294" s="10" t="inlineStr">
        <is>
          <t>T</t>
        </is>
      </c>
      <c r="W294" s="10" t="inlineStr">
        <is>
          <t>VIVEK B</t>
        </is>
      </c>
    </row>
    <row r="295">
      <c r="A295" s="10" t="inlineStr">
        <is>
          <t>TN57BQ3636</t>
        </is>
      </c>
      <c r="B295" s="10" t="inlineStr">
        <is>
          <t>SOCKS</t>
        </is>
      </c>
      <c r="C295" s="10" t="inlineStr">
        <is>
          <t>ROAD TAX</t>
        </is>
      </c>
      <c r="D295" s="10" t="inlineStr">
        <is>
          <t>ROAD TAX</t>
        </is>
      </c>
      <c r="E295" s="10" t="inlineStr">
        <is>
          <t>QUARTER - I</t>
        </is>
      </c>
      <c r="F295" s="11" t="n">
        <v>46113</v>
      </c>
      <c r="G295" s="11" t="n">
        <v>46203</v>
      </c>
      <c r="H295" s="12">
        <f>IF(OR($F295="",$G295=""),"",$G295-$F295+1)</f>
        <v/>
      </c>
      <c r="I295" s="10">
        <f>IF($F295="","",IF(MONTH($F295)&gt;=4,YEAR($F295)&amp;"-"&amp;TEXT(YEAR($F295)+1-2000,"00"),YEAR($F295)-1&amp;"-"&amp;TEXT(YEAR($F295)-2000,"00")))</f>
        <v/>
      </c>
      <c r="J295" s="13" t="n">
        <v>21826</v>
      </c>
      <c r="K295" s="14">
        <f>IFERROR($L295/$J295,"")</f>
        <v/>
      </c>
      <c r="L295" s="13" t="n">
        <v>21826</v>
      </c>
      <c r="M295" s="13">
        <f>IFERROR($L295/$H295,"")</f>
        <v/>
      </c>
      <c r="N295" s="11" t="n">
        <v>46088</v>
      </c>
      <c r="O295" s="10">
        <f>IF($N295="","No","Yes")</f>
        <v/>
      </c>
      <c r="P295" s="12">
        <f>IF(OR($F295="",$G295=""),0,IF(AND($F295&lt;=README!$B$4,README!$B$4&lt;=$G295),1,0))</f>
        <v/>
      </c>
      <c r="Q295" s="12">
        <f>IF(OR($F295="",$G295=""),0,IF(AND($F295&lt;=DATE(README!$B$5,12,31),$G295&gt;=DATE(README!$B$5,1,1)),1,0))</f>
        <v/>
      </c>
      <c r="R295" s="10" t="inlineStr">
        <is>
          <t>GUP-VEH0030</t>
        </is>
      </c>
      <c r="S295" s="11" t="n">
        <v>46113</v>
      </c>
      <c r="T295" s="10" t="inlineStr">
        <is>
          <t>796</t>
        </is>
      </c>
      <c r="U295" s="10" t="inlineStr">
        <is>
          <t>VEHICLE</t>
        </is>
      </c>
      <c r="V295" s="10" t="inlineStr">
        <is>
          <t>T</t>
        </is>
      </c>
      <c r="W295" s="10" t="inlineStr">
        <is>
          <t>VIVEK B</t>
        </is>
      </c>
    </row>
    <row r="296">
      <c r="A296" s="10" t="inlineStr">
        <is>
          <t>TN57BQ3636</t>
        </is>
      </c>
      <c r="B296" s="10" t="inlineStr">
        <is>
          <t>SOCKS</t>
        </is>
      </c>
      <c r="C296" s="10" t="inlineStr">
        <is>
          <t>RTO EXPENSE</t>
        </is>
      </c>
      <c r="D296" s="10" t="inlineStr">
        <is>
          <t>RTO EXPENSES - FC</t>
        </is>
      </c>
      <c r="E296" s="10" t="inlineStr">
        <is>
          <t>YEARLY</t>
        </is>
      </c>
      <c r="F296" s="11" t="n">
        <v>46113</v>
      </c>
      <c r="G296" s="11" t="n">
        <v>46477</v>
      </c>
      <c r="H296" s="12">
        <f>IF(OR($F296="",$G296=""),"",$G296-$F296+1)</f>
        <v/>
      </c>
      <c r="I296" s="10">
        <f>IF($F296="","",IF(MONTH($F296)&gt;=4,YEAR($F296)&amp;"-"&amp;TEXT(YEAR($F296)+1-2000,"00"),YEAR($F296)-1&amp;"-"&amp;TEXT(YEAR($F296)-2000,"00")))</f>
        <v/>
      </c>
      <c r="J296" s="13" t="n">
        <v>7500</v>
      </c>
      <c r="K296" s="14">
        <f>IFERROR($L296/$J296,"")</f>
        <v/>
      </c>
      <c r="L296" s="13" t="n">
        <v>7500</v>
      </c>
      <c r="M296" s="13">
        <f>IFERROR($L296/$H296,"")</f>
        <v/>
      </c>
      <c r="N296" s="11" t="n">
        <v>46121</v>
      </c>
      <c r="O296" s="10">
        <f>IF($N296="","No","Yes")</f>
        <v/>
      </c>
      <c r="P296" s="12">
        <f>IF(OR($F296="",$G296=""),0,IF(AND($F296&lt;=README!$B$4,README!$B$4&lt;=$G296),1,0))</f>
        <v/>
      </c>
      <c r="Q296" s="12">
        <f>IF(OR($F296="",$G296=""),0,IF(AND($F296&lt;=DATE(README!$B$5,12,31),$G296&gt;=DATE(README!$B$5,1,1)),1,0))</f>
        <v/>
      </c>
      <c r="R296" s="10" t="inlineStr">
        <is>
          <t>GUP-VEH0033</t>
        </is>
      </c>
      <c r="S296" s="11" t="n">
        <v>46118</v>
      </c>
      <c r="T296" s="10" t="inlineStr">
        <is>
          <t>814</t>
        </is>
      </c>
      <c r="U296" s="10" t="inlineStr">
        <is>
          <t>VEHICLE</t>
        </is>
      </c>
      <c r="V296" s="10" t="inlineStr">
        <is>
          <t>T</t>
        </is>
      </c>
      <c r="W296" s="10" t="inlineStr">
        <is>
          <t>VIVEK B</t>
        </is>
      </c>
    </row>
    <row r="297">
      <c r="A297" s="10" t="inlineStr">
        <is>
          <t>TN57BQ3636</t>
        </is>
      </c>
      <c r="B297" s="10" t="inlineStr">
        <is>
          <t>SOCKS</t>
        </is>
      </c>
      <c r="C297" s="10" t="inlineStr">
        <is>
          <t>VEHICLE OUTSIDE SERVICES</t>
        </is>
      </c>
      <c r="D297" s="10" t="inlineStr">
        <is>
          <t xml:space="preserve">MAINTENANCE SERVICE </t>
        </is>
      </c>
      <c r="E297" s="10" t="inlineStr">
        <is>
          <t>MAY</t>
        </is>
      </c>
      <c r="F297" s="11" t="n">
        <v>46143</v>
      </c>
      <c r="G297" s="11" t="n">
        <v>46173</v>
      </c>
      <c r="H297" s="12">
        <f>IF(OR($F297="",$G297=""),"",$G297-$F297+1)</f>
        <v/>
      </c>
      <c r="I297" s="10">
        <f>IF($F297="","",IF(MONTH($F297)&gt;=4,YEAR($F297)&amp;"-"&amp;TEXT(YEAR($F297)+1-2000,"00"),YEAR($F297)-1&amp;"-"&amp;TEXT(YEAR($F297)-2000,"00")))</f>
        <v/>
      </c>
      <c r="J297" s="13" t="n">
        <v>49187</v>
      </c>
      <c r="K297" s="14">
        <f>IFERROR($L297/$J297,"")</f>
        <v/>
      </c>
      <c r="L297" s="13" t="n">
        <v>49187</v>
      </c>
      <c r="M297" s="13">
        <f>IFERROR($L297/$H297,"")</f>
        <v/>
      </c>
      <c r="N297" s="11" t="n">
        <v>46150</v>
      </c>
      <c r="O297" s="10">
        <f>IF($N297="","No","Yes")</f>
        <v/>
      </c>
      <c r="P297" s="12">
        <f>IF(OR($F297="",$G297=""),0,IF(AND($F297&lt;=README!$B$4,README!$B$4&lt;=$G297),1,0))</f>
        <v/>
      </c>
      <c r="Q297" s="12">
        <f>IF(OR($F297="",$G297=""),0,IF(AND($F297&lt;=DATE(README!$B$5,12,31),$G297&gt;=DATE(README!$B$5,1,1)),1,0))</f>
        <v/>
      </c>
      <c r="R297" s="10" t="inlineStr">
        <is>
          <t>GUP-VEH0031</t>
        </is>
      </c>
      <c r="S297" s="11" t="n">
        <v>46114</v>
      </c>
      <c r="T297" s="10" t="inlineStr">
        <is>
          <t>810</t>
        </is>
      </c>
      <c r="U297" s="10" t="inlineStr">
        <is>
          <t>VEHICLE</t>
        </is>
      </c>
      <c r="V297" s="10" t="inlineStr">
        <is>
          <t>T</t>
        </is>
      </c>
      <c r="W297" s="10" t="inlineStr">
        <is>
          <t>VIVEK B</t>
        </is>
      </c>
    </row>
    <row r="298">
      <c r="A298" s="10" t="inlineStr">
        <is>
          <t>TN57BQ3636</t>
        </is>
      </c>
      <c r="B298" s="10" t="inlineStr">
        <is>
          <t>SOCKS</t>
        </is>
      </c>
      <c r="C298" s="10" t="inlineStr">
        <is>
          <t>ROAD TAX</t>
        </is>
      </c>
      <c r="D298" s="10" t="inlineStr">
        <is>
          <t>ROAD TAX</t>
        </is>
      </c>
      <c r="E298" s="10" t="inlineStr">
        <is>
          <t>QUARTER - II</t>
        </is>
      </c>
      <c r="F298" s="11" t="n">
        <v>46204</v>
      </c>
      <c r="G298" s="11" t="n">
        <v>46295</v>
      </c>
      <c r="H298" s="12">
        <f>IF(OR($F298="",$G298=""),"",$G298-$F298+1)</f>
        <v/>
      </c>
      <c r="I298" s="10">
        <f>IF($F298="","",IF(MONTH($F298)&gt;=4,YEAR($F298)&amp;"-"&amp;TEXT(YEAR($F298)+1-2000,"00"),YEAR($F298)-1&amp;"-"&amp;TEXT(YEAR($F298)-2000,"00")))</f>
        <v/>
      </c>
      <c r="J298" s="13" t="n">
        <v>21826</v>
      </c>
      <c r="K298" s="14">
        <f>IFERROR($L298/$J298,"")</f>
        <v/>
      </c>
      <c r="L298" s="13" t="n">
        <v>21826</v>
      </c>
      <c r="M298" s="13">
        <f>IFERROR($L298/$H298,"")</f>
        <v/>
      </c>
      <c r="N298" s="11" t="n">
        <v>46196</v>
      </c>
      <c r="O298" s="10">
        <f>IF($N298="","No","Yes")</f>
        <v/>
      </c>
      <c r="P298" s="12">
        <f>IF(OR($F298="",$G298=""),0,IF(AND($F298&lt;=README!$B$4,README!$B$4&lt;=$G298),1,0))</f>
        <v/>
      </c>
      <c r="Q298" s="12">
        <f>IF(OR($F298="",$G298=""),0,IF(AND($F298&lt;=DATE(README!$B$5,12,31),$G298&gt;=DATE(README!$B$5,1,1)),1,0))</f>
        <v/>
      </c>
      <c r="R298" s="10" t="inlineStr">
        <is>
          <t>GUP-VEH0030</t>
        </is>
      </c>
      <c r="S298" s="11" t="n">
        <v>46113</v>
      </c>
      <c r="T298" s="10" t="inlineStr">
        <is>
          <t>796</t>
        </is>
      </c>
      <c r="U298" s="10" t="inlineStr">
        <is>
          <t>VEHICLE</t>
        </is>
      </c>
      <c r="V298" s="10" t="inlineStr">
        <is>
          <t>T</t>
        </is>
      </c>
      <c r="W298" s="10" t="inlineStr">
        <is>
          <t>VIVEK B</t>
        </is>
      </c>
    </row>
    <row r="299">
      <c r="A299" s="10" t="inlineStr">
        <is>
          <t>TN57BR3434</t>
        </is>
      </c>
      <c r="B299" s="10" t="inlineStr">
        <is>
          <t>SOCKS</t>
        </is>
      </c>
      <c r="C299" s="10" t="inlineStr">
        <is>
          <t>ADBLU</t>
        </is>
      </c>
      <c r="D299" s="10" t="inlineStr">
        <is>
          <t>ADBLU</t>
        </is>
      </c>
      <c r="E299" s="10" t="inlineStr">
        <is>
          <t>YEARLY</t>
        </is>
      </c>
      <c r="F299" s="11" t="n">
        <v>45383</v>
      </c>
      <c r="G299" s="11" t="n">
        <v>45747</v>
      </c>
      <c r="H299" s="12">
        <f>IF(OR($F299="",$G299=""),"",$G299-$F299+1)</f>
        <v/>
      </c>
      <c r="I299" s="10">
        <f>IF($F299="","",IF(MONTH($F299)&gt;=4,YEAR($F299)&amp;"-"&amp;TEXT(YEAR($F299)+1-2000,"00"),YEAR($F299)-1&amp;"-"&amp;TEXT(YEAR($F299)-2000,"00")))</f>
        <v/>
      </c>
      <c r="J299" s="13" t="n">
        <v>61</v>
      </c>
      <c r="K299" s="14">
        <f>IFERROR($L299/$J299,"")</f>
        <v/>
      </c>
      <c r="L299" s="13" t="n">
        <v>2745</v>
      </c>
      <c r="M299" s="13">
        <f>IFERROR($L299/$H299,"")</f>
        <v/>
      </c>
      <c r="N299" s="11" t="n">
        <v>45479</v>
      </c>
      <c r="O299" s="10">
        <f>IF($N299="","No","Yes")</f>
        <v/>
      </c>
      <c r="P299" s="12">
        <f>IF(OR($F299="",$G299=""),0,IF(AND($F299&lt;=README!$B$4,README!$B$4&lt;=$G299),1,0))</f>
        <v/>
      </c>
      <c r="Q299" s="12">
        <f>IF(OR($F299="",$G299=""),0,IF(AND($F299&lt;=DATE(README!$B$5,12,31),$G299&gt;=DATE(README!$B$5,1,1)),1,0))</f>
        <v/>
      </c>
      <c r="R299" s="10" t="inlineStr">
        <is>
          <t>GUP-VEH0008</t>
        </is>
      </c>
      <c r="S299" s="11" t="n">
        <v>45461</v>
      </c>
      <c r="T299" s="10" t="inlineStr">
        <is>
          <t>541</t>
        </is>
      </c>
      <c r="U299" s="10" t="inlineStr">
        <is>
          <t>VEHICLE</t>
        </is>
      </c>
      <c r="V299" s="10" t="inlineStr">
        <is>
          <t>T</t>
        </is>
      </c>
      <c r="W299" s="10" t="inlineStr">
        <is>
          <t>VIVEK B</t>
        </is>
      </c>
    </row>
    <row r="300">
      <c r="A300" s="10" t="inlineStr">
        <is>
          <t>TN57BR3434</t>
        </is>
      </c>
      <c r="B300" s="10" t="inlineStr">
        <is>
          <t>SOCKS</t>
        </is>
      </c>
      <c r="C300" s="10" t="inlineStr">
        <is>
          <t>ADBLU</t>
        </is>
      </c>
      <c r="D300" s="10" t="inlineStr">
        <is>
          <t>ADBLU</t>
        </is>
      </c>
      <c r="E300" s="10" t="inlineStr">
        <is>
          <t>YEARLY</t>
        </is>
      </c>
      <c r="F300" s="11" t="n">
        <v>45383</v>
      </c>
      <c r="G300" s="11" t="n">
        <v>45747</v>
      </c>
      <c r="H300" s="12">
        <f>IF(OR($F300="",$G300=""),"",$G300-$F300+1)</f>
        <v/>
      </c>
      <c r="I300" s="10">
        <f>IF($F300="","",IF(MONTH($F300)&gt;=4,YEAR($F300)&amp;"-"&amp;TEXT(YEAR($F300)+1-2000,"00"),YEAR($F300)-1&amp;"-"&amp;TEXT(YEAR($F300)-2000,"00")))</f>
        <v/>
      </c>
      <c r="J300" s="13" t="n">
        <v>61</v>
      </c>
      <c r="K300" s="14">
        <f>IFERROR($L300/$J300,"")</f>
        <v/>
      </c>
      <c r="L300" s="13" t="n">
        <v>2928</v>
      </c>
      <c r="M300" s="13">
        <f>IFERROR($L300/$H300,"")</f>
        <v/>
      </c>
      <c r="N300" s="11" t="n">
        <v>45602</v>
      </c>
      <c r="O300" s="10">
        <f>IF($N300="","No","Yes")</f>
        <v/>
      </c>
      <c r="P300" s="12">
        <f>IF(OR($F300="",$G300=""),0,IF(AND($F300&lt;=README!$B$4,README!$B$4&lt;=$G300),1,0))</f>
        <v/>
      </c>
      <c r="Q300" s="12">
        <f>IF(OR($F300="",$G300=""),0,IF(AND($F300&lt;=DATE(README!$B$5,12,31),$G300&gt;=DATE(README!$B$5,1,1)),1,0))</f>
        <v/>
      </c>
      <c r="R300" s="10" t="inlineStr">
        <is>
          <t>GUP-VEH0008</t>
        </is>
      </c>
      <c r="S300" s="11" t="n">
        <v>45461</v>
      </c>
      <c r="T300" s="10" t="inlineStr">
        <is>
          <t>541</t>
        </is>
      </c>
      <c r="U300" s="10" t="inlineStr">
        <is>
          <t>VEHICLE</t>
        </is>
      </c>
      <c r="V300" s="10" t="inlineStr">
        <is>
          <t>T</t>
        </is>
      </c>
      <c r="W300" s="10" t="inlineStr">
        <is>
          <t>VIVEK B</t>
        </is>
      </c>
    </row>
    <row r="301">
      <c r="A301" s="10" t="inlineStr">
        <is>
          <t>TN57BR3434</t>
        </is>
      </c>
      <c r="B301" s="10" t="inlineStr">
        <is>
          <t>SOCKS</t>
        </is>
      </c>
      <c r="C301" s="10" t="inlineStr">
        <is>
          <t>ADBLU</t>
        </is>
      </c>
      <c r="D301" s="10" t="inlineStr">
        <is>
          <t>ADBLU</t>
        </is>
      </c>
      <c r="E301" s="10" t="inlineStr">
        <is>
          <t>YEARLY</t>
        </is>
      </c>
      <c r="F301" s="11" t="n">
        <v>45383</v>
      </c>
      <c r="G301" s="11" t="n">
        <v>45747</v>
      </c>
      <c r="H301" s="12">
        <f>IF(OR($F301="",$G301=""),"",$G301-$F301+1)</f>
        <v/>
      </c>
      <c r="I301" s="10">
        <f>IF($F301="","",IF(MONTH($F301)&gt;=4,YEAR($F301)&amp;"-"&amp;TEXT(YEAR($F301)+1-2000,"00"),YEAR($F301)-1&amp;"-"&amp;TEXT(YEAR($F301)-2000,"00")))</f>
        <v/>
      </c>
      <c r="J301" s="13" t="n">
        <v>61</v>
      </c>
      <c r="K301" s="14">
        <f>IFERROR($L301/$J301,"")</f>
        <v/>
      </c>
      <c r="L301" s="13" t="n">
        <v>2928</v>
      </c>
      <c r="M301" s="13">
        <f>IFERROR($L301/$H301,"")</f>
        <v/>
      </c>
      <c r="N301" s="11" t="n">
        <v>45623</v>
      </c>
      <c r="O301" s="10">
        <f>IF($N301="","No","Yes")</f>
        <v/>
      </c>
      <c r="P301" s="12">
        <f>IF(OR($F301="",$G301=""),0,IF(AND($F301&lt;=README!$B$4,README!$B$4&lt;=$G301),1,0))</f>
        <v/>
      </c>
      <c r="Q301" s="12">
        <f>IF(OR($F301="",$G301=""),0,IF(AND($F301&lt;=DATE(README!$B$5,12,31),$G301&gt;=DATE(README!$B$5,1,1)),1,0))</f>
        <v/>
      </c>
      <c r="R301" s="10" t="inlineStr">
        <is>
          <t>GUP-VEH0008</t>
        </is>
      </c>
      <c r="S301" s="11" t="n">
        <v>45461</v>
      </c>
      <c r="T301" s="10" t="inlineStr">
        <is>
          <t>541</t>
        </is>
      </c>
      <c r="U301" s="10" t="inlineStr">
        <is>
          <t>VEHICLE</t>
        </is>
      </c>
      <c r="V301" s="10" t="inlineStr">
        <is>
          <t>T</t>
        </is>
      </c>
      <c r="W301" s="10" t="inlineStr">
        <is>
          <t>VIVEK B</t>
        </is>
      </c>
    </row>
    <row r="302">
      <c r="A302" s="10" t="inlineStr">
        <is>
          <t>TN57BR3434</t>
        </is>
      </c>
      <c r="B302" s="10" t="inlineStr">
        <is>
          <t>SOCKS</t>
        </is>
      </c>
      <c r="C302" s="10" t="inlineStr">
        <is>
          <t>ADBLU</t>
        </is>
      </c>
      <c r="D302" s="10" t="inlineStr">
        <is>
          <t>ADBLU</t>
        </is>
      </c>
      <c r="E302" s="10" t="inlineStr">
        <is>
          <t>YEARLY</t>
        </is>
      </c>
      <c r="F302" s="11" t="n">
        <v>45383</v>
      </c>
      <c r="G302" s="11" t="n">
        <v>45747</v>
      </c>
      <c r="H302" s="12">
        <f>IF(OR($F302="",$G302=""),"",$G302-$F302+1)</f>
        <v/>
      </c>
      <c r="I302" s="10">
        <f>IF($F302="","",IF(MONTH($F302)&gt;=4,YEAR($F302)&amp;"-"&amp;TEXT(YEAR($F302)+1-2000,"00"),YEAR($F302)-1&amp;"-"&amp;TEXT(YEAR($F302)-2000,"00")))</f>
        <v/>
      </c>
      <c r="J302" s="13" t="n">
        <v>61</v>
      </c>
      <c r="K302" s="14">
        <f>IFERROR($L302/$J302,"")</f>
        <v/>
      </c>
      <c r="L302" s="13" t="n">
        <v>2928</v>
      </c>
      <c r="M302" s="13">
        <f>IFERROR($L302/$H302,"")</f>
        <v/>
      </c>
      <c r="N302" s="11" t="n">
        <v>45700</v>
      </c>
      <c r="O302" s="10">
        <f>IF($N302="","No","Yes")</f>
        <v/>
      </c>
      <c r="P302" s="12">
        <f>IF(OR($F302="",$G302=""),0,IF(AND($F302&lt;=README!$B$4,README!$B$4&lt;=$G302),1,0))</f>
        <v/>
      </c>
      <c r="Q302" s="12">
        <f>IF(OR($F302="",$G302=""),0,IF(AND($F302&lt;=DATE(README!$B$5,12,31),$G302&gt;=DATE(README!$B$5,1,1)),1,0))</f>
        <v/>
      </c>
      <c r="R302" s="10" t="inlineStr">
        <is>
          <t>GUP-VEH0008</t>
        </is>
      </c>
      <c r="S302" s="11" t="n">
        <v>45461</v>
      </c>
      <c r="T302" s="10" t="inlineStr">
        <is>
          <t>541</t>
        </is>
      </c>
      <c r="U302" s="10" t="inlineStr">
        <is>
          <t>VEHICLE</t>
        </is>
      </c>
      <c r="V302" s="10" t="inlineStr">
        <is>
          <t>T</t>
        </is>
      </c>
      <c r="W302" s="10" t="inlineStr">
        <is>
          <t>VIVEK B</t>
        </is>
      </c>
    </row>
    <row r="303">
      <c r="A303" s="10" t="inlineStr">
        <is>
          <t>TN57BR3434</t>
        </is>
      </c>
      <c r="B303" s="10" t="inlineStr">
        <is>
          <t>SOCKS</t>
        </is>
      </c>
      <c r="C303" s="10" t="inlineStr">
        <is>
          <t>ADBLU</t>
        </is>
      </c>
      <c r="D303" s="10" t="inlineStr">
        <is>
          <t>ADBLU</t>
        </is>
      </c>
      <c r="E303" s="10" t="inlineStr">
        <is>
          <t>YEARLY</t>
        </is>
      </c>
      <c r="F303" s="11" t="n">
        <v>45383</v>
      </c>
      <c r="G303" s="11" t="n">
        <v>45747</v>
      </c>
      <c r="H303" s="12">
        <f>IF(OR($F303="",$G303=""),"",$G303-$F303+1)</f>
        <v/>
      </c>
      <c r="I303" s="10">
        <f>IF($F303="","",IF(MONTH($F303)&gt;=4,YEAR($F303)&amp;"-"&amp;TEXT(YEAR($F303)+1-2000,"00"),YEAR($F303)-1&amp;"-"&amp;TEXT(YEAR($F303)-2000,"00")))</f>
        <v/>
      </c>
      <c r="J303" s="13" t="n">
        <v>61</v>
      </c>
      <c r="K303" s="14">
        <f>IFERROR($L303/$J303,"")</f>
        <v/>
      </c>
      <c r="L303" s="13" t="n">
        <v>2928</v>
      </c>
      <c r="M303" s="13">
        <f>IFERROR($L303/$H303,"")</f>
        <v/>
      </c>
      <c r="N303" s="11" t="n">
        <v>45700</v>
      </c>
      <c r="O303" s="10">
        <f>IF($N303="","No","Yes")</f>
        <v/>
      </c>
      <c r="P303" s="12">
        <f>IF(OR($F303="",$G303=""),0,IF(AND($F303&lt;=README!$B$4,README!$B$4&lt;=$G303),1,0))</f>
        <v/>
      </c>
      <c r="Q303" s="12">
        <f>IF(OR($F303="",$G303=""),0,IF(AND($F303&lt;=DATE(README!$B$5,12,31),$G303&gt;=DATE(README!$B$5,1,1)),1,0))</f>
        <v/>
      </c>
      <c r="R303" s="10" t="inlineStr">
        <is>
          <t>GUP-VEH0008</t>
        </is>
      </c>
      <c r="S303" s="11" t="n">
        <v>45461</v>
      </c>
      <c r="T303" s="10" t="inlineStr">
        <is>
          <t>541</t>
        </is>
      </c>
      <c r="U303" s="10" t="inlineStr">
        <is>
          <t>VEHICLE</t>
        </is>
      </c>
      <c r="V303" s="10" t="inlineStr">
        <is>
          <t>T</t>
        </is>
      </c>
      <c r="W303" s="10" t="inlineStr">
        <is>
          <t>VIVEK B</t>
        </is>
      </c>
    </row>
    <row r="304">
      <c r="A304" s="10" t="inlineStr">
        <is>
          <t>TN57BR3434</t>
        </is>
      </c>
      <c r="B304" s="10" t="inlineStr">
        <is>
          <t>SOCKS</t>
        </is>
      </c>
      <c r="C304" s="10" t="inlineStr">
        <is>
          <t>ROAD TAX</t>
        </is>
      </c>
      <c r="D304" s="10" t="inlineStr">
        <is>
          <t>ROAD TAX</t>
        </is>
      </c>
      <c r="E304" s="10" t="inlineStr">
        <is>
          <t>YEARLY</t>
        </is>
      </c>
      <c r="F304" s="11" t="n">
        <v>45383</v>
      </c>
      <c r="G304" s="11" t="n">
        <v>45747</v>
      </c>
      <c r="H304" s="12">
        <f>IF(OR($F304="",$G304=""),"",$G304-$F304+1)</f>
        <v/>
      </c>
      <c r="I304" s="10">
        <f>IF($F304="","",IF(MONTH($F304)&gt;=4,YEAR($F304)&amp;"-"&amp;TEXT(YEAR($F304)+1-2000,"00"),YEAR($F304)-1&amp;"-"&amp;TEXT(YEAR($F304)-2000,"00")))</f>
        <v/>
      </c>
      <c r="J304" s="13" t="n">
        <v>32724</v>
      </c>
      <c r="K304" s="14">
        <f>IFERROR($L304/$J304,"")</f>
        <v/>
      </c>
      <c r="L304" s="13" t="n">
        <v>32724</v>
      </c>
      <c r="M304" s="13">
        <f>IFERROR($L304/$H304,"")</f>
        <v/>
      </c>
      <c r="N304" s="11" t="n">
        <v>45569</v>
      </c>
      <c r="O304" s="10">
        <f>IF($N304="","No","Yes")</f>
        <v/>
      </c>
      <c r="P304" s="12">
        <f>IF(OR($F304="",$G304=""),0,IF(AND($F304&lt;=README!$B$4,README!$B$4&lt;=$G304),1,0))</f>
        <v/>
      </c>
      <c r="Q304" s="12">
        <f>IF(OR($F304="",$G304=""),0,IF(AND($F304&lt;=DATE(README!$B$5,12,31),$G304&gt;=DATE(README!$B$5,1,1)),1,0))</f>
        <v/>
      </c>
      <c r="R304" s="10" t="inlineStr">
        <is>
          <t>GUP-VEH0011</t>
        </is>
      </c>
      <c r="S304" s="11" t="n">
        <v>45477</v>
      </c>
      <c r="T304" s="10" t="inlineStr">
        <is>
          <t>548</t>
        </is>
      </c>
      <c r="U304" s="10" t="inlineStr">
        <is>
          <t>VEHICLE</t>
        </is>
      </c>
      <c r="V304" s="10" t="inlineStr">
        <is>
          <t>T</t>
        </is>
      </c>
      <c r="W304" s="10" t="inlineStr">
        <is>
          <t>VIVEK B</t>
        </is>
      </c>
    </row>
    <row r="305">
      <c r="A305" s="10" t="inlineStr">
        <is>
          <t>TN57BR3434</t>
        </is>
      </c>
      <c r="B305" s="10" t="inlineStr">
        <is>
          <t>SOCKS</t>
        </is>
      </c>
      <c r="C305" s="10" t="inlineStr">
        <is>
          <t>ROAD TAX</t>
        </is>
      </c>
      <c r="D305" s="10" t="inlineStr">
        <is>
          <t>ROAD TAX</t>
        </is>
      </c>
      <c r="E305" s="10" t="inlineStr">
        <is>
          <t>YEARLY</t>
        </is>
      </c>
      <c r="F305" s="11" t="n">
        <v>45383</v>
      </c>
      <c r="G305" s="11" t="n">
        <v>45747</v>
      </c>
      <c r="H305" s="12">
        <f>IF(OR($F305="",$G305=""),"",$G305-$F305+1)</f>
        <v/>
      </c>
      <c r="I305" s="10">
        <f>IF($F305="","",IF(MONTH($F305)&gt;=4,YEAR($F305)&amp;"-"&amp;TEXT(YEAR($F305)+1-2000,"00"),YEAR($F305)-1&amp;"-"&amp;TEXT(YEAR($F305)-2000,"00")))</f>
        <v/>
      </c>
      <c r="J305" s="13" t="n">
        <v>32724</v>
      </c>
      <c r="K305" s="14">
        <f>IFERROR($L305/$J305,"")</f>
        <v/>
      </c>
      <c r="L305" s="13" t="n">
        <v>32724</v>
      </c>
      <c r="M305" s="13">
        <f>IFERROR($L305/$H305,"")</f>
        <v/>
      </c>
      <c r="N305" s="11" t="n">
        <v>45649</v>
      </c>
      <c r="O305" s="10">
        <f>IF($N305="","No","Yes")</f>
        <v/>
      </c>
      <c r="P305" s="12">
        <f>IF(OR($F305="",$G305=""),0,IF(AND($F305&lt;=README!$B$4,README!$B$4&lt;=$G305),1,0))</f>
        <v/>
      </c>
      <c r="Q305" s="12">
        <f>IF(OR($F305="",$G305=""),0,IF(AND($F305&lt;=DATE(README!$B$5,12,31),$G305&gt;=DATE(README!$B$5,1,1)),1,0))</f>
        <v/>
      </c>
      <c r="R305" s="10" t="inlineStr">
        <is>
          <t>GUP-VEH0011</t>
        </is>
      </c>
      <c r="S305" s="11" t="n">
        <v>45477</v>
      </c>
      <c r="T305" s="10" t="inlineStr">
        <is>
          <t>548</t>
        </is>
      </c>
      <c r="U305" s="10" t="inlineStr">
        <is>
          <t>VEHICLE</t>
        </is>
      </c>
      <c r="V305" s="10" t="inlineStr">
        <is>
          <t>T</t>
        </is>
      </c>
      <c r="W305" s="10" t="inlineStr">
        <is>
          <t>VIVEK B</t>
        </is>
      </c>
    </row>
    <row r="306">
      <c r="A306" s="10" t="inlineStr">
        <is>
          <t>TN57BR3434</t>
        </is>
      </c>
      <c r="B306" s="10" t="inlineStr">
        <is>
          <t>SOCKS</t>
        </is>
      </c>
      <c r="C306" s="10" t="inlineStr">
        <is>
          <t>ROAD TAX</t>
        </is>
      </c>
      <c r="D306" s="10" t="inlineStr">
        <is>
          <t>ROAD TAX</t>
        </is>
      </c>
      <c r="E306" s="10" t="inlineStr">
        <is>
          <t>YEARLY</t>
        </is>
      </c>
      <c r="F306" s="11" t="n">
        <v>45383</v>
      </c>
      <c r="G306" s="11" t="n">
        <v>45747</v>
      </c>
      <c r="H306" s="12">
        <f>IF(OR($F306="",$G306=""),"",$G306-$F306+1)</f>
        <v/>
      </c>
      <c r="I306" s="10">
        <f>IF($F306="","",IF(MONTH($F306)&gt;=4,YEAR($F306)&amp;"-"&amp;TEXT(YEAR($F306)+1-2000,"00"),YEAR($F306)-1&amp;"-"&amp;TEXT(YEAR($F306)-2000,"00")))</f>
        <v/>
      </c>
      <c r="J306" s="13" t="n">
        <v>32724</v>
      </c>
      <c r="K306" s="14">
        <f>IFERROR($L306/$J306,"")</f>
        <v/>
      </c>
      <c r="L306" s="13" t="n">
        <v>32724</v>
      </c>
      <c r="M306" s="13">
        <f>IFERROR($L306/$H306,"")</f>
        <v/>
      </c>
      <c r="N306" s="11" t="n">
        <v>45481</v>
      </c>
      <c r="O306" s="10">
        <f>IF($N306="","No","Yes")</f>
        <v/>
      </c>
      <c r="P306" s="12">
        <f>IF(OR($F306="",$G306=""),0,IF(AND($F306&lt;=README!$B$4,README!$B$4&lt;=$G306),1,0))</f>
        <v/>
      </c>
      <c r="Q306" s="12">
        <f>IF(OR($F306="",$G306=""),0,IF(AND($F306&lt;=DATE(README!$B$5,12,31),$G306&gt;=DATE(README!$B$5,1,1)),1,0))</f>
        <v/>
      </c>
      <c r="R306" s="10" t="inlineStr">
        <is>
          <t>GUP-VEH0011</t>
        </is>
      </c>
      <c r="S306" s="11" t="n">
        <v>45477</v>
      </c>
      <c r="T306" s="10" t="inlineStr">
        <is>
          <t>548</t>
        </is>
      </c>
      <c r="U306" s="10" t="inlineStr">
        <is>
          <t>VEHICLE</t>
        </is>
      </c>
      <c r="V306" s="10" t="inlineStr">
        <is>
          <t>T</t>
        </is>
      </c>
      <c r="W306" s="10" t="inlineStr">
        <is>
          <t>VIVEK B</t>
        </is>
      </c>
    </row>
    <row r="307">
      <c r="A307" s="10" t="inlineStr">
        <is>
          <t>TN57BR3434</t>
        </is>
      </c>
      <c r="B307" s="10" t="inlineStr">
        <is>
          <t>SOCKS</t>
        </is>
      </c>
      <c r="C307" s="10" t="inlineStr">
        <is>
          <t>TYRE</t>
        </is>
      </c>
      <c r="D307" s="10" t="inlineStr">
        <is>
          <t>TYRE</t>
        </is>
      </c>
      <c r="E307" s="10" t="inlineStr">
        <is>
          <t>YEARLY</t>
        </is>
      </c>
      <c r="F307" s="11" t="n">
        <v>45383</v>
      </c>
      <c r="G307" s="11" t="n">
        <v>45747</v>
      </c>
      <c r="H307" s="12">
        <f>IF(OR($F307="",$G307=""),"",$G307-$F307+1)</f>
        <v/>
      </c>
      <c r="I307" s="10">
        <f>IF($F307="","",IF(MONTH($F307)&gt;=4,YEAR($F307)&amp;"-"&amp;TEXT(YEAR($F307)+1-2000,"00"),YEAR($F307)-1&amp;"-"&amp;TEXT(YEAR($F307)-2000,"00")))</f>
        <v/>
      </c>
      <c r="J307" s="13" t="n">
        <v>30200</v>
      </c>
      <c r="K307" s="14">
        <f>IFERROR($L307/$J307,"")</f>
        <v/>
      </c>
      <c r="L307" s="13" t="n">
        <v>30200</v>
      </c>
      <c r="M307" s="13">
        <f>IFERROR($L307/$H307,"")</f>
        <v/>
      </c>
      <c r="N307" s="11" t="n">
        <v>45554</v>
      </c>
      <c r="O307" s="10">
        <f>IF($N307="","No","Yes")</f>
        <v/>
      </c>
      <c r="P307" s="12">
        <f>IF(OR($F307="",$G307=""),0,IF(AND($F307&lt;=README!$B$4,README!$B$4&lt;=$G307),1,0))</f>
        <v/>
      </c>
      <c r="Q307" s="12">
        <f>IF(OR($F307="",$G307=""),0,IF(AND($F307&lt;=DATE(README!$B$5,12,31),$G307&gt;=DATE(README!$B$5,1,1)),1,0))</f>
        <v/>
      </c>
      <c r="R307" s="10" t="inlineStr">
        <is>
          <t>GUP-VEH0006</t>
        </is>
      </c>
      <c r="S307" s="11" t="n">
        <v>45442</v>
      </c>
      <c r="T307" s="10" t="inlineStr">
        <is>
          <t>522</t>
        </is>
      </c>
      <c r="U307" s="10" t="inlineStr">
        <is>
          <t>VEHICLE</t>
        </is>
      </c>
      <c r="V307" s="10" t="inlineStr">
        <is>
          <t>T</t>
        </is>
      </c>
      <c r="W307" s="10" t="inlineStr">
        <is>
          <t>VIVEK B</t>
        </is>
      </c>
    </row>
    <row r="308">
      <c r="A308" s="10" t="inlineStr">
        <is>
          <t>TN57BR3434</t>
        </is>
      </c>
      <c r="B308" s="10" t="inlineStr">
        <is>
          <t>SOCKS</t>
        </is>
      </c>
      <c r="C308" s="10" t="inlineStr">
        <is>
          <t>VEHICLE INSURANCE</t>
        </is>
      </c>
      <c r="D308" s="10" t="inlineStr">
        <is>
          <t>VEHICLE INSURANCE</t>
        </is>
      </c>
      <c r="E308" s="10" t="inlineStr">
        <is>
          <t>YEARLY</t>
        </is>
      </c>
      <c r="F308" s="11" t="n">
        <v>45383</v>
      </c>
      <c r="G308" s="11" t="n">
        <v>45747</v>
      </c>
      <c r="H308" s="12">
        <f>IF(OR($F308="",$G308=""),"",$G308-$F308+1)</f>
        <v/>
      </c>
      <c r="I308" s="10">
        <f>IF($F308="","",IF(MONTH($F308)&gt;=4,YEAR($F308)&amp;"-"&amp;TEXT(YEAR($F308)+1-2000,"00"),YEAR($F308)-1&amp;"-"&amp;TEXT(YEAR($F308)-2000,"00")))</f>
        <v/>
      </c>
      <c r="J308" s="13" t="n">
        <v>79453</v>
      </c>
      <c r="K308" s="14">
        <f>IFERROR($L308/$J308,"")</f>
        <v/>
      </c>
      <c r="L308" s="13" t="n">
        <v>79453</v>
      </c>
      <c r="M308" s="13">
        <f>IFERROR($L308/$H308,"")</f>
        <v/>
      </c>
      <c r="N308" s="11" t="n">
        <v>45541</v>
      </c>
      <c r="O308" s="10">
        <f>IF($N308="","No","Yes")</f>
        <v/>
      </c>
      <c r="P308" s="12">
        <f>IF(OR($F308="",$G308=""),0,IF(AND($F308&lt;=README!$B$4,README!$B$4&lt;=$G308),1,0))</f>
        <v/>
      </c>
      <c r="Q308" s="12">
        <f>IF(OR($F308="",$G308=""),0,IF(AND($F308&lt;=DATE(README!$B$5,12,31),$G308&gt;=DATE(README!$B$5,1,1)),1,0))</f>
        <v/>
      </c>
      <c r="R308" s="10" t="inlineStr">
        <is>
          <t>GUP-VEH0013</t>
        </is>
      </c>
      <c r="S308" s="11" t="n">
        <v>45478</v>
      </c>
      <c r="T308" s="10" t="inlineStr">
        <is>
          <t>550</t>
        </is>
      </c>
      <c r="U308" s="10" t="inlineStr">
        <is>
          <t>VEHICLE</t>
        </is>
      </c>
      <c r="V308" s="10" t="inlineStr">
        <is>
          <t>T</t>
        </is>
      </c>
      <c r="W308" s="10" t="inlineStr">
        <is>
          <t>VIVEK B</t>
        </is>
      </c>
    </row>
    <row r="309">
      <c r="A309" s="10" t="inlineStr">
        <is>
          <t>TN57BR3434</t>
        </is>
      </c>
      <c r="B309" s="10" t="inlineStr">
        <is>
          <t>SOCKS</t>
        </is>
      </c>
      <c r="C309" s="10" t="inlineStr">
        <is>
          <t>VEHICLE OUTSIDE SERVICES</t>
        </is>
      </c>
      <c r="D309" s="10" t="inlineStr">
        <is>
          <t xml:space="preserve">MAINTENANCE SERVICE </t>
        </is>
      </c>
      <c r="E309" s="10" t="inlineStr">
        <is>
          <t>YEARLY</t>
        </is>
      </c>
      <c r="F309" s="11" t="n">
        <v>45383</v>
      </c>
      <c r="G309" s="11" t="n">
        <v>45747</v>
      </c>
      <c r="H309" s="12">
        <f>IF(OR($F309="",$G309=""),"",$G309-$F309+1)</f>
        <v/>
      </c>
      <c r="I309" s="10">
        <f>IF($F309="","",IF(MONTH($F309)&gt;=4,YEAR($F309)&amp;"-"&amp;TEXT(YEAR($F309)+1-2000,"00"),YEAR($F309)-1&amp;"-"&amp;TEXT(YEAR($F309)-2000,"00")))</f>
        <v/>
      </c>
      <c r="J309" s="13" t="n">
        <v>10939.95</v>
      </c>
      <c r="K309" s="14">
        <f>IFERROR($L309/$J309,"")</f>
        <v/>
      </c>
      <c r="L309" s="13" t="n">
        <v>10939.95</v>
      </c>
      <c r="M309" s="13">
        <f>IFERROR($L309/$H309,"")</f>
        <v/>
      </c>
      <c r="N309" s="11" t="n">
        <v>45605</v>
      </c>
      <c r="O309" s="10">
        <f>IF($N309="","No","Yes")</f>
        <v/>
      </c>
      <c r="P309" s="12">
        <f>IF(OR($F309="",$G309=""),0,IF(AND($F309&lt;=README!$B$4,README!$B$4&lt;=$G309),1,0))</f>
        <v/>
      </c>
      <c r="Q309" s="12">
        <f>IF(OR($F309="",$G309=""),0,IF(AND($F309&lt;=DATE(README!$B$5,12,31),$G309&gt;=DATE(README!$B$5,1,1)),1,0))</f>
        <v/>
      </c>
      <c r="R309" s="10" t="inlineStr">
        <is>
          <t>GUP-VEH0012</t>
        </is>
      </c>
      <c r="S309" s="11" t="n">
        <v>45477</v>
      </c>
      <c r="T309" s="10" t="inlineStr">
        <is>
          <t>549</t>
        </is>
      </c>
      <c r="U309" s="10" t="inlineStr">
        <is>
          <t>VEHICLE</t>
        </is>
      </c>
      <c r="V309" s="10" t="inlineStr">
        <is>
          <t>T</t>
        </is>
      </c>
      <c r="W309" s="10" t="inlineStr">
        <is>
          <t>VIVEK B</t>
        </is>
      </c>
    </row>
    <row r="310">
      <c r="A310" s="10" t="inlineStr">
        <is>
          <t>TN57BR3434</t>
        </is>
      </c>
      <c r="B310" s="10" t="inlineStr">
        <is>
          <t>SOCKS</t>
        </is>
      </c>
      <c r="C310" s="10" t="inlineStr">
        <is>
          <t>ROAD TAX</t>
        </is>
      </c>
      <c r="D310" s="10" t="inlineStr">
        <is>
          <t>ROAD TAX</t>
        </is>
      </c>
      <c r="E310" s="10" t="inlineStr">
        <is>
          <t>QUARTER - I</t>
        </is>
      </c>
      <c r="F310" s="11" t="n">
        <v>45748</v>
      </c>
      <c r="G310" s="11" t="n">
        <v>45838</v>
      </c>
      <c r="H310" s="12">
        <f>IF(OR($F310="",$G310=""),"",$G310-$F310+1)</f>
        <v/>
      </c>
      <c r="I310" s="10">
        <f>IF($F310="","",IF(MONTH($F310)&gt;=4,YEAR($F310)&amp;"-"&amp;TEXT(YEAR($F310)+1-2000,"00"),YEAR($F310)-1&amp;"-"&amp;TEXT(YEAR($F310)-2000,"00")))</f>
        <v/>
      </c>
      <c r="J310" s="13" t="n">
        <v>32724</v>
      </c>
      <c r="K310" s="14">
        <f>IFERROR($L310/$J310,"")</f>
        <v/>
      </c>
      <c r="L310" s="13" t="n">
        <v>32724</v>
      </c>
      <c r="M310" s="13">
        <f>IFERROR($L310/$H310,"")</f>
        <v/>
      </c>
      <c r="N310" s="11" t="n">
        <v>46030</v>
      </c>
      <c r="O310" s="10">
        <f>IF($N310="","No","Yes")</f>
        <v/>
      </c>
      <c r="P310" s="12">
        <f>IF(OR($F310="",$G310=""),0,IF(AND($F310&lt;=README!$B$4,README!$B$4&lt;=$G310),1,0))</f>
        <v/>
      </c>
      <c r="Q310" s="12">
        <f>IF(OR($F310="",$G310=""),0,IF(AND($F310&lt;=DATE(README!$B$5,12,31),$G310&gt;=DATE(README!$B$5,1,1)),1,0))</f>
        <v/>
      </c>
      <c r="R310" s="10" t="inlineStr">
        <is>
          <t>GUP-VEH0014</t>
        </is>
      </c>
      <c r="S310" s="11" t="n">
        <v>45748</v>
      </c>
      <c r="T310" s="10" t="inlineStr">
        <is>
          <t>609</t>
        </is>
      </c>
      <c r="U310" s="10" t="inlineStr">
        <is>
          <t>VEHICLE</t>
        </is>
      </c>
      <c r="V310" s="10" t="inlineStr">
        <is>
          <t>T</t>
        </is>
      </c>
      <c r="W310" s="10" t="inlineStr">
        <is>
          <t>VIVEK B</t>
        </is>
      </c>
    </row>
    <row r="311">
      <c r="A311" s="10" t="inlineStr">
        <is>
          <t>TN57BR3434</t>
        </is>
      </c>
      <c r="B311" s="10" t="inlineStr">
        <is>
          <t>SOCKS</t>
        </is>
      </c>
      <c r="C311" s="10" t="inlineStr">
        <is>
          <t>RTO EXPENSE</t>
        </is>
      </c>
      <c r="D311" s="10" t="inlineStr">
        <is>
          <t>RTO EXPENSE</t>
        </is>
      </c>
      <c r="E311" s="10" t="inlineStr">
        <is>
          <t>YEARLY</t>
        </is>
      </c>
      <c r="F311" s="11" t="n">
        <v>45748</v>
      </c>
      <c r="G311" s="11" t="n">
        <v>46112</v>
      </c>
      <c r="H311" s="12">
        <f>IF(OR($F311="",$G311=""),"",$G311-$F311+1)</f>
        <v/>
      </c>
      <c r="I311" s="10">
        <f>IF($F311="","",IF(MONTH($F311)&gt;=4,YEAR($F311)&amp;"-"&amp;TEXT(YEAR($F311)+1-2000,"00"),YEAR($F311)-1&amp;"-"&amp;TEXT(YEAR($F311)-2000,"00")))</f>
        <v/>
      </c>
      <c r="J311" s="13" t="n">
        <v>10400</v>
      </c>
      <c r="K311" s="14">
        <f>IFERROR($L311/$J311,"")</f>
        <v/>
      </c>
      <c r="L311" s="13" t="n">
        <v>10400</v>
      </c>
      <c r="M311" s="13">
        <f>IFERROR($L311/$H311,"")</f>
        <v/>
      </c>
      <c r="N311" s="11" t="n">
        <v>46028</v>
      </c>
      <c r="O311" s="10">
        <f>IF($N311="","No","Yes")</f>
        <v/>
      </c>
      <c r="P311" s="12">
        <f>IF(OR($F311="",$G311=""),0,IF(AND($F311&lt;=README!$B$4,README!$B$4&lt;=$G311),1,0))</f>
        <v/>
      </c>
      <c r="Q311" s="12">
        <f>IF(OR($F311="",$G311=""),0,IF(AND($F311&lt;=DATE(README!$B$5,12,31),$G311&gt;=DATE(README!$B$5,1,1)),1,0))</f>
        <v/>
      </c>
      <c r="R311" s="10" t="inlineStr">
        <is>
          <t>GUP-VEH0022</t>
        </is>
      </c>
      <c r="S311" s="11" t="n">
        <v>45834</v>
      </c>
      <c r="T311" s="10" t="inlineStr">
        <is>
          <t>655</t>
        </is>
      </c>
      <c r="U311" s="10" t="inlineStr">
        <is>
          <t>VEHICLE</t>
        </is>
      </c>
      <c r="V311" s="10" t="inlineStr">
        <is>
          <t>T</t>
        </is>
      </c>
      <c r="W311" s="10" t="inlineStr">
        <is>
          <t>VIVEK B</t>
        </is>
      </c>
    </row>
    <row r="312">
      <c r="A312" s="10" t="inlineStr">
        <is>
          <t>TN57BR3434</t>
        </is>
      </c>
      <c r="B312" s="10" t="inlineStr">
        <is>
          <t>SOCKS</t>
        </is>
      </c>
      <c r="C312" s="10" t="inlineStr">
        <is>
          <t>TYRE</t>
        </is>
      </c>
      <c r="D312" s="10" t="inlineStr">
        <is>
          <t>TYRE</t>
        </is>
      </c>
      <c r="E312" s="10" t="inlineStr">
        <is>
          <t>YEARLY</t>
        </is>
      </c>
      <c r="F312" s="11" t="n">
        <v>45748</v>
      </c>
      <c r="G312" s="11" t="n">
        <v>46112</v>
      </c>
      <c r="H312" s="12">
        <f>IF(OR($F312="",$G312=""),"",$G312-$F312+1)</f>
        <v/>
      </c>
      <c r="I312" s="10">
        <f>IF($F312="","",IF(MONTH($F312)&gt;=4,YEAR($F312)&amp;"-"&amp;TEXT(YEAR($F312)+1-2000,"00"),YEAR($F312)-1&amp;"-"&amp;TEXT(YEAR($F312)-2000,"00")))</f>
        <v/>
      </c>
      <c r="J312" s="13" t="n">
        <v>30300</v>
      </c>
      <c r="K312" s="14">
        <f>IFERROR($L312/$J312,"")</f>
        <v/>
      </c>
      <c r="L312" s="13" t="n">
        <v>30300</v>
      </c>
      <c r="M312" s="13">
        <f>IFERROR($L312/$H312,"")</f>
        <v/>
      </c>
      <c r="N312" s="11" t="n">
        <v>45972</v>
      </c>
      <c r="O312" s="10">
        <f>IF($N312="","No","Yes")</f>
        <v/>
      </c>
      <c r="P312" s="12">
        <f>IF(OR($F312="",$G312=""),0,IF(AND($F312&lt;=README!$B$4,README!$B$4&lt;=$G312),1,0))</f>
        <v/>
      </c>
      <c r="Q312" s="12">
        <f>IF(OR($F312="",$G312=""),0,IF(AND($F312&lt;=DATE(README!$B$5,12,31),$G312&gt;=DATE(README!$B$5,1,1)),1,0))</f>
        <v/>
      </c>
      <c r="R312" s="10" t="inlineStr">
        <is>
          <t>GUP-VEH0025</t>
        </is>
      </c>
      <c r="S312" s="11" t="n">
        <v>45957</v>
      </c>
      <c r="T312" s="10" t="inlineStr">
        <is>
          <t>726</t>
        </is>
      </c>
      <c r="U312" s="10" t="inlineStr">
        <is>
          <t>VEHICLE</t>
        </is>
      </c>
      <c r="V312" s="10" t="inlineStr">
        <is>
          <t>T</t>
        </is>
      </c>
      <c r="W312" s="10" t="inlineStr">
        <is>
          <t>VIVEK B</t>
        </is>
      </c>
    </row>
    <row r="313">
      <c r="A313" s="10" t="inlineStr">
        <is>
          <t>TN57BR3434</t>
        </is>
      </c>
      <c r="B313" s="10" t="inlineStr">
        <is>
          <t>SOCKS</t>
        </is>
      </c>
      <c r="C313" s="10" t="inlineStr">
        <is>
          <t>VEHICLE INSURANCE</t>
        </is>
      </c>
      <c r="D313" s="10" t="inlineStr">
        <is>
          <t>VEHICLE INSURANCE</t>
        </is>
      </c>
      <c r="E313" s="10" t="inlineStr">
        <is>
          <t>YEARLY</t>
        </is>
      </c>
      <c r="F313" s="11" t="n">
        <v>45748</v>
      </c>
      <c r="G313" s="11" t="n">
        <v>46112</v>
      </c>
      <c r="H313" s="12">
        <f>IF(OR($F313="",$G313=""),"",$G313-$F313+1)</f>
        <v/>
      </c>
      <c r="I313" s="10">
        <f>IF($F313="","",IF(MONTH($F313)&gt;=4,YEAR($F313)&amp;"-"&amp;TEXT(YEAR($F313)+1-2000,"00"),YEAR($F313)-1&amp;"-"&amp;TEXT(YEAR($F313)-2000,"00")))</f>
        <v/>
      </c>
      <c r="J313" s="13" t="n">
        <v>78377</v>
      </c>
      <c r="K313" s="14">
        <f>IFERROR($L313/$J313,"")</f>
        <v/>
      </c>
      <c r="L313" s="13" t="n">
        <v>78377</v>
      </c>
      <c r="M313" s="13">
        <f>IFERROR($L313/$H313,"")</f>
        <v/>
      </c>
      <c r="N313" s="11" t="n">
        <v>45905</v>
      </c>
      <c r="O313" s="10">
        <f>IF($N313="","No","Yes")</f>
        <v/>
      </c>
      <c r="P313" s="12">
        <f>IF(OR($F313="",$G313=""),0,IF(AND($F313&lt;=README!$B$4,README!$B$4&lt;=$G313),1,0))</f>
        <v/>
      </c>
      <c r="Q313" s="12">
        <f>IF(OR($F313="",$G313=""),0,IF(AND($F313&lt;=DATE(README!$B$5,12,31),$G313&gt;=DATE(README!$B$5,1,1)),1,0))</f>
        <v/>
      </c>
      <c r="R313" s="10" t="inlineStr">
        <is>
          <t>GUP-VEH0020</t>
        </is>
      </c>
      <c r="S313" s="11" t="n">
        <v>45799</v>
      </c>
      <c r="T313" s="10" t="inlineStr">
        <is>
          <t>645</t>
        </is>
      </c>
      <c r="U313" s="10" t="inlineStr">
        <is>
          <t>VEHICLE</t>
        </is>
      </c>
      <c r="V313" s="10" t="inlineStr">
        <is>
          <t>T</t>
        </is>
      </c>
      <c r="W313" s="10" t="inlineStr">
        <is>
          <t>VIVEK B</t>
        </is>
      </c>
    </row>
    <row r="314">
      <c r="A314" s="10" t="inlineStr">
        <is>
          <t>TN57BR3434</t>
        </is>
      </c>
      <c r="B314" s="10" t="inlineStr">
        <is>
          <t>GENERAL</t>
        </is>
      </c>
      <c r="C314" s="10" t="inlineStr">
        <is>
          <t>VEHICLE OUTSIDE SERVICES</t>
        </is>
      </c>
      <c r="D314" s="10" t="inlineStr">
        <is>
          <t>MAINTENANCE SERVICE - 3</t>
        </is>
      </c>
      <c r="E314" s="10" t="inlineStr">
        <is>
          <t>YEARLY</t>
        </is>
      </c>
      <c r="F314" s="11" t="n">
        <v>45748</v>
      </c>
      <c r="G314" s="11" t="n">
        <v>46112</v>
      </c>
      <c r="H314" s="12">
        <f>IF(OR($F314="",$G314=""),"",$G314-$F314+1)</f>
        <v/>
      </c>
      <c r="I314" s="10">
        <f>IF($F314="","",IF(MONTH($F314)&gt;=4,YEAR($F314)&amp;"-"&amp;TEXT(YEAR($F314)+1-2000,"00"),YEAR($F314)-1&amp;"-"&amp;TEXT(YEAR($F314)-2000,"00")))</f>
        <v/>
      </c>
      <c r="J314" s="13" t="n">
        <v>3300</v>
      </c>
      <c r="K314" s="14">
        <f>IFERROR($L314/$J314,"")</f>
        <v/>
      </c>
      <c r="L314" s="13" t="n">
        <v>3300</v>
      </c>
      <c r="M314" s="13">
        <f>IFERROR($L314/$H314,"")</f>
        <v/>
      </c>
      <c r="N314" s="11" t="n">
        <v>45925</v>
      </c>
      <c r="O314" s="10">
        <f>IF($N314="","No","Yes")</f>
        <v/>
      </c>
      <c r="P314" s="12">
        <f>IF(OR($F314="",$G314=""),0,IF(AND($F314&lt;=README!$B$4,README!$B$4&lt;=$G314),1,0))</f>
        <v/>
      </c>
      <c r="Q314" s="12">
        <f>IF(OR($F314="",$G314=""),0,IF(AND($F314&lt;=DATE(README!$B$5,12,31),$G314&gt;=DATE(README!$B$5,1,1)),1,0))</f>
        <v/>
      </c>
      <c r="R314" s="10" t="inlineStr">
        <is>
          <t>GUP-VEH0019</t>
        </is>
      </c>
      <c r="S314" s="11" t="n">
        <v>45777</v>
      </c>
      <c r="T314" s="10" t="inlineStr">
        <is>
          <t>638</t>
        </is>
      </c>
      <c r="U314" s="10" t="inlineStr">
        <is>
          <t>VEHICLE</t>
        </is>
      </c>
      <c r="V314" s="10" t="inlineStr">
        <is>
          <t>T</t>
        </is>
      </c>
      <c r="W314" s="10" t="inlineStr">
        <is>
          <t>VIVEK B</t>
        </is>
      </c>
    </row>
    <row r="315">
      <c r="A315" s="10" t="inlineStr">
        <is>
          <t>TN57BR3434</t>
        </is>
      </c>
      <c r="B315" s="10" t="inlineStr">
        <is>
          <t>GENERAL</t>
        </is>
      </c>
      <c r="C315" s="10" t="inlineStr">
        <is>
          <t>VEHICLE OUTSIDE SERVICES</t>
        </is>
      </c>
      <c r="D315" s="10" t="inlineStr">
        <is>
          <t>MAINTENANCE SERVICE - 2</t>
        </is>
      </c>
      <c r="E315" s="10" t="inlineStr">
        <is>
          <t>YEARLY</t>
        </is>
      </c>
      <c r="F315" s="11" t="n">
        <v>45748</v>
      </c>
      <c r="G315" s="11" t="n">
        <v>46112</v>
      </c>
      <c r="H315" s="12">
        <f>IF(OR($F315="",$G315=""),"",$G315-$F315+1)</f>
        <v/>
      </c>
      <c r="I315" s="10">
        <f>IF($F315="","",IF(MONTH($F315)&gt;=4,YEAR($F315)&amp;"-"&amp;TEXT(YEAR($F315)+1-2000,"00"),YEAR($F315)-1&amp;"-"&amp;TEXT(YEAR($F315)-2000,"00")))</f>
        <v/>
      </c>
      <c r="J315" s="13" t="n">
        <v>25463.11</v>
      </c>
      <c r="K315" s="14">
        <f>IFERROR($L315/$J315,"")</f>
        <v/>
      </c>
      <c r="L315" s="13" t="n">
        <v>25463.11</v>
      </c>
      <c r="M315" s="13">
        <f>IFERROR($L315/$H315,"")</f>
        <v/>
      </c>
      <c r="N315" s="11" t="n">
        <v>45890</v>
      </c>
      <c r="O315" s="10">
        <f>IF($N315="","No","Yes")</f>
        <v/>
      </c>
      <c r="P315" s="12">
        <f>IF(OR($F315="",$G315=""),0,IF(AND($F315&lt;=README!$B$4,README!$B$4&lt;=$G315),1,0))</f>
        <v/>
      </c>
      <c r="Q315" s="12">
        <f>IF(OR($F315="",$G315=""),0,IF(AND($F315&lt;=DATE(README!$B$5,12,31),$G315&gt;=DATE(README!$B$5,1,1)),1,0))</f>
        <v/>
      </c>
      <c r="R315" s="10" t="inlineStr">
        <is>
          <t>GUP-VEH0019</t>
        </is>
      </c>
      <c r="S315" s="11" t="n">
        <v>45777</v>
      </c>
      <c r="T315" s="10" t="inlineStr">
        <is>
          <t>638</t>
        </is>
      </c>
      <c r="U315" s="10" t="inlineStr">
        <is>
          <t>VEHICLE</t>
        </is>
      </c>
      <c r="V315" s="10" t="inlineStr">
        <is>
          <t>T</t>
        </is>
      </c>
      <c r="W315" s="10" t="inlineStr">
        <is>
          <t>VIVEK B</t>
        </is>
      </c>
    </row>
    <row r="316">
      <c r="A316" s="10" t="inlineStr">
        <is>
          <t>TN57BR3434</t>
        </is>
      </c>
      <c r="B316" s="10" t="inlineStr">
        <is>
          <t>SOCKS</t>
        </is>
      </c>
      <c r="C316" s="10" t="inlineStr">
        <is>
          <t>ROAD TAX</t>
        </is>
      </c>
      <c r="D316" s="10" t="inlineStr">
        <is>
          <t>ROAD TAX</t>
        </is>
      </c>
      <c r="E316" s="10" t="inlineStr">
        <is>
          <t>QUARTER - II</t>
        </is>
      </c>
      <c r="F316" s="11" t="n">
        <v>45839</v>
      </c>
      <c r="G316" s="11" t="n">
        <v>45930</v>
      </c>
      <c r="H316" s="12">
        <f>IF(OR($F316="",$G316=""),"",$G316-$F316+1)</f>
        <v/>
      </c>
      <c r="I316" s="10">
        <f>IF($F316="","",IF(MONTH($F316)&gt;=4,YEAR($F316)&amp;"-"&amp;TEXT(YEAR($F316)+1-2000,"00"),YEAR($F316)-1&amp;"-"&amp;TEXT(YEAR($F316)-2000,"00")))</f>
        <v/>
      </c>
      <c r="J316" s="13" t="n">
        <v>32724</v>
      </c>
      <c r="K316" s="14">
        <f>IFERROR($L316/$J316,"")</f>
        <v/>
      </c>
      <c r="L316" s="13" t="n">
        <v>32724</v>
      </c>
      <c r="M316" s="13">
        <f>IFERROR($L316/$H316,"")</f>
        <v/>
      </c>
      <c r="N316" s="11" t="n">
        <v>46030</v>
      </c>
      <c r="O316" s="10">
        <f>IF($N316="","No","Yes")</f>
        <v/>
      </c>
      <c r="P316" s="12">
        <f>IF(OR($F316="",$G316=""),0,IF(AND($F316&lt;=README!$B$4,README!$B$4&lt;=$G316),1,0))</f>
        <v/>
      </c>
      <c r="Q316" s="12">
        <f>IF(OR($F316="",$G316=""),0,IF(AND($F316&lt;=DATE(README!$B$5,12,31),$G316&gt;=DATE(README!$B$5,1,1)),1,0))</f>
        <v/>
      </c>
      <c r="R316" s="10" t="inlineStr">
        <is>
          <t>GUP-VEH0014</t>
        </is>
      </c>
      <c r="S316" s="11" t="n">
        <v>45748</v>
      </c>
      <c r="T316" s="10" t="inlineStr">
        <is>
          <t>609</t>
        </is>
      </c>
      <c r="U316" s="10" t="inlineStr">
        <is>
          <t>VEHICLE</t>
        </is>
      </c>
      <c r="V316" s="10" t="inlineStr">
        <is>
          <t>T</t>
        </is>
      </c>
      <c r="W316" s="10" t="inlineStr">
        <is>
          <t>VIVEK B</t>
        </is>
      </c>
    </row>
    <row r="317">
      <c r="A317" s="10" t="inlineStr">
        <is>
          <t>TN57BR3434</t>
        </is>
      </c>
      <c r="B317" s="10" t="inlineStr">
        <is>
          <t>SOCKS</t>
        </is>
      </c>
      <c r="C317" s="10" t="inlineStr">
        <is>
          <t>FC WORK</t>
        </is>
      </c>
      <c r="D317" s="10" t="inlineStr">
        <is>
          <t>FC WORK</t>
        </is>
      </c>
      <c r="E317" s="10" t="inlineStr">
        <is>
          <t>BY MONTH - IV</t>
        </is>
      </c>
      <c r="F317" s="11" t="n">
        <v>45931</v>
      </c>
      <c r="G317" s="11" t="n">
        <v>45991</v>
      </c>
      <c r="H317" s="12">
        <f>IF(OR($F317="",$G317=""),"",$G317-$F317+1)</f>
        <v/>
      </c>
      <c r="I317" s="10">
        <f>IF($F317="","",IF(MONTH($F317)&gt;=4,YEAR($F317)&amp;"-"&amp;TEXT(YEAR($F317)+1-2000,"00"),YEAR($F317)-1&amp;"-"&amp;TEXT(YEAR($F317)-2000,"00")))</f>
        <v/>
      </c>
      <c r="J317" s="13" t="n">
        <v>48050</v>
      </c>
      <c r="K317" s="14">
        <f>IFERROR($L317/$J317,"")</f>
        <v/>
      </c>
      <c r="L317" s="13" t="n">
        <v>48050</v>
      </c>
      <c r="M317" s="13">
        <f>IFERROR($L317/$H317,"")</f>
        <v/>
      </c>
      <c r="N317" s="11" t="n">
        <v>46050</v>
      </c>
      <c r="O317" s="10">
        <f>IF($N317="","No","Yes")</f>
        <v/>
      </c>
      <c r="P317" s="12">
        <f>IF(OR($F317="",$G317=""),0,IF(AND($F317&lt;=README!$B$4,README!$B$4&lt;=$G317),1,0))</f>
        <v/>
      </c>
      <c r="Q317" s="12">
        <f>IF(OR($F317="",$G317=""),0,IF(AND($F317&lt;=DATE(README!$B$5,12,31),$G317&gt;=DATE(README!$B$5,1,1)),1,0))</f>
        <v/>
      </c>
      <c r="R317" s="10" t="inlineStr">
        <is>
          <t>GUP-VEH0021</t>
        </is>
      </c>
      <c r="S317" s="11" t="n">
        <v>45832</v>
      </c>
      <c r="T317" s="10" t="inlineStr">
        <is>
          <t>654</t>
        </is>
      </c>
      <c r="U317" s="10" t="inlineStr">
        <is>
          <t>VEHICLE</t>
        </is>
      </c>
      <c r="V317" s="10" t="inlineStr">
        <is>
          <t>T</t>
        </is>
      </c>
      <c r="W317" s="10" t="inlineStr">
        <is>
          <t>VIVEK B</t>
        </is>
      </c>
    </row>
    <row r="318">
      <c r="A318" s="10" t="inlineStr">
        <is>
          <t>TN57BR3434</t>
        </is>
      </c>
      <c r="B318" s="10" t="inlineStr">
        <is>
          <t>SOCKS</t>
        </is>
      </c>
      <c r="C318" s="10" t="inlineStr">
        <is>
          <t>ROAD TAX</t>
        </is>
      </c>
      <c r="D318" s="10" t="inlineStr">
        <is>
          <t>ROAD TAX</t>
        </is>
      </c>
      <c r="E318" s="10" t="inlineStr">
        <is>
          <t>QUARTER - III</t>
        </is>
      </c>
      <c r="F318" s="11" t="n">
        <v>45931</v>
      </c>
      <c r="G318" s="11" t="n">
        <v>46022</v>
      </c>
      <c r="H318" s="12">
        <f>IF(OR($F318="",$G318=""),"",$G318-$F318+1)</f>
        <v/>
      </c>
      <c r="I318" s="10">
        <f>IF($F318="","",IF(MONTH($F318)&gt;=4,YEAR($F318)&amp;"-"&amp;TEXT(YEAR($F318)+1-2000,"00"),YEAR($F318)-1&amp;"-"&amp;TEXT(YEAR($F318)-2000,"00")))</f>
        <v/>
      </c>
      <c r="J318" s="13" t="n">
        <v>32734</v>
      </c>
      <c r="K318" s="14">
        <f>IFERROR($L318/$J318,"")</f>
        <v/>
      </c>
      <c r="L318" s="13" t="n">
        <v>32734</v>
      </c>
      <c r="M318" s="13">
        <f>IFERROR($L318/$H318,"")</f>
        <v/>
      </c>
      <c r="N318" s="11" t="n">
        <v>46030</v>
      </c>
      <c r="O318" s="10">
        <f>IF($N318="","No","Yes")</f>
        <v/>
      </c>
      <c r="P318" s="12">
        <f>IF(OR($F318="",$G318=""),0,IF(AND($F318&lt;=README!$B$4,README!$B$4&lt;=$G318),1,0))</f>
        <v/>
      </c>
      <c r="Q318" s="12">
        <f>IF(OR($F318="",$G318=""),0,IF(AND($F318&lt;=DATE(README!$B$5,12,31),$G318&gt;=DATE(README!$B$5,1,1)),1,0))</f>
        <v/>
      </c>
      <c r="R318" s="10" t="inlineStr">
        <is>
          <t>GUP-VEH0014</t>
        </is>
      </c>
      <c r="S318" s="11" t="n">
        <v>45748</v>
      </c>
      <c r="T318" s="10" t="inlineStr">
        <is>
          <t>609</t>
        </is>
      </c>
      <c r="U318" s="10" t="inlineStr">
        <is>
          <t>VEHICLE</t>
        </is>
      </c>
      <c r="V318" s="10" t="inlineStr">
        <is>
          <t>T</t>
        </is>
      </c>
      <c r="W318" s="10" t="inlineStr">
        <is>
          <t>VIVEK B</t>
        </is>
      </c>
    </row>
    <row r="319">
      <c r="A319" s="10" t="inlineStr">
        <is>
          <t>TN57BR3434</t>
        </is>
      </c>
      <c r="B319" s="10" t="inlineStr">
        <is>
          <t>SOCKS</t>
        </is>
      </c>
      <c r="C319" s="10" t="inlineStr">
        <is>
          <t>RTO EXPENSE</t>
        </is>
      </c>
      <c r="D319" s="10" t="inlineStr">
        <is>
          <t>HP-LOAN CLOSURE</t>
        </is>
      </c>
      <c r="E319" s="10" t="inlineStr">
        <is>
          <t>DECEMBER</t>
        </is>
      </c>
      <c r="F319" s="11" t="n">
        <v>45992</v>
      </c>
      <c r="G319" s="11" t="n">
        <v>46022</v>
      </c>
      <c r="H319" s="12">
        <f>IF(OR($F319="",$G319=""),"",$G319-$F319+1)</f>
        <v/>
      </c>
      <c r="I319" s="10">
        <f>IF($F319="","",IF(MONTH($F319)&gt;=4,YEAR($F319)&amp;"-"&amp;TEXT(YEAR($F319)+1-2000,"00"),YEAR($F319)-1&amp;"-"&amp;TEXT(YEAR($F319)-2000,"00")))</f>
        <v/>
      </c>
      <c r="J319" s="13" t="n">
        <v>1300</v>
      </c>
      <c r="K319" s="14">
        <f>IFERROR($L319/$J319,"")</f>
        <v/>
      </c>
      <c r="L319" s="13" t="n">
        <v>1300</v>
      </c>
      <c r="M319" s="13">
        <f>IFERROR($L319/$H319,"")</f>
        <v/>
      </c>
      <c r="N319" s="11" t="n">
        <v>45994</v>
      </c>
      <c r="O319" s="10">
        <f>IF($N319="","No","Yes")</f>
        <v/>
      </c>
      <c r="P319" s="12">
        <f>IF(OR($F319="",$G319=""),0,IF(AND($F319&lt;=README!$B$4,README!$B$4&lt;=$G319),1,0))</f>
        <v/>
      </c>
      <c r="Q319" s="12">
        <f>IF(OR($F319="",$G319=""),0,IF(AND($F319&lt;=DATE(README!$B$5,12,31),$G319&gt;=DATE(README!$B$5,1,1)),1,0))</f>
        <v/>
      </c>
      <c r="R319" s="10" t="inlineStr">
        <is>
          <t>GUP-VEH0022</t>
        </is>
      </c>
      <c r="S319" s="11" t="n">
        <v>45834</v>
      </c>
      <c r="T319" s="10" t="inlineStr">
        <is>
          <t>655</t>
        </is>
      </c>
      <c r="U319" s="10" t="inlineStr">
        <is>
          <t>VEHICLE</t>
        </is>
      </c>
      <c r="V319" s="10" t="inlineStr">
        <is>
          <t>T</t>
        </is>
      </c>
      <c r="W319" s="10" t="inlineStr">
        <is>
          <t>VIVEK B</t>
        </is>
      </c>
    </row>
    <row r="320">
      <c r="A320" s="10" t="inlineStr">
        <is>
          <t>TN57BR3434</t>
        </is>
      </c>
      <c r="B320" s="10" t="inlineStr">
        <is>
          <t>GENERAL</t>
        </is>
      </c>
      <c r="C320" s="10" t="inlineStr">
        <is>
          <t>VEHICLE OUTSIDE SERVICES</t>
        </is>
      </c>
      <c r="D320" s="10" t="inlineStr">
        <is>
          <t xml:space="preserve">MAINTENANCE SERVICE </t>
        </is>
      </c>
      <c r="E320" s="10" t="inlineStr">
        <is>
          <t>DECEMBER</t>
        </is>
      </c>
      <c r="F320" s="11" t="n">
        <v>45992</v>
      </c>
      <c r="G320" s="11" t="n">
        <v>46022</v>
      </c>
      <c r="H320" s="12">
        <f>IF(OR($F320="",$G320=""),"",$G320-$F320+1)</f>
        <v/>
      </c>
      <c r="I320" s="10">
        <f>IF($F320="","",IF(MONTH($F320)&gt;=4,YEAR($F320)&amp;"-"&amp;TEXT(YEAR($F320)+1-2000,"00"),YEAR($F320)-1&amp;"-"&amp;TEXT(YEAR($F320)-2000,"00")))</f>
        <v/>
      </c>
      <c r="J320" s="13" t="n">
        <v>39355.78</v>
      </c>
      <c r="K320" s="14">
        <f>IFERROR($L320/$J320,"")</f>
        <v/>
      </c>
      <c r="L320" s="13" t="n">
        <v>39355.78</v>
      </c>
      <c r="M320" s="13">
        <f>IFERROR($L320/$H320,"")</f>
        <v/>
      </c>
      <c r="N320" s="11" t="n">
        <v>46010</v>
      </c>
      <c r="O320" s="10">
        <f>IF($N320="","No","Yes")</f>
        <v/>
      </c>
      <c r="P320" s="12">
        <f>IF(OR($F320="",$G320=""),0,IF(AND($F320&lt;=README!$B$4,README!$B$4&lt;=$G320),1,0))</f>
        <v/>
      </c>
      <c r="Q320" s="12">
        <f>IF(OR($F320="",$G320=""),0,IF(AND($F320&lt;=DATE(README!$B$5,12,31),$G320&gt;=DATE(README!$B$5,1,1)),1,0))</f>
        <v/>
      </c>
      <c r="R320" s="10" t="inlineStr">
        <is>
          <t>GUP-VEH0019</t>
        </is>
      </c>
      <c r="S320" s="11" t="n">
        <v>45777</v>
      </c>
      <c r="T320" s="10" t="inlineStr">
        <is>
          <t>638</t>
        </is>
      </c>
      <c r="U320" s="10" t="inlineStr">
        <is>
          <t>VEHICLE</t>
        </is>
      </c>
      <c r="V320" s="10" t="inlineStr">
        <is>
          <t>T</t>
        </is>
      </c>
      <c r="W320" s="10" t="inlineStr">
        <is>
          <t>VIVEK B</t>
        </is>
      </c>
    </row>
    <row r="321">
      <c r="A321" s="10" t="inlineStr">
        <is>
          <t>TN57BR3434</t>
        </is>
      </c>
      <c r="B321" s="10" t="inlineStr">
        <is>
          <t>SOCKS</t>
        </is>
      </c>
      <c r="C321" s="10" t="inlineStr">
        <is>
          <t>ROAD TAX</t>
        </is>
      </c>
      <c r="D321" s="10" t="inlineStr">
        <is>
          <t>ROAD TAX</t>
        </is>
      </c>
      <c r="E321" s="10" t="inlineStr">
        <is>
          <t>QUARTER - IV</t>
        </is>
      </c>
      <c r="F321" s="11" t="n">
        <v>46023</v>
      </c>
      <c r="G321" s="11" t="n">
        <v>46112</v>
      </c>
      <c r="H321" s="12">
        <f>IF(OR($F321="",$G321=""),"",$G321-$F321+1)</f>
        <v/>
      </c>
      <c r="I321" s="10">
        <f>IF($F321="","",IF(MONTH($F321)&gt;=4,YEAR($F321)&amp;"-"&amp;TEXT(YEAR($F321)+1-2000,"00"),YEAR($F321)-1&amp;"-"&amp;TEXT(YEAR($F321)-2000,"00")))</f>
        <v/>
      </c>
      <c r="J321" s="13" t="n">
        <v>32734</v>
      </c>
      <c r="K321" s="14">
        <f>IFERROR($L321/$J321,"")</f>
        <v/>
      </c>
      <c r="L321" s="13" t="n">
        <v>32734</v>
      </c>
      <c r="M321" s="13">
        <f>IFERROR($L321/$H321,"")</f>
        <v/>
      </c>
      <c r="N321" s="11" t="n">
        <v>46030</v>
      </c>
      <c r="O321" s="10">
        <f>IF($N321="","No","Yes")</f>
        <v/>
      </c>
      <c r="P321" s="12">
        <f>IF(OR($F321="",$G321=""),0,IF(AND($F321&lt;=README!$B$4,README!$B$4&lt;=$G321),1,0))</f>
        <v/>
      </c>
      <c r="Q321" s="12">
        <f>IF(OR($F321="",$G321=""),0,IF(AND($F321&lt;=DATE(README!$B$5,12,31),$G321&gt;=DATE(README!$B$5,1,1)),1,0))</f>
        <v/>
      </c>
      <c r="R321" s="10" t="inlineStr">
        <is>
          <t>GUP-VEH0014</t>
        </is>
      </c>
      <c r="S321" s="11" t="n">
        <v>45748</v>
      </c>
      <c r="T321" s="10" t="inlineStr">
        <is>
          <t>609</t>
        </is>
      </c>
      <c r="U321" s="10" t="inlineStr">
        <is>
          <t>VEHICLE</t>
        </is>
      </c>
      <c r="V321" s="10" t="inlineStr">
        <is>
          <t>T</t>
        </is>
      </c>
      <c r="W321" s="10" t="inlineStr">
        <is>
          <t>VIVEK B</t>
        </is>
      </c>
    </row>
    <row r="322">
      <c r="A322" s="10" t="inlineStr">
        <is>
          <t>TN57BR3434</t>
        </is>
      </c>
      <c r="B322" s="10" t="inlineStr">
        <is>
          <t>GENERAL</t>
        </is>
      </c>
      <c r="C322" s="10" t="inlineStr">
        <is>
          <t>VEHICLE OUTSIDE SERVICES</t>
        </is>
      </c>
      <c r="D322" s="10" t="inlineStr">
        <is>
          <t>MAINTENANCE SERVICE - 4</t>
        </is>
      </c>
      <c r="E322" s="10" t="inlineStr">
        <is>
          <t>MARCH</t>
        </is>
      </c>
      <c r="F322" s="11" t="n">
        <v>46082</v>
      </c>
      <c r="G322" s="11" t="n">
        <v>46112</v>
      </c>
      <c r="H322" s="12">
        <f>IF(OR($F322="",$G322=""),"",$G322-$F322+1)</f>
        <v/>
      </c>
      <c r="I322" s="10">
        <f>IF($F322="","",IF(MONTH($F322)&gt;=4,YEAR($F322)&amp;"-"&amp;TEXT(YEAR($F322)+1-2000,"00"),YEAR($F322)-1&amp;"-"&amp;TEXT(YEAR($F322)-2000,"00")))</f>
        <v/>
      </c>
      <c r="J322" s="13" t="n">
        <v>33219.33</v>
      </c>
      <c r="K322" s="14">
        <f>IFERROR($L322/$J322,"")</f>
        <v/>
      </c>
      <c r="L322" s="13" t="n">
        <v>33219.33</v>
      </c>
      <c r="M322" s="13">
        <f>IFERROR($L322/$H322,"")</f>
        <v/>
      </c>
      <c r="N322" s="11" t="n">
        <v>46083</v>
      </c>
      <c r="O322" s="10">
        <f>IF($N322="","No","Yes")</f>
        <v/>
      </c>
      <c r="P322" s="12">
        <f>IF(OR($F322="",$G322=""),0,IF(AND($F322&lt;=README!$B$4,README!$B$4&lt;=$G322),1,0))</f>
        <v/>
      </c>
      <c r="Q322" s="12">
        <f>IF(OR($F322="",$G322=""),0,IF(AND($F322&lt;=DATE(README!$B$5,12,31),$G322&gt;=DATE(README!$B$5,1,1)),1,0))</f>
        <v/>
      </c>
      <c r="R322" s="10" t="inlineStr">
        <is>
          <t>GUP-VEH0019</t>
        </is>
      </c>
      <c r="S322" s="11" t="n">
        <v>45777</v>
      </c>
      <c r="T322" s="10" t="inlineStr">
        <is>
          <t>638</t>
        </is>
      </c>
      <c r="U322" s="10" t="inlineStr">
        <is>
          <t>VEHICLE</t>
        </is>
      </c>
      <c r="V322" s="10" t="inlineStr">
        <is>
          <t>T</t>
        </is>
      </c>
      <c r="W322" s="10" t="inlineStr">
        <is>
          <t>VIVEK B</t>
        </is>
      </c>
    </row>
    <row r="323">
      <c r="A323" s="10" t="inlineStr">
        <is>
          <t>TN57BR3434</t>
        </is>
      </c>
      <c r="B323" s="10" t="inlineStr">
        <is>
          <t>SOCKS</t>
        </is>
      </c>
      <c r="C323" s="10" t="inlineStr">
        <is>
          <t>ROAD TAX</t>
        </is>
      </c>
      <c r="D323" s="10" t="inlineStr">
        <is>
          <t>ROAD TAX</t>
        </is>
      </c>
      <c r="E323" s="10" t="inlineStr">
        <is>
          <t>QUARTER - I</t>
        </is>
      </c>
      <c r="F323" s="11" t="n">
        <v>46113</v>
      </c>
      <c r="G323" s="11" t="n">
        <v>46203</v>
      </c>
      <c r="H323" s="12">
        <f>IF(OR($F323="",$G323=""),"",$G323-$F323+1)</f>
        <v/>
      </c>
      <c r="I323" s="10">
        <f>IF($F323="","",IF(MONTH($F323)&gt;=4,YEAR($F323)&amp;"-"&amp;TEXT(YEAR($F323)+1-2000,"00"),YEAR($F323)-1&amp;"-"&amp;TEXT(YEAR($F323)-2000,"00")))</f>
        <v/>
      </c>
      <c r="J323" s="13" t="n">
        <v>32734</v>
      </c>
      <c r="K323" s="14">
        <f>IFERROR($L323/$J323,"")</f>
        <v/>
      </c>
      <c r="L323" s="13" t="n">
        <v>32734</v>
      </c>
      <c r="M323" s="13">
        <f>IFERROR($L323/$H323,"")</f>
        <v/>
      </c>
      <c r="N323" s="11" t="n">
        <v>46088</v>
      </c>
      <c r="O323" s="10">
        <f>IF($N323="","No","Yes")</f>
        <v/>
      </c>
      <c r="P323" s="12">
        <f>IF(OR($F323="",$G323=""),0,IF(AND($F323&lt;=README!$B$4,README!$B$4&lt;=$G323),1,0))</f>
        <v/>
      </c>
      <c r="Q323" s="12">
        <f>IF(OR($F323="",$G323=""),0,IF(AND($F323&lt;=DATE(README!$B$5,12,31),$G323&gt;=DATE(README!$B$5,1,1)),1,0))</f>
        <v/>
      </c>
      <c r="R323" s="10" t="inlineStr">
        <is>
          <t>GUP-VEH0030</t>
        </is>
      </c>
      <c r="S323" s="11" t="n">
        <v>46113</v>
      </c>
      <c r="T323" s="10" t="inlineStr">
        <is>
          <t>796</t>
        </is>
      </c>
      <c r="U323" s="10" t="inlineStr">
        <is>
          <t>VEHICLE</t>
        </is>
      </c>
      <c r="V323" s="10" t="inlineStr">
        <is>
          <t>T</t>
        </is>
      </c>
      <c r="W323" s="10" t="inlineStr">
        <is>
          <t>VIVEK B</t>
        </is>
      </c>
    </row>
    <row r="324">
      <c r="A324" s="10" t="inlineStr">
        <is>
          <t>TN57BR3434</t>
        </is>
      </c>
      <c r="B324" s="10" t="inlineStr">
        <is>
          <t>SOCKS</t>
        </is>
      </c>
      <c r="C324" s="10" t="inlineStr">
        <is>
          <t>ROAD TAX</t>
        </is>
      </c>
      <c r="D324" s="10" t="inlineStr">
        <is>
          <t>ROAD TAX</t>
        </is>
      </c>
      <c r="E324" s="10" t="inlineStr">
        <is>
          <t>QUARTER - II</t>
        </is>
      </c>
      <c r="F324" s="11" t="n">
        <v>46204</v>
      </c>
      <c r="G324" s="11" t="n">
        <v>46295</v>
      </c>
      <c r="H324" s="12">
        <f>IF(OR($F324="",$G324=""),"",$G324-$F324+1)</f>
        <v/>
      </c>
      <c r="I324" s="10">
        <f>IF($F324="","",IF(MONTH($F324)&gt;=4,YEAR($F324)&amp;"-"&amp;TEXT(YEAR($F324)+1-2000,"00"),YEAR($F324)-1&amp;"-"&amp;TEXT(YEAR($F324)-2000,"00")))</f>
        <v/>
      </c>
      <c r="J324" s="13" t="n">
        <v>32734</v>
      </c>
      <c r="K324" s="14">
        <f>IFERROR($L324/$J324,"")</f>
        <v/>
      </c>
      <c r="L324" s="13" t="n">
        <v>32734</v>
      </c>
      <c r="M324" s="13">
        <f>IFERROR($L324/$H324,"")</f>
        <v/>
      </c>
      <c r="N324" s="11" t="n">
        <v>46196</v>
      </c>
      <c r="O324" s="10">
        <f>IF($N324="","No","Yes")</f>
        <v/>
      </c>
      <c r="P324" s="12">
        <f>IF(OR($F324="",$G324=""),0,IF(AND($F324&lt;=README!$B$4,README!$B$4&lt;=$G324),1,0))</f>
        <v/>
      </c>
      <c r="Q324" s="12">
        <f>IF(OR($F324="",$G324=""),0,IF(AND($F324&lt;=DATE(README!$B$5,12,31),$G324&gt;=DATE(README!$B$5,1,1)),1,0))</f>
        <v/>
      </c>
      <c r="R324" s="10" t="inlineStr">
        <is>
          <t>GUP-VEH0030</t>
        </is>
      </c>
      <c r="S324" s="11" t="n">
        <v>46113</v>
      </c>
      <c r="T324" s="10" t="inlineStr">
        <is>
          <t>796</t>
        </is>
      </c>
      <c r="U324" s="10" t="inlineStr">
        <is>
          <t>VEHICLE</t>
        </is>
      </c>
      <c r="V324" s="10" t="inlineStr">
        <is>
          <t>T</t>
        </is>
      </c>
      <c r="W324" s="10" t="inlineStr">
        <is>
          <t>VIVEK B</t>
        </is>
      </c>
    </row>
    <row r="325">
      <c r="A325" s="10" t="inlineStr">
        <is>
          <t>TN57BS3142</t>
        </is>
      </c>
      <c r="B325" s="10" t="inlineStr">
        <is>
          <t>WOVEN</t>
        </is>
      </c>
      <c r="C325" s="10" t="inlineStr">
        <is>
          <t>VEHICLE OUTSIDE SERVICES</t>
        </is>
      </c>
      <c r="D325" s="10" t="inlineStr">
        <is>
          <t xml:space="preserve">MAINTENANCE SERVICE </t>
        </is>
      </c>
      <c r="E325" s="10" t="inlineStr">
        <is>
          <t>YEARLY</t>
        </is>
      </c>
      <c r="F325" s="11" t="n">
        <v>45383</v>
      </c>
      <c r="G325" s="11" t="n">
        <v>45747</v>
      </c>
      <c r="H325" s="12">
        <f>IF(OR($F325="",$G325=""),"",$G325-$F325+1)</f>
        <v/>
      </c>
      <c r="I325" s="10">
        <f>IF($F325="","",IF(MONTH($F325)&gt;=4,YEAR($F325)&amp;"-"&amp;TEXT(YEAR($F325)+1-2000,"00"),YEAR($F325)-1&amp;"-"&amp;TEXT(YEAR($F325)-2000,"00")))</f>
        <v/>
      </c>
      <c r="J325" s="13" t="n">
        <v>10764</v>
      </c>
      <c r="K325" s="14">
        <f>IFERROR($L325/$J325,"")</f>
        <v/>
      </c>
      <c r="L325" s="13" t="n">
        <v>10764</v>
      </c>
      <c r="M325" s="13">
        <f>IFERROR($L325/$H325,"")</f>
        <v/>
      </c>
      <c r="N325" s="11" t="n">
        <v>45735</v>
      </c>
      <c r="O325" s="10">
        <f>IF($N325="","No","Yes")</f>
        <v/>
      </c>
      <c r="P325" s="12">
        <f>IF(OR($F325="",$G325=""),0,IF(AND($F325&lt;=README!$B$4,README!$B$4&lt;=$G325),1,0))</f>
        <v/>
      </c>
      <c r="Q325" s="12">
        <f>IF(OR($F325="",$G325=""),0,IF(AND($F325&lt;=DATE(README!$B$5,12,31),$G325&gt;=DATE(README!$B$5,1,1)),1,0))</f>
        <v/>
      </c>
      <c r="R325" s="10" t="inlineStr">
        <is>
          <t>GUT-VEH0013</t>
        </is>
      </c>
      <c r="S325" s="11" t="n">
        <v>45527</v>
      </c>
      <c r="T325" s="10" t="inlineStr">
        <is>
          <t>3</t>
        </is>
      </c>
      <c r="U325" s="10" t="inlineStr">
        <is>
          <t>VEHICLE</t>
        </is>
      </c>
      <c r="V325" s="10" t="inlineStr">
        <is>
          <t>T</t>
        </is>
      </c>
      <c r="W325" s="10" t="inlineStr">
        <is>
          <t>VIVEK B</t>
        </is>
      </c>
    </row>
    <row r="326">
      <c r="A326" s="10" t="inlineStr">
        <is>
          <t>TN57BS3142</t>
        </is>
      </c>
      <c r="B326" s="10" t="inlineStr">
        <is>
          <t>WOVEN</t>
        </is>
      </c>
      <c r="C326" s="10" t="inlineStr">
        <is>
          <t>VEHICLE INSURANCE</t>
        </is>
      </c>
      <c r="D326" s="10" t="inlineStr">
        <is>
          <t>VEHICLE INSURANCE</t>
        </is>
      </c>
      <c r="E326" s="10" t="inlineStr">
        <is>
          <t>YEARLY</t>
        </is>
      </c>
      <c r="F326" s="11" t="n">
        <v>45748</v>
      </c>
      <c r="G326" s="11" t="n">
        <v>46112</v>
      </c>
      <c r="H326" s="12">
        <f>IF(OR($F326="",$G326=""),"",$G326-$F326+1)</f>
        <v/>
      </c>
      <c r="I326" s="10">
        <f>IF($F326="","",IF(MONTH($F326)&gt;=4,YEAR($F326)&amp;"-"&amp;TEXT(YEAR($F326)+1-2000,"00"),YEAR($F326)-1&amp;"-"&amp;TEXT(YEAR($F326)-2000,"00")))</f>
        <v/>
      </c>
      <c r="J326" s="13" t="n">
        <v>34475</v>
      </c>
      <c r="K326" s="14">
        <f>IFERROR($L326/$J326,"")</f>
        <v/>
      </c>
      <c r="L326" s="13" t="n">
        <v>34475</v>
      </c>
      <c r="M326" s="13">
        <f>IFERROR($L326/$H326,"")</f>
        <v/>
      </c>
      <c r="N326" s="11" t="n">
        <v>45864</v>
      </c>
      <c r="O326" s="10">
        <f>IF($N326="","No","Yes")</f>
        <v/>
      </c>
      <c r="P326" s="12">
        <f>IF(OR($F326="",$G326=""),0,IF(AND($F326&lt;=README!$B$4,README!$B$4&lt;=$G326),1,0))</f>
        <v/>
      </c>
      <c r="Q326" s="12">
        <f>IF(OR($F326="",$G326=""),0,IF(AND($F326&lt;=DATE(README!$B$5,12,31),$G326&gt;=DATE(README!$B$5,1,1)),1,0))</f>
        <v/>
      </c>
      <c r="R326" s="10" t="inlineStr">
        <is>
          <t>GUT-VEH0019</t>
        </is>
      </c>
      <c r="S326" s="11" t="n">
        <v>45799</v>
      </c>
      <c r="T326" s="10" t="inlineStr">
        <is>
          <t>5</t>
        </is>
      </c>
      <c r="U326" s="10" t="inlineStr">
        <is>
          <t>VEHICLE</t>
        </is>
      </c>
      <c r="V326" s="10" t="inlineStr">
        <is>
          <t>T</t>
        </is>
      </c>
      <c r="W326" s="10" t="inlineStr">
        <is>
          <t>VIVEK B</t>
        </is>
      </c>
    </row>
    <row r="327">
      <c r="A327" s="10" t="inlineStr">
        <is>
          <t>TN57BS3142</t>
        </is>
      </c>
      <c r="B327" s="10" t="inlineStr"/>
      <c r="C327" s="10" t="inlineStr">
        <is>
          <t>VEHICLE OUTSIDE SERVICES</t>
        </is>
      </c>
      <c r="D327" s="10" t="inlineStr">
        <is>
          <t xml:space="preserve">MAINTENANCE SERVICE </t>
        </is>
      </c>
      <c r="E327" s="10" t="inlineStr">
        <is>
          <t>YEARLY</t>
        </is>
      </c>
      <c r="F327" s="11" t="n">
        <v>45748</v>
      </c>
      <c r="G327" s="11" t="n">
        <v>46112</v>
      </c>
      <c r="H327" s="12">
        <f>IF(OR($F327="",$G327=""),"",$G327-$F327+1)</f>
        <v/>
      </c>
      <c r="I327" s="10">
        <f>IF($F327="","",IF(MONTH($F327)&gt;=4,YEAR($F327)&amp;"-"&amp;TEXT(YEAR($F327)+1-2000,"00"),YEAR($F327)-1&amp;"-"&amp;TEXT(YEAR($F327)-2000,"00")))</f>
        <v/>
      </c>
      <c r="J327" s="13" t="n">
        <v>12704</v>
      </c>
      <c r="K327" s="14">
        <f>IFERROR($L327/$J327,"")</f>
        <v/>
      </c>
      <c r="L327" s="13" t="n">
        <v>12704</v>
      </c>
      <c r="M327" s="13">
        <f>IFERROR($L327/$H327,"")</f>
        <v/>
      </c>
      <c r="N327" s="11" t="n">
        <v>45875</v>
      </c>
      <c r="O327" s="10">
        <f>IF($N327="","No","Yes")</f>
        <v/>
      </c>
      <c r="P327" s="12">
        <f>IF(OR($F327="",$G327=""),0,IF(AND($F327&lt;=README!$B$4,README!$B$4&lt;=$G327),1,0))</f>
        <v/>
      </c>
      <c r="Q327" s="12">
        <f>IF(OR($F327="",$G327=""),0,IF(AND($F327&lt;=DATE(README!$B$5,12,31),$G327&gt;=DATE(README!$B$5,1,1)),1,0))</f>
        <v/>
      </c>
      <c r="R327" s="10" t="inlineStr">
        <is>
          <t>GUT-VEH0021</t>
        </is>
      </c>
      <c r="S327" s="11" t="n">
        <v>45812</v>
      </c>
      <c r="T327" s="10" t="inlineStr">
        <is>
          <t>5</t>
        </is>
      </c>
      <c r="U327" s="10" t="inlineStr">
        <is>
          <t>VEHICLE</t>
        </is>
      </c>
      <c r="V327" s="10" t="inlineStr">
        <is>
          <t>T</t>
        </is>
      </c>
      <c r="W327" s="10" t="inlineStr">
        <is>
          <t>VIVEK B</t>
        </is>
      </c>
    </row>
    <row r="328">
      <c r="A328" s="10" t="inlineStr">
        <is>
          <t>TN57BS3142</t>
        </is>
      </c>
      <c r="B328" s="10" t="inlineStr"/>
      <c r="C328" s="10" t="inlineStr">
        <is>
          <t>VEHICLE OUTSIDE SERVICES</t>
        </is>
      </c>
      <c r="D328" s="10" t="inlineStr">
        <is>
          <t>MAINTENANCE SERVICE - 2</t>
        </is>
      </c>
      <c r="E328" s="10" t="inlineStr">
        <is>
          <t>FEBRUARY</t>
        </is>
      </c>
      <c r="F328" s="11" t="n">
        <v>46054</v>
      </c>
      <c r="G328" s="11" t="n">
        <v>46081</v>
      </c>
      <c r="H328" s="12">
        <f>IF(OR($F328="",$G328=""),"",$G328-$F328+1)</f>
        <v/>
      </c>
      <c r="I328" s="10">
        <f>IF($F328="","",IF(MONTH($F328)&gt;=4,YEAR($F328)&amp;"-"&amp;TEXT(YEAR($F328)+1-2000,"00"),YEAR($F328)-1&amp;"-"&amp;TEXT(YEAR($F328)-2000,"00")))</f>
        <v/>
      </c>
      <c r="J328" s="13" t="n">
        <v>9712</v>
      </c>
      <c r="K328" s="14">
        <f>IFERROR($L328/$J328,"")</f>
        <v/>
      </c>
      <c r="L328" s="13" t="n">
        <v>9712</v>
      </c>
      <c r="M328" s="13">
        <f>IFERROR($L328/$H328,"")</f>
        <v/>
      </c>
      <c r="N328" s="11" t="n">
        <v>46065</v>
      </c>
      <c r="O328" s="10">
        <f>IF($N328="","No","Yes")</f>
        <v/>
      </c>
      <c r="P328" s="12">
        <f>IF(OR($F328="",$G328=""),0,IF(AND($F328&lt;=README!$B$4,README!$B$4&lt;=$G328),1,0))</f>
        <v/>
      </c>
      <c r="Q328" s="12">
        <f>IF(OR($F328="",$G328=""),0,IF(AND($F328&lt;=DATE(README!$B$5,12,31),$G328&gt;=DATE(README!$B$5,1,1)),1,0))</f>
        <v/>
      </c>
      <c r="R328" s="10" t="inlineStr">
        <is>
          <t>GUT-VEH0021</t>
        </is>
      </c>
      <c r="S328" s="11" t="n">
        <v>45812</v>
      </c>
      <c r="T328" s="10" t="inlineStr">
        <is>
          <t>5</t>
        </is>
      </c>
      <c r="U328" s="10" t="inlineStr">
        <is>
          <t>VEHICLE</t>
        </is>
      </c>
      <c r="V328" s="10" t="inlineStr">
        <is>
          <t>T</t>
        </is>
      </c>
      <c r="W328" s="10" t="inlineStr">
        <is>
          <t>VIVEK B</t>
        </is>
      </c>
    </row>
    <row r="329">
      <c r="A329" s="10" t="inlineStr">
        <is>
          <t>TN57BS3142</t>
        </is>
      </c>
      <c r="B329" s="10" t="inlineStr">
        <is>
          <t>WOVEN</t>
        </is>
      </c>
      <c r="C329" s="10" t="inlineStr">
        <is>
          <t>VEHICLE INSURANCE</t>
        </is>
      </c>
      <c r="D329" s="10" t="inlineStr">
        <is>
          <t>VEHICLE INSURANCE</t>
        </is>
      </c>
      <c r="E329" s="10" t="inlineStr">
        <is>
          <t>YEARLY</t>
        </is>
      </c>
      <c r="F329" s="11" t="n">
        <v>46113</v>
      </c>
      <c r="G329" s="11" t="n">
        <v>46477</v>
      </c>
      <c r="H329" s="12">
        <f>IF(OR($F329="",$G329=""),"",$G329-$F329+1)</f>
        <v/>
      </c>
      <c r="I329" s="10">
        <f>IF($F329="","",IF(MONTH($F329)&gt;=4,YEAR($F329)&amp;"-"&amp;TEXT(YEAR($F329)+1-2000,"00"),YEAR($F329)-1&amp;"-"&amp;TEXT(YEAR($F329)-2000,"00")))</f>
        <v/>
      </c>
      <c r="J329" s="13" t="n">
        <v>34474</v>
      </c>
      <c r="K329" s="14">
        <f>IFERROR($L329/$J329,"")</f>
        <v/>
      </c>
      <c r="L329" s="13" t="n">
        <v>34474</v>
      </c>
      <c r="M329" s="13">
        <f>IFERROR($L329/$H329,"")</f>
        <v/>
      </c>
      <c r="N329" s="11" t="n">
        <v>46219</v>
      </c>
      <c r="O329" s="10">
        <f>IF($N329="","No","Yes")</f>
        <v/>
      </c>
      <c r="P329" s="12">
        <f>IF(OR($F329="",$G329=""),0,IF(AND($F329&lt;=README!$B$4,README!$B$4&lt;=$G329),1,0))</f>
        <v/>
      </c>
      <c r="Q329" s="12">
        <f>IF(OR($F329="",$G329=""),0,IF(AND($F329&lt;=DATE(README!$B$5,12,31),$G329&gt;=DATE(README!$B$5,1,1)),1,0))</f>
        <v/>
      </c>
      <c r="R329" s="10" t="inlineStr">
        <is>
          <t>GUT-VEH0035</t>
        </is>
      </c>
      <c r="S329" s="11" t="n">
        <v>46162</v>
      </c>
      <c r="T329" s="10" t="inlineStr">
        <is>
          <t>5</t>
        </is>
      </c>
      <c r="U329" s="10" t="inlineStr">
        <is>
          <t>VEHICLE</t>
        </is>
      </c>
      <c r="V329" s="10" t="inlineStr">
        <is>
          <t>T</t>
        </is>
      </c>
      <c r="W329" s="10" t="inlineStr">
        <is>
          <t>VIVEK B</t>
        </is>
      </c>
    </row>
    <row r="330">
      <c r="A330" s="10" t="inlineStr">
        <is>
          <t>TN57BS3434</t>
        </is>
      </c>
      <c r="B330" s="10" t="inlineStr">
        <is>
          <t>WOVEN</t>
        </is>
      </c>
      <c r="C330" s="10" t="inlineStr">
        <is>
          <t>ADBLU</t>
        </is>
      </c>
      <c r="D330" s="10" t="inlineStr">
        <is>
          <t>ADBLU</t>
        </is>
      </c>
      <c r="E330" s="10" t="inlineStr">
        <is>
          <t>YEARLY</t>
        </is>
      </c>
      <c r="F330" s="11" t="n">
        <v>45383</v>
      </c>
      <c r="G330" s="11" t="n">
        <v>45747</v>
      </c>
      <c r="H330" s="12">
        <f>IF(OR($F330="",$G330=""),"",$G330-$F330+1)</f>
        <v/>
      </c>
      <c r="I330" s="10">
        <f>IF($F330="","",IF(MONTH($F330)&gt;=4,YEAR($F330)&amp;"-"&amp;TEXT(YEAR($F330)+1-2000,"00"),YEAR($F330)-1&amp;"-"&amp;TEXT(YEAR($F330)-2000,"00")))</f>
        <v/>
      </c>
      <c r="J330" s="13" t="n">
        <v>61</v>
      </c>
      <c r="K330" s="14">
        <f>IFERROR($L330/$J330,"")</f>
        <v/>
      </c>
      <c r="L330" s="13" t="n">
        <v>3172</v>
      </c>
      <c r="M330" s="13">
        <f>IFERROR($L330/$H330,"")</f>
        <v/>
      </c>
      <c r="N330" s="11" t="n">
        <v>45602</v>
      </c>
      <c r="O330" s="10">
        <f>IF($N330="","No","Yes")</f>
        <v/>
      </c>
      <c r="P330" s="12">
        <f>IF(OR($F330="",$G330=""),0,IF(AND($F330&lt;=README!$B$4,README!$B$4&lt;=$G330),1,0))</f>
        <v/>
      </c>
      <c r="Q330" s="12">
        <f>IF(OR($F330="",$G330=""),0,IF(AND($F330&lt;=DATE(README!$B$5,12,31),$G330&gt;=DATE(README!$B$5,1,1)),1,0))</f>
        <v/>
      </c>
      <c r="R330" s="10" t="inlineStr">
        <is>
          <t>GUT-VEH0008</t>
        </is>
      </c>
      <c r="S330" s="11" t="n">
        <v>45475</v>
      </c>
      <c r="T330" s="10" t="inlineStr">
        <is>
          <t>3</t>
        </is>
      </c>
      <c r="U330" s="10" t="inlineStr">
        <is>
          <t>VEHICLE</t>
        </is>
      </c>
      <c r="V330" s="10" t="inlineStr">
        <is>
          <t>T</t>
        </is>
      </c>
      <c r="W330" s="10" t="inlineStr">
        <is>
          <t>VIVEK B</t>
        </is>
      </c>
    </row>
    <row r="331">
      <c r="A331" s="10" t="inlineStr">
        <is>
          <t>TN57BS3434</t>
        </is>
      </c>
      <c r="B331" s="10" t="inlineStr">
        <is>
          <t>WOVEN</t>
        </is>
      </c>
      <c r="C331" s="10" t="inlineStr">
        <is>
          <t>ADBLU</t>
        </is>
      </c>
      <c r="D331" s="10" t="inlineStr">
        <is>
          <t>ADBLU</t>
        </is>
      </c>
      <c r="E331" s="10" t="inlineStr">
        <is>
          <t>YEARLY</t>
        </is>
      </c>
      <c r="F331" s="11" t="n">
        <v>45383</v>
      </c>
      <c r="G331" s="11" t="n">
        <v>45747</v>
      </c>
      <c r="H331" s="12">
        <f>IF(OR($F331="",$G331=""),"",$G331-$F331+1)</f>
        <v/>
      </c>
      <c r="I331" s="10">
        <f>IF($F331="","",IF(MONTH($F331)&gt;=4,YEAR($F331)&amp;"-"&amp;TEXT(YEAR($F331)+1-2000,"00"),YEAR($F331)-1&amp;"-"&amp;TEXT(YEAR($F331)-2000,"00")))</f>
        <v/>
      </c>
      <c r="J331" s="13" t="n">
        <v>61</v>
      </c>
      <c r="K331" s="14">
        <f>IFERROR($L331/$J331,"")</f>
        <v/>
      </c>
      <c r="L331" s="13" t="n">
        <v>3172</v>
      </c>
      <c r="M331" s="13">
        <f>IFERROR($L331/$H331,"")</f>
        <v/>
      </c>
      <c r="N331" s="11" t="n">
        <v>45623</v>
      </c>
      <c r="O331" s="10">
        <f>IF($N331="","No","Yes")</f>
        <v/>
      </c>
      <c r="P331" s="12">
        <f>IF(OR($F331="",$G331=""),0,IF(AND($F331&lt;=README!$B$4,README!$B$4&lt;=$G331),1,0))</f>
        <v/>
      </c>
      <c r="Q331" s="12">
        <f>IF(OR($F331="",$G331=""),0,IF(AND($F331&lt;=DATE(README!$B$5,12,31),$G331&gt;=DATE(README!$B$5,1,1)),1,0))</f>
        <v/>
      </c>
      <c r="R331" s="10" t="inlineStr">
        <is>
          <t>GUT-VEH0008</t>
        </is>
      </c>
      <c r="S331" s="11" t="n">
        <v>45475</v>
      </c>
      <c r="T331" s="10" t="inlineStr">
        <is>
          <t>3</t>
        </is>
      </c>
      <c r="U331" s="10" t="inlineStr">
        <is>
          <t>VEHICLE</t>
        </is>
      </c>
      <c r="V331" s="10" t="inlineStr">
        <is>
          <t>T</t>
        </is>
      </c>
      <c r="W331" s="10" t="inlineStr">
        <is>
          <t>VIVEK B</t>
        </is>
      </c>
    </row>
    <row r="332">
      <c r="A332" s="10" t="inlineStr">
        <is>
          <t>TN57BS3434</t>
        </is>
      </c>
      <c r="B332" s="10" t="inlineStr">
        <is>
          <t>WOVEN</t>
        </is>
      </c>
      <c r="C332" s="10" t="inlineStr">
        <is>
          <t>ADBLU</t>
        </is>
      </c>
      <c r="D332" s="10" t="inlineStr">
        <is>
          <t>ADBLU</t>
        </is>
      </c>
      <c r="E332" s="10" t="inlineStr">
        <is>
          <t>YEARLY</t>
        </is>
      </c>
      <c r="F332" s="11" t="n">
        <v>45383</v>
      </c>
      <c r="G332" s="11" t="n">
        <v>45747</v>
      </c>
      <c r="H332" s="12">
        <f>IF(OR($F332="",$G332=""),"",$G332-$F332+1)</f>
        <v/>
      </c>
      <c r="I332" s="10">
        <f>IF($F332="","",IF(MONTH($F332)&gt;=4,YEAR($F332)&amp;"-"&amp;TEXT(YEAR($F332)+1-2000,"00"),YEAR($F332)-1&amp;"-"&amp;TEXT(YEAR($F332)-2000,"00")))</f>
        <v/>
      </c>
      <c r="J332" s="13" t="n">
        <v>61</v>
      </c>
      <c r="K332" s="14">
        <f>IFERROR($L332/$J332,"")</f>
        <v/>
      </c>
      <c r="L332" s="13" t="n">
        <v>3172</v>
      </c>
      <c r="M332" s="13">
        <f>IFERROR($L332/$H332,"")</f>
        <v/>
      </c>
      <c r="N332" s="11" t="n">
        <v>45479</v>
      </c>
      <c r="O332" s="10">
        <f>IF($N332="","No","Yes")</f>
        <v/>
      </c>
      <c r="P332" s="12">
        <f>IF(OR($F332="",$G332=""),0,IF(AND($F332&lt;=README!$B$4,README!$B$4&lt;=$G332),1,0))</f>
        <v/>
      </c>
      <c r="Q332" s="12">
        <f>IF(OR($F332="",$G332=""),0,IF(AND($F332&lt;=DATE(README!$B$5,12,31),$G332&gt;=DATE(README!$B$5,1,1)),1,0))</f>
        <v/>
      </c>
      <c r="R332" s="10" t="inlineStr">
        <is>
          <t>GUT-VEH0008</t>
        </is>
      </c>
      <c r="S332" s="11" t="n">
        <v>45475</v>
      </c>
      <c r="T332" s="10" t="inlineStr">
        <is>
          <t>3</t>
        </is>
      </c>
      <c r="U332" s="10" t="inlineStr">
        <is>
          <t>VEHICLE</t>
        </is>
      </c>
      <c r="V332" s="10" t="inlineStr">
        <is>
          <t>T</t>
        </is>
      </c>
      <c r="W332" s="10" t="inlineStr">
        <is>
          <t>VIVEK B</t>
        </is>
      </c>
    </row>
    <row r="333">
      <c r="A333" s="10" t="inlineStr">
        <is>
          <t>TN57BS3434</t>
        </is>
      </c>
      <c r="B333" s="10" t="inlineStr">
        <is>
          <t>WOVEN</t>
        </is>
      </c>
      <c r="C333" s="10" t="inlineStr">
        <is>
          <t>ADBLU</t>
        </is>
      </c>
      <c r="D333" s="10" t="inlineStr">
        <is>
          <t>ADBLU</t>
        </is>
      </c>
      <c r="E333" s="10" t="inlineStr">
        <is>
          <t>YEARLY</t>
        </is>
      </c>
      <c r="F333" s="11" t="n">
        <v>45383</v>
      </c>
      <c r="G333" s="11" t="n">
        <v>45747</v>
      </c>
      <c r="H333" s="12">
        <f>IF(OR($F333="",$G333=""),"",$G333-$F333+1)</f>
        <v/>
      </c>
      <c r="I333" s="10">
        <f>IF($F333="","",IF(MONTH($F333)&gt;=4,YEAR($F333)&amp;"-"&amp;TEXT(YEAR($F333)+1-2000,"00"),YEAR($F333)-1&amp;"-"&amp;TEXT(YEAR($F333)-2000,"00")))</f>
        <v/>
      </c>
      <c r="J333" s="13" t="n">
        <v>61</v>
      </c>
      <c r="K333" s="14">
        <f>IFERROR($L333/$J333,"")</f>
        <v/>
      </c>
      <c r="L333" s="13" t="n">
        <v>3172</v>
      </c>
      <c r="M333" s="13">
        <f>IFERROR($L333/$H333,"")</f>
        <v/>
      </c>
      <c r="N333" s="11" t="n">
        <v>45700</v>
      </c>
      <c r="O333" s="10">
        <f>IF($N333="","No","Yes")</f>
        <v/>
      </c>
      <c r="P333" s="12">
        <f>IF(OR($F333="",$G333=""),0,IF(AND($F333&lt;=README!$B$4,README!$B$4&lt;=$G333),1,0))</f>
        <v/>
      </c>
      <c r="Q333" s="12">
        <f>IF(OR($F333="",$G333=""),0,IF(AND($F333&lt;=DATE(README!$B$5,12,31),$G333&gt;=DATE(README!$B$5,1,1)),1,0))</f>
        <v/>
      </c>
      <c r="R333" s="10" t="inlineStr">
        <is>
          <t>GUT-VEH0008</t>
        </is>
      </c>
      <c r="S333" s="11" t="n">
        <v>45475</v>
      </c>
      <c r="T333" s="10" t="inlineStr">
        <is>
          <t>3</t>
        </is>
      </c>
      <c r="U333" s="10" t="inlineStr">
        <is>
          <t>VEHICLE</t>
        </is>
      </c>
      <c r="V333" s="10" t="inlineStr">
        <is>
          <t>T</t>
        </is>
      </c>
      <c r="W333" s="10" t="inlineStr">
        <is>
          <t>VIVEK B</t>
        </is>
      </c>
    </row>
    <row r="334">
      <c r="A334" s="10" t="inlineStr">
        <is>
          <t>TN57BS3434</t>
        </is>
      </c>
      <c r="B334" s="10" t="inlineStr">
        <is>
          <t>WOVEN</t>
        </is>
      </c>
      <c r="C334" s="10" t="inlineStr">
        <is>
          <t>ADBLU</t>
        </is>
      </c>
      <c r="D334" s="10" t="inlineStr">
        <is>
          <t>ADBLU</t>
        </is>
      </c>
      <c r="E334" s="10" t="inlineStr">
        <is>
          <t>YEARLY</t>
        </is>
      </c>
      <c r="F334" s="11" t="n">
        <v>45383</v>
      </c>
      <c r="G334" s="11" t="n">
        <v>45747</v>
      </c>
      <c r="H334" s="12">
        <f>IF(OR($F334="",$G334=""),"",$G334-$F334+1)</f>
        <v/>
      </c>
      <c r="I334" s="10">
        <f>IF($F334="","",IF(MONTH($F334)&gt;=4,YEAR($F334)&amp;"-"&amp;TEXT(YEAR($F334)+1-2000,"00"),YEAR($F334)-1&amp;"-"&amp;TEXT(YEAR($F334)-2000,"00")))</f>
        <v/>
      </c>
      <c r="J334" s="13" t="n">
        <v>61</v>
      </c>
      <c r="K334" s="14">
        <f>IFERROR($L334/$J334,"")</f>
        <v/>
      </c>
      <c r="L334" s="13" t="n">
        <v>3172</v>
      </c>
      <c r="M334" s="13">
        <f>IFERROR($L334/$H334,"")</f>
        <v/>
      </c>
      <c r="N334" s="11" t="n">
        <v>45700</v>
      </c>
      <c r="O334" s="10">
        <f>IF($N334="","No","Yes")</f>
        <v/>
      </c>
      <c r="P334" s="12">
        <f>IF(OR($F334="",$G334=""),0,IF(AND($F334&lt;=README!$B$4,README!$B$4&lt;=$G334),1,0))</f>
        <v/>
      </c>
      <c r="Q334" s="12">
        <f>IF(OR($F334="",$G334=""),0,IF(AND($F334&lt;=DATE(README!$B$5,12,31),$G334&gt;=DATE(README!$B$5,1,1)),1,0))</f>
        <v/>
      </c>
      <c r="R334" s="10" t="inlineStr">
        <is>
          <t>GUT-VEH0008</t>
        </is>
      </c>
      <c r="S334" s="11" t="n">
        <v>45475</v>
      </c>
      <c r="T334" s="10" t="inlineStr">
        <is>
          <t>3</t>
        </is>
      </c>
      <c r="U334" s="10" t="inlineStr">
        <is>
          <t>VEHICLE</t>
        </is>
      </c>
      <c r="V334" s="10" t="inlineStr">
        <is>
          <t>T</t>
        </is>
      </c>
      <c r="W334" s="10" t="inlineStr">
        <is>
          <t>VIVEK B</t>
        </is>
      </c>
    </row>
    <row r="335">
      <c r="A335" s="10" t="inlineStr">
        <is>
          <t>TN57BS3434</t>
        </is>
      </c>
      <c r="B335" s="10" t="inlineStr">
        <is>
          <t>WOVEN</t>
        </is>
      </c>
      <c r="C335" s="10" t="inlineStr">
        <is>
          <t>FC WORK</t>
        </is>
      </c>
      <c r="D335" s="10" t="inlineStr">
        <is>
          <t>FC WORK</t>
        </is>
      </c>
      <c r="E335" s="10" t="inlineStr">
        <is>
          <t>YEARLY</t>
        </is>
      </c>
      <c r="F335" s="11" t="n">
        <v>45383</v>
      </c>
      <c r="G335" s="11" t="n">
        <v>45747</v>
      </c>
      <c r="H335" s="12">
        <f>IF(OR($F335="",$G335=""),"",$G335-$F335+1)</f>
        <v/>
      </c>
      <c r="I335" s="10">
        <f>IF($F335="","",IF(MONTH($F335)&gt;=4,YEAR($F335)&amp;"-"&amp;TEXT(YEAR($F335)+1-2000,"00"),YEAR($F335)-1&amp;"-"&amp;TEXT(YEAR($F335)-2000,"00")))</f>
        <v/>
      </c>
      <c r="J335" s="13" t="n">
        <v>35000</v>
      </c>
      <c r="K335" s="14">
        <f>IFERROR($L335/$J335,"")</f>
        <v/>
      </c>
      <c r="L335" s="13" t="n">
        <v>35000</v>
      </c>
      <c r="M335" s="13">
        <f>IFERROR($L335/$H335,"")</f>
        <v/>
      </c>
      <c r="N335" s="11" t="n">
        <v>45638</v>
      </c>
      <c r="O335" s="10">
        <f>IF($N335="","No","Yes")</f>
        <v/>
      </c>
      <c r="P335" s="12">
        <f>IF(OR($F335="",$G335=""),0,IF(AND($F335&lt;=README!$B$4,README!$B$4&lt;=$G335),1,0))</f>
        <v/>
      </c>
      <c r="Q335" s="12">
        <f>IF(OR($F335="",$G335=""),0,IF(AND($F335&lt;=DATE(README!$B$5,12,31),$G335&gt;=DATE(README!$B$5,1,1)),1,0))</f>
        <v/>
      </c>
      <c r="R335" s="10" t="inlineStr">
        <is>
          <t>GUT-VEH0009</t>
        </is>
      </c>
      <c r="S335" s="11" t="n">
        <v>45475</v>
      </c>
      <c r="T335" s="10" t="inlineStr">
        <is>
          <t>3</t>
        </is>
      </c>
      <c r="U335" s="10" t="inlineStr">
        <is>
          <t>VEHICLE</t>
        </is>
      </c>
      <c r="V335" s="10" t="inlineStr">
        <is>
          <t>T</t>
        </is>
      </c>
      <c r="W335" s="10" t="inlineStr">
        <is>
          <t>VIVEK B</t>
        </is>
      </c>
    </row>
    <row r="336">
      <c r="A336" s="10" t="inlineStr">
        <is>
          <t>TN57BS3434</t>
        </is>
      </c>
      <c r="B336" s="10" t="inlineStr">
        <is>
          <t>WOVEN</t>
        </is>
      </c>
      <c r="C336" s="10" t="inlineStr">
        <is>
          <t>ROAD TAX</t>
        </is>
      </c>
      <c r="D336" s="10" t="inlineStr">
        <is>
          <t>ROAD TAX</t>
        </is>
      </c>
      <c r="E336" s="10" t="inlineStr">
        <is>
          <t>YEARLY</t>
        </is>
      </c>
      <c r="F336" s="11" t="n">
        <v>45383</v>
      </c>
      <c r="G336" s="11" t="n">
        <v>45747</v>
      </c>
      <c r="H336" s="12">
        <f>IF(OR($F336="",$G336=""),"",$G336-$F336+1)</f>
        <v/>
      </c>
      <c r="I336" s="10">
        <f>IF($F336="","",IF(MONTH($F336)&gt;=4,YEAR($F336)&amp;"-"&amp;TEXT(YEAR($F336)+1-2000,"00"),YEAR($F336)-1&amp;"-"&amp;TEXT(YEAR($F336)-2000,"00")))</f>
        <v/>
      </c>
      <c r="J336" s="13" t="n">
        <v>32724</v>
      </c>
      <c r="K336" s="14">
        <f>IFERROR($L336/$J336,"")</f>
        <v/>
      </c>
      <c r="L336" s="13" t="n">
        <v>32724</v>
      </c>
      <c r="M336" s="13">
        <f>IFERROR($L336/$H336,"")</f>
        <v/>
      </c>
      <c r="N336" s="11" t="n">
        <v>45727</v>
      </c>
      <c r="O336" s="10">
        <f>IF($N336="","No","Yes")</f>
        <v/>
      </c>
      <c r="P336" s="12">
        <f>IF(OR($F336="",$G336=""),0,IF(AND($F336&lt;=README!$B$4,README!$B$4&lt;=$G336),1,0))</f>
        <v/>
      </c>
      <c r="Q336" s="12">
        <f>IF(OR($F336="",$G336=""),0,IF(AND($F336&lt;=DATE(README!$B$5,12,31),$G336&gt;=DATE(README!$B$5,1,1)),1,0))</f>
        <v/>
      </c>
      <c r="R336" s="10" t="inlineStr">
        <is>
          <t>GUT-VEH0016</t>
        </is>
      </c>
      <c r="S336" s="11" t="n">
        <v>46023</v>
      </c>
      <c r="T336" s="10" t="inlineStr">
        <is>
          <t>5</t>
        </is>
      </c>
      <c r="U336" s="10" t="inlineStr">
        <is>
          <t>VEHICLE</t>
        </is>
      </c>
      <c r="V336" s="10" t="inlineStr">
        <is>
          <t>T</t>
        </is>
      </c>
      <c r="W336" s="10" t="inlineStr">
        <is>
          <t>VIVEK B</t>
        </is>
      </c>
    </row>
    <row r="337">
      <c r="A337" s="10" t="inlineStr">
        <is>
          <t>TN57BS3434</t>
        </is>
      </c>
      <c r="B337" s="10" t="inlineStr">
        <is>
          <t>WOVEN</t>
        </is>
      </c>
      <c r="C337" s="10" t="inlineStr">
        <is>
          <t>ROAD TAX</t>
        </is>
      </c>
      <c r="D337" s="10" t="inlineStr">
        <is>
          <t>ROAD TAX</t>
        </is>
      </c>
      <c r="E337" s="10" t="inlineStr">
        <is>
          <t>YEARLY</t>
        </is>
      </c>
      <c r="F337" s="11" t="n">
        <v>45383</v>
      </c>
      <c r="G337" s="11" t="n">
        <v>45747</v>
      </c>
      <c r="H337" s="12">
        <f>IF(OR($F337="",$G337=""),"",$G337-$F337+1)</f>
        <v/>
      </c>
      <c r="I337" s="10">
        <f>IF($F337="","",IF(MONTH($F337)&gt;=4,YEAR($F337)&amp;"-"&amp;TEXT(YEAR($F337)+1-2000,"00"),YEAR($F337)-1&amp;"-"&amp;TEXT(YEAR($F337)-2000,"00")))</f>
        <v/>
      </c>
      <c r="J337" s="13" t="n">
        <v>32734</v>
      </c>
      <c r="K337" s="14">
        <f>IFERROR($L337/$J337,"")</f>
        <v/>
      </c>
      <c r="L337" s="13" t="n">
        <v>32734</v>
      </c>
      <c r="M337" s="13">
        <f>IFERROR($L337/$H337,"")</f>
        <v/>
      </c>
      <c r="N337" s="11" t="n">
        <v>45910</v>
      </c>
      <c r="O337" s="10">
        <f>IF($N337="","No","Yes")</f>
        <v/>
      </c>
      <c r="P337" s="12">
        <f>IF(OR($F337="",$G337=""),0,IF(AND($F337&lt;=README!$B$4,README!$B$4&lt;=$G337),1,0))</f>
        <v/>
      </c>
      <c r="Q337" s="12">
        <f>IF(OR($F337="",$G337=""),0,IF(AND($F337&lt;=DATE(README!$B$5,12,31),$G337&gt;=DATE(README!$B$5,1,1)),1,0))</f>
        <v/>
      </c>
      <c r="R337" s="10" t="inlineStr">
        <is>
          <t>GUT-VEH0016</t>
        </is>
      </c>
      <c r="S337" s="11" t="n">
        <v>46023</v>
      </c>
      <c r="T337" s="10" t="inlineStr">
        <is>
          <t>5</t>
        </is>
      </c>
      <c r="U337" s="10" t="inlineStr">
        <is>
          <t>VEHICLE</t>
        </is>
      </c>
      <c r="V337" s="10" t="inlineStr">
        <is>
          <t>T</t>
        </is>
      </c>
      <c r="W337" s="10" t="inlineStr">
        <is>
          <t>VIVEK B</t>
        </is>
      </c>
    </row>
    <row r="338">
      <c r="A338" s="10" t="inlineStr">
        <is>
          <t>TN57BS3434</t>
        </is>
      </c>
      <c r="B338" s="10" t="inlineStr">
        <is>
          <t>WOVEN</t>
        </is>
      </c>
      <c r="C338" s="10" t="inlineStr">
        <is>
          <t>ROAD TAX</t>
        </is>
      </c>
      <c r="D338" s="10" t="inlineStr">
        <is>
          <t>ROAD TAX</t>
        </is>
      </c>
      <c r="E338" s="10" t="inlineStr">
        <is>
          <t>YEARLY</t>
        </is>
      </c>
      <c r="F338" s="11" t="n">
        <v>45383</v>
      </c>
      <c r="G338" s="11" t="n">
        <v>45747</v>
      </c>
      <c r="H338" s="12">
        <f>IF(OR($F338="",$G338=""),"",$G338-$F338+1)</f>
        <v/>
      </c>
      <c r="I338" s="10">
        <f>IF($F338="","",IF(MONTH($F338)&gt;=4,YEAR($F338)&amp;"-"&amp;TEXT(YEAR($F338)+1-2000,"00"),YEAR($F338)-1&amp;"-"&amp;TEXT(YEAR($F338)-2000,"00")))</f>
        <v/>
      </c>
      <c r="J338" s="13" t="n">
        <v>32724</v>
      </c>
      <c r="K338" s="14">
        <f>IFERROR($L338/$J338,"")</f>
        <v/>
      </c>
      <c r="L338" s="13" t="n">
        <v>32724</v>
      </c>
      <c r="M338" s="13">
        <f>IFERROR($L338/$H338,"")</f>
        <v/>
      </c>
      <c r="N338" s="11" t="n">
        <v>45840</v>
      </c>
      <c r="O338" s="10">
        <f>IF($N338="","No","Yes")</f>
        <v/>
      </c>
      <c r="P338" s="12">
        <f>IF(OR($F338="",$G338=""),0,IF(AND($F338&lt;=README!$B$4,README!$B$4&lt;=$G338),1,0))</f>
        <v/>
      </c>
      <c r="Q338" s="12">
        <f>IF(OR($F338="",$G338=""),0,IF(AND($F338&lt;=DATE(README!$B$5,12,31),$G338&gt;=DATE(README!$B$5,1,1)),1,0))</f>
        <v/>
      </c>
      <c r="R338" s="10" t="inlineStr">
        <is>
          <t>GUT-VEH0016</t>
        </is>
      </c>
      <c r="S338" s="11" t="n">
        <v>46023</v>
      </c>
      <c r="T338" s="10" t="inlineStr">
        <is>
          <t>5</t>
        </is>
      </c>
      <c r="U338" s="10" t="inlineStr">
        <is>
          <t>VEHICLE</t>
        </is>
      </c>
      <c r="V338" s="10" t="inlineStr">
        <is>
          <t>T</t>
        </is>
      </c>
      <c r="W338" s="10" t="inlineStr">
        <is>
          <t>VIVEK B</t>
        </is>
      </c>
    </row>
    <row r="339">
      <c r="A339" s="10" t="inlineStr">
        <is>
          <t>TN57BS3434</t>
        </is>
      </c>
      <c r="B339" s="10" t="inlineStr">
        <is>
          <t>WOVEN</t>
        </is>
      </c>
      <c r="C339" s="10" t="inlineStr">
        <is>
          <t>ROAD TAX</t>
        </is>
      </c>
      <c r="D339" s="10" t="inlineStr">
        <is>
          <t>ROAD TAX</t>
        </is>
      </c>
      <c r="E339" s="10" t="inlineStr">
        <is>
          <t>YEARLY</t>
        </is>
      </c>
      <c r="F339" s="11" t="n">
        <v>45383</v>
      </c>
      <c r="G339" s="11" t="n">
        <v>45747</v>
      </c>
      <c r="H339" s="12">
        <f>IF(OR($F339="",$G339=""),"",$G339-$F339+1)</f>
        <v/>
      </c>
      <c r="I339" s="10">
        <f>IF($F339="","",IF(MONTH($F339)&gt;=4,YEAR($F339)&amp;"-"&amp;TEXT(YEAR($F339)+1-2000,"00"),YEAR($F339)-1&amp;"-"&amp;TEXT(YEAR($F339)-2000,"00")))</f>
        <v/>
      </c>
      <c r="J339" s="13" t="n">
        <v>32724</v>
      </c>
      <c r="K339" s="14">
        <f>IFERROR($L339/$J339,"")</f>
        <v/>
      </c>
      <c r="L339" s="13" t="n">
        <v>32724</v>
      </c>
      <c r="M339" s="13">
        <f>IFERROR($L339/$H339,"")</f>
        <v/>
      </c>
      <c r="N339" s="11" t="n">
        <v>45569</v>
      </c>
      <c r="O339" s="10">
        <f>IF($N339="","No","Yes")</f>
        <v/>
      </c>
      <c r="P339" s="12">
        <f>IF(OR($F339="",$G339=""),0,IF(AND($F339&lt;=README!$B$4,README!$B$4&lt;=$G339),1,0))</f>
        <v/>
      </c>
      <c r="Q339" s="12">
        <f>IF(OR($F339="",$G339=""),0,IF(AND($F339&lt;=DATE(README!$B$5,12,31),$G339&gt;=DATE(README!$B$5,1,1)),1,0))</f>
        <v/>
      </c>
      <c r="R339" s="10" t="inlineStr">
        <is>
          <t>GUT-VEH0011</t>
        </is>
      </c>
      <c r="S339" s="11" t="n">
        <v>45475</v>
      </c>
      <c r="T339" s="10" t="inlineStr">
        <is>
          <t>3</t>
        </is>
      </c>
      <c r="U339" s="10" t="inlineStr">
        <is>
          <t>VEHICLE</t>
        </is>
      </c>
      <c r="V339" s="10" t="inlineStr">
        <is>
          <t>T</t>
        </is>
      </c>
      <c r="W339" s="10" t="inlineStr">
        <is>
          <t>VIVEK B</t>
        </is>
      </c>
    </row>
    <row r="340">
      <c r="A340" s="10" t="inlineStr">
        <is>
          <t>TN57BS3434</t>
        </is>
      </c>
      <c r="B340" s="10" t="inlineStr">
        <is>
          <t>WOVEN</t>
        </is>
      </c>
      <c r="C340" s="10" t="inlineStr">
        <is>
          <t>ROAD TAX</t>
        </is>
      </c>
      <c r="D340" s="10" t="inlineStr">
        <is>
          <t>ROAD TAX</t>
        </is>
      </c>
      <c r="E340" s="10" t="inlineStr">
        <is>
          <t>YEARLY</t>
        </is>
      </c>
      <c r="F340" s="11" t="n">
        <v>45383</v>
      </c>
      <c r="G340" s="11" t="n">
        <v>45747</v>
      </c>
      <c r="H340" s="12">
        <f>IF(OR($F340="",$G340=""),"",$G340-$F340+1)</f>
        <v/>
      </c>
      <c r="I340" s="10">
        <f>IF($F340="","",IF(MONTH($F340)&gt;=4,YEAR($F340)&amp;"-"&amp;TEXT(YEAR($F340)+1-2000,"00"),YEAR($F340)-1&amp;"-"&amp;TEXT(YEAR($F340)-2000,"00")))</f>
        <v/>
      </c>
      <c r="J340" s="13" t="n">
        <v>32724</v>
      </c>
      <c r="K340" s="14">
        <f>IFERROR($L340/$J340,"")</f>
        <v/>
      </c>
      <c r="L340" s="13" t="n">
        <v>32724</v>
      </c>
      <c r="M340" s="13">
        <f>IFERROR($L340/$H340,"")</f>
        <v/>
      </c>
      <c r="N340" s="11" t="n">
        <v>45481</v>
      </c>
      <c r="O340" s="10">
        <f>IF($N340="","No","Yes")</f>
        <v/>
      </c>
      <c r="P340" s="12">
        <f>IF(OR($F340="",$G340=""),0,IF(AND($F340&lt;=README!$B$4,README!$B$4&lt;=$G340),1,0))</f>
        <v/>
      </c>
      <c r="Q340" s="12">
        <f>IF(OR($F340="",$G340=""),0,IF(AND($F340&lt;=DATE(README!$B$5,12,31),$G340&gt;=DATE(README!$B$5,1,1)),1,0))</f>
        <v/>
      </c>
      <c r="R340" s="10" t="inlineStr">
        <is>
          <t>GUT-VEH0011</t>
        </is>
      </c>
      <c r="S340" s="11" t="n">
        <v>45475</v>
      </c>
      <c r="T340" s="10" t="inlineStr">
        <is>
          <t>3</t>
        </is>
      </c>
      <c r="U340" s="10" t="inlineStr">
        <is>
          <t>VEHICLE</t>
        </is>
      </c>
      <c r="V340" s="10" t="inlineStr">
        <is>
          <t>T</t>
        </is>
      </c>
      <c r="W340" s="10" t="inlineStr">
        <is>
          <t>VIVEK B</t>
        </is>
      </c>
    </row>
    <row r="341">
      <c r="A341" s="10" t="inlineStr">
        <is>
          <t>TN57BS3434</t>
        </is>
      </c>
      <c r="B341" s="10" t="inlineStr">
        <is>
          <t>WOVEN</t>
        </is>
      </c>
      <c r="C341" s="10" t="inlineStr">
        <is>
          <t>ROAD TAX</t>
        </is>
      </c>
      <c r="D341" s="10" t="inlineStr">
        <is>
          <t>ROAD TAX</t>
        </is>
      </c>
      <c r="E341" s="10" t="inlineStr">
        <is>
          <t>YEARLY</t>
        </is>
      </c>
      <c r="F341" s="11" t="n">
        <v>45383</v>
      </c>
      <c r="G341" s="11" t="n">
        <v>45747</v>
      </c>
      <c r="H341" s="12">
        <f>IF(OR($F341="",$G341=""),"",$G341-$F341+1)</f>
        <v/>
      </c>
      <c r="I341" s="10">
        <f>IF($F341="","",IF(MONTH($F341)&gt;=4,YEAR($F341)&amp;"-"&amp;TEXT(YEAR($F341)+1-2000,"00"),YEAR($F341)-1&amp;"-"&amp;TEXT(YEAR($F341)-2000,"00")))</f>
        <v/>
      </c>
      <c r="J341" s="13" t="n">
        <v>32724</v>
      </c>
      <c r="K341" s="14">
        <f>IFERROR($L341/$J341,"")</f>
        <v/>
      </c>
      <c r="L341" s="13" t="n">
        <v>32724</v>
      </c>
      <c r="M341" s="13">
        <f>IFERROR($L341/$H341,"")</f>
        <v/>
      </c>
      <c r="N341" s="11" t="n">
        <v>45649</v>
      </c>
      <c r="O341" s="10">
        <f>IF($N341="","No","Yes")</f>
        <v/>
      </c>
      <c r="P341" s="12">
        <f>IF(OR($F341="",$G341=""),0,IF(AND($F341&lt;=README!$B$4,README!$B$4&lt;=$G341),1,0))</f>
        <v/>
      </c>
      <c r="Q341" s="12">
        <f>IF(OR($F341="",$G341=""),0,IF(AND($F341&lt;=DATE(README!$B$5,12,31),$G341&gt;=DATE(README!$B$5,1,1)),1,0))</f>
        <v/>
      </c>
      <c r="R341" s="10" t="inlineStr">
        <is>
          <t>GUT-VEH0011</t>
        </is>
      </c>
      <c r="S341" s="11" t="n">
        <v>45475</v>
      </c>
      <c r="T341" s="10" t="inlineStr">
        <is>
          <t>3</t>
        </is>
      </c>
      <c r="U341" s="10" t="inlineStr">
        <is>
          <t>VEHICLE</t>
        </is>
      </c>
      <c r="V341" s="10" t="inlineStr">
        <is>
          <t>T</t>
        </is>
      </c>
      <c r="W341" s="10" t="inlineStr">
        <is>
          <t>VIVEK B</t>
        </is>
      </c>
    </row>
    <row r="342">
      <c r="A342" s="10" t="inlineStr">
        <is>
          <t>TN57BS3434</t>
        </is>
      </c>
      <c r="B342" s="10" t="inlineStr">
        <is>
          <t>WOVEN</t>
        </is>
      </c>
      <c r="C342" s="10" t="inlineStr">
        <is>
          <t>RTO EXPENSE</t>
        </is>
      </c>
      <c r="D342" s="10" t="inlineStr">
        <is>
          <t>RTO EXPENSE</t>
        </is>
      </c>
      <c r="E342" s="10" t="inlineStr">
        <is>
          <t>YEARLY</t>
        </is>
      </c>
      <c r="F342" s="11" t="n">
        <v>45383</v>
      </c>
      <c r="G342" s="11" t="n">
        <v>45747</v>
      </c>
      <c r="H342" s="12">
        <f>IF(OR($F342="",$G342=""),"",$G342-$F342+1)</f>
        <v/>
      </c>
      <c r="I342" s="10">
        <f>IF($F342="","",IF(MONTH($F342)&gt;=4,YEAR($F342)&amp;"-"&amp;TEXT(YEAR($F342)+1-2000,"00"),YEAR($F342)-1&amp;"-"&amp;TEXT(YEAR($F342)-2000,"00")))</f>
        <v/>
      </c>
      <c r="J342" s="13" t="n">
        <v>12500</v>
      </c>
      <c r="K342" s="14">
        <f>IFERROR($L342/$J342,"")</f>
        <v/>
      </c>
      <c r="L342" s="13" t="n">
        <v>12500</v>
      </c>
      <c r="M342" s="13">
        <f>IFERROR($L342/$H342,"")</f>
        <v/>
      </c>
      <c r="N342" s="11" t="n">
        <v>45638</v>
      </c>
      <c r="O342" s="10">
        <f>IF($N342="","No","Yes")</f>
        <v/>
      </c>
      <c r="P342" s="12">
        <f>IF(OR($F342="",$G342=""),0,IF(AND($F342&lt;=README!$B$4,README!$B$4&lt;=$G342),1,0))</f>
        <v/>
      </c>
      <c r="Q342" s="12">
        <f>IF(OR($F342="",$G342=""),0,IF(AND($F342&lt;=DATE(README!$B$5,12,31),$G342&gt;=DATE(README!$B$5,1,1)),1,0))</f>
        <v/>
      </c>
      <c r="R342" s="10" t="inlineStr">
        <is>
          <t>GUT-VEH0010</t>
        </is>
      </c>
      <c r="S342" s="11" t="n">
        <v>45475</v>
      </c>
      <c r="T342" s="10" t="inlineStr">
        <is>
          <t>3</t>
        </is>
      </c>
      <c r="U342" s="10" t="inlineStr">
        <is>
          <t>VEHICLE</t>
        </is>
      </c>
      <c r="V342" s="10" t="inlineStr">
        <is>
          <t>T</t>
        </is>
      </c>
      <c r="W342" s="10" t="inlineStr">
        <is>
          <t>VIVEK B</t>
        </is>
      </c>
    </row>
    <row r="343">
      <c r="A343" s="10" t="inlineStr">
        <is>
          <t>TN57BS3434</t>
        </is>
      </c>
      <c r="B343" s="10" t="inlineStr">
        <is>
          <t>WOVEN</t>
        </is>
      </c>
      <c r="C343" s="10" t="inlineStr">
        <is>
          <t>TYRE</t>
        </is>
      </c>
      <c r="D343" s="10" t="inlineStr">
        <is>
          <t>TYRE</t>
        </is>
      </c>
      <c r="E343" s="10" t="inlineStr">
        <is>
          <t>YEARLY</t>
        </is>
      </c>
      <c r="F343" s="11" t="n">
        <v>45383</v>
      </c>
      <c r="G343" s="11" t="n">
        <v>45747</v>
      </c>
      <c r="H343" s="12">
        <f>IF(OR($F343="",$G343=""),"",$G343-$F343+1)</f>
        <v/>
      </c>
      <c r="I343" s="10">
        <f>IF($F343="","",IF(MONTH($F343)&gt;=4,YEAR($F343)&amp;"-"&amp;TEXT(YEAR($F343)+1-2000,"00"),YEAR($F343)-1&amp;"-"&amp;TEXT(YEAR($F343)-2000,"00")))</f>
        <v/>
      </c>
      <c r="J343" s="13" t="n">
        <v>30200</v>
      </c>
      <c r="K343" s="14">
        <f>IFERROR($L343/$J343,"")</f>
        <v/>
      </c>
      <c r="L343" s="13" t="n">
        <v>30200</v>
      </c>
      <c r="M343" s="13">
        <f>IFERROR($L343/$H343,"")</f>
        <v/>
      </c>
      <c r="N343" s="11" t="n">
        <v>45554</v>
      </c>
      <c r="O343" s="10">
        <f>IF($N343="","No","Yes")</f>
        <v/>
      </c>
      <c r="P343" s="12">
        <f>IF(OR($F343="",$G343=""),0,IF(AND($F343&lt;=README!$B$4,README!$B$4&lt;=$G343),1,0))</f>
        <v/>
      </c>
      <c r="Q343" s="12">
        <f>IF(OR($F343="",$G343=""),0,IF(AND($F343&lt;=DATE(README!$B$5,12,31),$G343&gt;=DATE(README!$B$5,1,1)),1,0))</f>
        <v/>
      </c>
      <c r="R343" s="10" t="inlineStr">
        <is>
          <t>GUT-VEH0006</t>
        </is>
      </c>
      <c r="S343" s="11" t="n">
        <v>45437</v>
      </c>
      <c r="T343" s="10" t="inlineStr">
        <is>
          <t>3</t>
        </is>
      </c>
      <c r="U343" s="10" t="inlineStr">
        <is>
          <t>VEHICLE</t>
        </is>
      </c>
      <c r="V343" s="10" t="inlineStr">
        <is>
          <t>T</t>
        </is>
      </c>
      <c r="W343" s="10" t="inlineStr">
        <is>
          <t>VIVEK B</t>
        </is>
      </c>
    </row>
    <row r="344">
      <c r="A344" s="10" t="inlineStr">
        <is>
          <t>TN57BS3434</t>
        </is>
      </c>
      <c r="B344" s="10" t="inlineStr">
        <is>
          <t>WOVEN</t>
        </is>
      </c>
      <c r="C344" s="10" t="inlineStr">
        <is>
          <t>VEHICLE INSURANCE</t>
        </is>
      </c>
      <c r="D344" s="10" t="inlineStr">
        <is>
          <t>VEHICLE INSURANCE</t>
        </is>
      </c>
      <c r="E344" s="10" t="inlineStr">
        <is>
          <t>YEARLY</t>
        </is>
      </c>
      <c r="F344" s="11" t="n">
        <v>45383</v>
      </c>
      <c r="G344" s="11" t="n">
        <v>45747</v>
      </c>
      <c r="H344" s="12">
        <f>IF(OR($F344="",$G344=""),"",$G344-$F344+1)</f>
        <v/>
      </c>
      <c r="I344" s="10">
        <f>IF($F344="","",IF(MONTH($F344)&gt;=4,YEAR($F344)&amp;"-"&amp;TEXT(YEAR($F344)+1-2000,"00"),YEAR($F344)-1&amp;"-"&amp;TEXT(YEAR($F344)-2000,"00")))</f>
        <v/>
      </c>
      <c r="J344" s="13" t="n">
        <v>80290</v>
      </c>
      <c r="K344" s="14">
        <f>IFERROR($L344/$J344,"")</f>
        <v/>
      </c>
      <c r="L344" s="13" t="n">
        <v>80290</v>
      </c>
      <c r="M344" s="13">
        <f>IFERROR($L344/$H344,"")</f>
        <v/>
      </c>
      <c r="N344" s="11" t="n">
        <v>45565</v>
      </c>
      <c r="O344" s="10">
        <f>IF($N344="","No","Yes")</f>
        <v/>
      </c>
      <c r="P344" s="12">
        <f>IF(OR($F344="",$G344=""),0,IF(AND($F344&lt;=README!$B$4,README!$B$4&lt;=$G344),1,0))</f>
        <v/>
      </c>
      <c r="Q344" s="12">
        <f>IF(OR($F344="",$G344=""),0,IF(AND($F344&lt;=DATE(README!$B$5,12,31),$G344&gt;=DATE(README!$B$5,1,1)),1,0))</f>
        <v/>
      </c>
      <c r="R344" s="10" t="inlineStr">
        <is>
          <t>GUT-VEH0012</t>
        </is>
      </c>
      <c r="S344" s="11" t="n">
        <v>45478</v>
      </c>
      <c r="T344" s="10" t="inlineStr">
        <is>
          <t>3</t>
        </is>
      </c>
      <c r="U344" s="10" t="inlineStr">
        <is>
          <t>VEHICLE</t>
        </is>
      </c>
      <c r="V344" s="10" t="inlineStr">
        <is>
          <t>T</t>
        </is>
      </c>
      <c r="W344" s="10" t="inlineStr">
        <is>
          <t>VIVEK B</t>
        </is>
      </c>
    </row>
    <row r="345">
      <c r="A345" s="10" t="inlineStr">
        <is>
          <t>TN57BS3434</t>
        </is>
      </c>
      <c r="B345" s="10" t="inlineStr">
        <is>
          <t>WOVEN</t>
        </is>
      </c>
      <c r="C345" s="10" t="inlineStr">
        <is>
          <t>VEHICLE OUTSIDE SERVICES</t>
        </is>
      </c>
      <c r="D345" s="10" t="inlineStr">
        <is>
          <t>MAINTENANCE SERVICE - 2</t>
        </is>
      </c>
      <c r="E345" s="10" t="inlineStr">
        <is>
          <t>YEARLY</t>
        </is>
      </c>
      <c r="F345" s="11" t="n">
        <v>45383</v>
      </c>
      <c r="G345" s="11" t="n">
        <v>45747</v>
      </c>
      <c r="H345" s="12">
        <f>IF(OR($F345="",$G345=""),"",$G345-$F345+1)</f>
        <v/>
      </c>
      <c r="I345" s="10">
        <f>IF($F345="","",IF(MONTH($F345)&gt;=4,YEAR($F345)&amp;"-"&amp;TEXT(YEAR($F345)+1-2000,"00"),YEAR($F345)-1&amp;"-"&amp;TEXT(YEAR($F345)-2000,"00")))</f>
        <v/>
      </c>
      <c r="J345" s="13" t="n">
        <v>22592.22</v>
      </c>
      <c r="K345" s="14">
        <f>IFERROR($L345/$J345,"")</f>
        <v/>
      </c>
      <c r="L345" s="13" t="n">
        <v>22592.22</v>
      </c>
      <c r="M345" s="13">
        <f>IFERROR($L345/$H345,"")</f>
        <v/>
      </c>
      <c r="N345" s="11" t="n">
        <v>45605</v>
      </c>
      <c r="O345" s="10">
        <f>IF($N345="","No","Yes")</f>
        <v/>
      </c>
      <c r="P345" s="12">
        <f>IF(OR($F345="",$G345=""),0,IF(AND($F345&lt;=README!$B$4,README!$B$4&lt;=$G345),1,0))</f>
        <v/>
      </c>
      <c r="Q345" s="12">
        <f>IF(OR($F345="",$G345=""),0,IF(AND($F345&lt;=DATE(README!$B$5,12,31),$G345&gt;=DATE(README!$B$5,1,1)),1,0))</f>
        <v/>
      </c>
      <c r="R345" s="10" t="inlineStr">
        <is>
          <t>GUT-VEH0013</t>
        </is>
      </c>
      <c r="S345" s="11" t="n">
        <v>45527</v>
      </c>
      <c r="T345" s="10" t="inlineStr">
        <is>
          <t>3</t>
        </is>
      </c>
      <c r="U345" s="10" t="inlineStr">
        <is>
          <t>VEHICLE</t>
        </is>
      </c>
      <c r="V345" s="10" t="inlineStr">
        <is>
          <t>T</t>
        </is>
      </c>
      <c r="W345" s="10" t="inlineStr">
        <is>
          <t>VIVEK B</t>
        </is>
      </c>
    </row>
    <row r="346">
      <c r="A346" s="10" t="inlineStr">
        <is>
          <t>TN57BS3434</t>
        </is>
      </c>
      <c r="B346" s="10" t="inlineStr">
        <is>
          <t>WOVEN</t>
        </is>
      </c>
      <c r="C346" s="10" t="inlineStr">
        <is>
          <t>VEHICLE OUTSIDE SERVICES</t>
        </is>
      </c>
      <c r="D346" s="10" t="inlineStr">
        <is>
          <t xml:space="preserve">MAINTENANCE SERVICE </t>
        </is>
      </c>
      <c r="E346" s="10" t="inlineStr">
        <is>
          <t>YEARLY</t>
        </is>
      </c>
      <c r="F346" s="11" t="n">
        <v>45383</v>
      </c>
      <c r="G346" s="11" t="n">
        <v>45747</v>
      </c>
      <c r="H346" s="12">
        <f>IF(OR($F346="",$G346=""),"",$G346-$F346+1)</f>
        <v/>
      </c>
      <c r="I346" s="10">
        <f>IF($F346="","",IF(MONTH($F346)&gt;=4,YEAR($F346)&amp;"-"&amp;TEXT(YEAR($F346)+1-2000,"00"),YEAR($F346)-1&amp;"-"&amp;TEXT(YEAR($F346)-2000,"00")))</f>
        <v/>
      </c>
      <c r="J346" s="13" t="n">
        <v>6020</v>
      </c>
      <c r="K346" s="14">
        <f>IFERROR($L346/$J346,"")</f>
        <v/>
      </c>
      <c r="L346" s="13" t="n">
        <v>6020</v>
      </c>
      <c r="M346" s="13">
        <f>IFERROR($L346/$H346,"")</f>
        <v/>
      </c>
      <c r="N346" s="11" t="n">
        <v>45583</v>
      </c>
      <c r="O346" s="10">
        <f>IF($N346="","No","Yes")</f>
        <v/>
      </c>
      <c r="P346" s="12">
        <f>IF(OR($F346="",$G346=""),0,IF(AND($F346&lt;=README!$B$4,README!$B$4&lt;=$G346),1,0))</f>
        <v/>
      </c>
      <c r="Q346" s="12">
        <f>IF(OR($F346="",$G346=""),0,IF(AND($F346&lt;=DATE(README!$B$5,12,31),$G346&gt;=DATE(README!$B$5,1,1)),1,0))</f>
        <v/>
      </c>
      <c r="R346" s="10" t="inlineStr">
        <is>
          <t>GUT-VEH0013</t>
        </is>
      </c>
      <c r="S346" s="11" t="n">
        <v>45527</v>
      </c>
      <c r="T346" s="10" t="inlineStr">
        <is>
          <t>3</t>
        </is>
      </c>
      <c r="U346" s="10" t="inlineStr">
        <is>
          <t>VEHICLE</t>
        </is>
      </c>
      <c r="V346" s="10" t="inlineStr">
        <is>
          <t>T</t>
        </is>
      </c>
      <c r="W346" s="10" t="inlineStr">
        <is>
          <t>VIVEK B</t>
        </is>
      </c>
    </row>
    <row r="347">
      <c r="A347" s="10" t="inlineStr">
        <is>
          <t>TN57BS3434</t>
        </is>
      </c>
      <c r="B347" s="10" t="inlineStr">
        <is>
          <t>WOVEN</t>
        </is>
      </c>
      <c r="C347" s="10" t="inlineStr">
        <is>
          <t>TYRE</t>
        </is>
      </c>
      <c r="D347" s="10" t="inlineStr">
        <is>
          <t>TYRE</t>
        </is>
      </c>
      <c r="E347" s="10" t="inlineStr">
        <is>
          <t>YEARLY</t>
        </is>
      </c>
      <c r="F347" s="11" t="n">
        <v>45748</v>
      </c>
      <c r="G347" s="11" t="n">
        <v>46112</v>
      </c>
      <c r="H347" s="12">
        <f>IF(OR($F347="",$G347=""),"",$G347-$F347+1)</f>
        <v/>
      </c>
      <c r="I347" s="10">
        <f>IF($F347="","",IF(MONTH($F347)&gt;=4,YEAR($F347)&amp;"-"&amp;TEXT(YEAR($F347)+1-2000,"00"),YEAR($F347)-1&amp;"-"&amp;TEXT(YEAR($F347)-2000,"00")))</f>
        <v/>
      </c>
      <c r="J347" s="13" t="n">
        <v>30300</v>
      </c>
      <c r="K347" s="14">
        <f>IFERROR($L347/$J347,"")</f>
        <v/>
      </c>
      <c r="L347" s="13" t="n">
        <v>30300</v>
      </c>
      <c r="M347" s="13">
        <f>IFERROR($L347/$H347,"")</f>
        <v/>
      </c>
      <c r="N347" s="11" t="n">
        <v>45986</v>
      </c>
      <c r="O347" s="10">
        <f>IF($N347="","No","Yes")</f>
        <v/>
      </c>
      <c r="P347" s="12">
        <f>IF(OR($F347="",$G347=""),0,IF(AND($F347&lt;=README!$B$4,README!$B$4&lt;=$G347),1,0))</f>
        <v/>
      </c>
      <c r="Q347" s="12">
        <f>IF(OR($F347="",$G347=""),0,IF(AND($F347&lt;=DATE(README!$B$5,12,31),$G347&gt;=DATE(README!$B$5,1,1)),1,0))</f>
        <v/>
      </c>
      <c r="R347" s="10" t="inlineStr">
        <is>
          <t>GUT-VEH0026</t>
        </is>
      </c>
      <c r="S347" s="11" t="n">
        <v>45957</v>
      </c>
      <c r="T347" s="10" t="inlineStr">
        <is>
          <t>5</t>
        </is>
      </c>
      <c r="U347" s="10" t="inlineStr">
        <is>
          <t>VEHICLE</t>
        </is>
      </c>
      <c r="V347" s="10" t="inlineStr">
        <is>
          <t>T</t>
        </is>
      </c>
      <c r="W347" s="10" t="inlineStr">
        <is>
          <t>VIVEK B</t>
        </is>
      </c>
    </row>
    <row r="348">
      <c r="A348" s="10" t="inlineStr">
        <is>
          <t>TN57BS3434</t>
        </is>
      </c>
      <c r="B348" s="10" t="inlineStr">
        <is>
          <t>WOVEN</t>
        </is>
      </c>
      <c r="C348" s="10" t="inlineStr">
        <is>
          <t>VEHICLE INSURANCE</t>
        </is>
      </c>
      <c r="D348" s="10" t="inlineStr">
        <is>
          <t>VEHICLE INSURANCE</t>
        </is>
      </c>
      <c r="E348" s="10" t="inlineStr">
        <is>
          <t>YEARLY</t>
        </is>
      </c>
      <c r="F348" s="11" t="n">
        <v>45748</v>
      </c>
      <c r="G348" s="11" t="n">
        <v>46112</v>
      </c>
      <c r="H348" s="12">
        <f>IF(OR($F348="",$G348=""),"",$G348-$F348+1)</f>
        <v/>
      </c>
      <c r="I348" s="10">
        <f>IF($F348="","",IF(MONTH($F348)&gt;=4,YEAR($F348)&amp;"-"&amp;TEXT(YEAR($F348)+1-2000,"00"),YEAR($F348)-1&amp;"-"&amp;TEXT(YEAR($F348)-2000,"00")))</f>
        <v/>
      </c>
      <c r="J348" s="13" t="n">
        <v>79218</v>
      </c>
      <c r="K348" s="14">
        <f>IFERROR($L348/$J348,"")</f>
        <v/>
      </c>
      <c r="L348" s="13" t="n">
        <v>79218</v>
      </c>
      <c r="M348" s="13">
        <f>IFERROR($L348/$H348,"")</f>
        <v/>
      </c>
      <c r="N348" s="11" t="n">
        <v>45930</v>
      </c>
      <c r="O348" s="10">
        <f>IF($N348="","No","Yes")</f>
        <v/>
      </c>
      <c r="P348" s="12">
        <f>IF(OR($F348="",$G348=""),0,IF(AND($F348&lt;=README!$B$4,README!$B$4&lt;=$G348),1,0))</f>
        <v/>
      </c>
      <c r="Q348" s="12">
        <f>IF(OR($F348="",$G348=""),0,IF(AND($F348&lt;=DATE(README!$B$5,12,31),$G348&gt;=DATE(README!$B$5,1,1)),1,0))</f>
        <v/>
      </c>
      <c r="R348" s="10" t="inlineStr">
        <is>
          <t>GUT-VEH0019</t>
        </is>
      </c>
      <c r="S348" s="11" t="n">
        <v>45799</v>
      </c>
      <c r="T348" s="10" t="inlineStr">
        <is>
          <t>5</t>
        </is>
      </c>
      <c r="U348" s="10" t="inlineStr">
        <is>
          <t>VEHICLE</t>
        </is>
      </c>
      <c r="V348" s="10" t="inlineStr">
        <is>
          <t>T</t>
        </is>
      </c>
      <c r="W348" s="10" t="inlineStr">
        <is>
          <t>VIVEK B</t>
        </is>
      </c>
    </row>
    <row r="349">
      <c r="A349" s="10" t="inlineStr">
        <is>
          <t>TN57BS3434</t>
        </is>
      </c>
      <c r="B349" s="10" t="inlineStr"/>
      <c r="C349" s="10" t="inlineStr">
        <is>
          <t>VEHICLE OUTSIDE SERVICES</t>
        </is>
      </c>
      <c r="D349" s="10" t="inlineStr">
        <is>
          <t>TINKERING WORK - ACCIDENT</t>
        </is>
      </c>
      <c r="E349" s="10" t="inlineStr">
        <is>
          <t>YEARLY</t>
        </is>
      </c>
      <c r="F349" s="11" t="n">
        <v>45748</v>
      </c>
      <c r="G349" s="11" t="n">
        <v>46112</v>
      </c>
      <c r="H349" s="12">
        <f>IF(OR($F349="",$G349=""),"",$G349-$F349+1)</f>
        <v/>
      </c>
      <c r="I349" s="10">
        <f>IF($F349="","",IF(MONTH($F349)&gt;=4,YEAR($F349)&amp;"-"&amp;TEXT(YEAR($F349)+1-2000,"00"),YEAR($F349)-1&amp;"-"&amp;TEXT(YEAR($F349)-2000,"00")))</f>
        <v/>
      </c>
      <c r="J349" s="13" t="n">
        <v>6500</v>
      </c>
      <c r="K349" s="14">
        <f>IFERROR($L349/$J349,"")</f>
        <v/>
      </c>
      <c r="L349" s="13" t="n">
        <v>6500</v>
      </c>
      <c r="M349" s="13">
        <f>IFERROR($L349/$H349,"")</f>
        <v/>
      </c>
      <c r="N349" s="11" t="n">
        <v>45954</v>
      </c>
      <c r="O349" s="10">
        <f>IF($N349="","No","Yes")</f>
        <v/>
      </c>
      <c r="P349" s="12">
        <f>IF(OR($F349="",$G349=""),0,IF(AND($F349&lt;=README!$B$4,README!$B$4&lt;=$G349),1,0))</f>
        <v/>
      </c>
      <c r="Q349" s="12">
        <f>IF(OR($F349="",$G349=""),0,IF(AND($F349&lt;=DATE(README!$B$5,12,31),$G349&gt;=DATE(README!$B$5,1,1)),1,0))</f>
        <v/>
      </c>
      <c r="R349" s="10" t="inlineStr">
        <is>
          <t>GUT-VEH0021</t>
        </is>
      </c>
      <c r="S349" s="11" t="n">
        <v>45812</v>
      </c>
      <c r="T349" s="10" t="inlineStr">
        <is>
          <t>5</t>
        </is>
      </c>
      <c r="U349" s="10" t="inlineStr">
        <is>
          <t>VEHICLE</t>
        </is>
      </c>
      <c r="V349" s="10" t="inlineStr">
        <is>
          <t>T</t>
        </is>
      </c>
      <c r="W349" s="10" t="inlineStr">
        <is>
          <t>VIVEK B</t>
        </is>
      </c>
    </row>
    <row r="350">
      <c r="A350" s="10" t="inlineStr">
        <is>
          <t>TN57BS3434</t>
        </is>
      </c>
      <c r="B350" s="10" t="inlineStr"/>
      <c r="C350" s="10" t="inlineStr">
        <is>
          <t>VEHICLE OUTSIDE SERVICES</t>
        </is>
      </c>
      <c r="D350" s="10" t="inlineStr">
        <is>
          <t>MAINTENANCE SERVICE - 2</t>
        </is>
      </c>
      <c r="E350" s="10" t="inlineStr">
        <is>
          <t>DECEMBER</t>
        </is>
      </c>
      <c r="F350" s="11" t="n">
        <v>45992</v>
      </c>
      <c r="G350" s="11" t="n">
        <v>46022</v>
      </c>
      <c r="H350" s="12">
        <f>IF(OR($F350="",$G350=""),"",$G350-$F350+1)</f>
        <v/>
      </c>
      <c r="I350" s="10">
        <f>IF($F350="","",IF(MONTH($F350)&gt;=4,YEAR($F350)&amp;"-"&amp;TEXT(YEAR($F350)+1-2000,"00"),YEAR($F350)-1&amp;"-"&amp;TEXT(YEAR($F350)-2000,"00")))</f>
        <v/>
      </c>
      <c r="J350" s="13" t="n">
        <v>56929.91</v>
      </c>
      <c r="K350" s="14">
        <f>IFERROR($L350/$J350,"")</f>
        <v/>
      </c>
      <c r="L350" s="13" t="n">
        <v>56929.91</v>
      </c>
      <c r="M350" s="13">
        <f>IFERROR($L350/$H350,"")</f>
        <v/>
      </c>
      <c r="N350" s="11" t="n">
        <v>45997</v>
      </c>
      <c r="O350" s="10">
        <f>IF($N350="","No","Yes")</f>
        <v/>
      </c>
      <c r="P350" s="12">
        <f>IF(OR($F350="",$G350=""),0,IF(AND($F350&lt;=README!$B$4,README!$B$4&lt;=$G350),1,0))</f>
        <v/>
      </c>
      <c r="Q350" s="12">
        <f>IF(OR($F350="",$G350=""),0,IF(AND($F350&lt;=DATE(README!$B$5,12,31),$G350&gt;=DATE(README!$B$5,1,1)),1,0))</f>
        <v/>
      </c>
      <c r="R350" s="10" t="inlineStr">
        <is>
          <t>GUT-VEH0021</t>
        </is>
      </c>
      <c r="S350" s="11" t="n">
        <v>45812</v>
      </c>
      <c r="T350" s="10" t="inlineStr">
        <is>
          <t>5</t>
        </is>
      </c>
      <c r="U350" s="10" t="inlineStr">
        <is>
          <t>VEHICLE</t>
        </is>
      </c>
      <c r="V350" s="10" t="inlineStr">
        <is>
          <t>T</t>
        </is>
      </c>
      <c r="W350" s="10" t="inlineStr">
        <is>
          <t>VIVEK B</t>
        </is>
      </c>
    </row>
    <row r="351">
      <c r="A351" s="10" t="inlineStr">
        <is>
          <t>TN57BS3434</t>
        </is>
      </c>
      <c r="B351" s="10" t="inlineStr">
        <is>
          <t>WOVEN</t>
        </is>
      </c>
      <c r="C351" s="10" t="inlineStr">
        <is>
          <t>ROAD TAX</t>
        </is>
      </c>
      <c r="D351" s="10" t="inlineStr">
        <is>
          <t>ROAD TAX</t>
        </is>
      </c>
      <c r="E351" s="10" t="inlineStr">
        <is>
          <t>QUARTER - IV</t>
        </is>
      </c>
      <c r="F351" s="11" t="n">
        <v>46023</v>
      </c>
      <c r="G351" s="11" t="n">
        <v>46112</v>
      </c>
      <c r="H351" s="12">
        <f>IF(OR($F351="",$G351=""),"",$G351-$F351+1)</f>
        <v/>
      </c>
      <c r="I351" s="10">
        <f>IF($F351="","",IF(MONTH($F351)&gt;=4,YEAR($F351)&amp;"-"&amp;TEXT(YEAR($F351)+1-2000,"00"),YEAR($F351)-1&amp;"-"&amp;TEXT(YEAR($F351)-2000,"00")))</f>
        <v/>
      </c>
      <c r="J351" s="13" t="n">
        <v>32734</v>
      </c>
      <c r="K351" s="14">
        <f>IFERROR($L351/$J351,"")</f>
        <v/>
      </c>
      <c r="L351" s="13" t="n">
        <v>32734</v>
      </c>
      <c r="M351" s="13">
        <f>IFERROR($L351/$H351,"")</f>
        <v/>
      </c>
      <c r="N351" s="11" t="n">
        <v>46065</v>
      </c>
      <c r="O351" s="10">
        <f>IF($N351="","No","Yes")</f>
        <v/>
      </c>
      <c r="P351" s="12">
        <f>IF(OR($F351="",$G351=""),0,IF(AND($F351&lt;=README!$B$4,README!$B$4&lt;=$G351),1,0))</f>
        <v/>
      </c>
      <c r="Q351" s="12">
        <f>IF(OR($F351="",$G351=""),0,IF(AND($F351&lt;=DATE(README!$B$5,12,31),$G351&gt;=DATE(README!$B$5,1,1)),1,0))</f>
        <v/>
      </c>
      <c r="R351" s="10" t="inlineStr">
        <is>
          <t>GUT-VEH0016</t>
        </is>
      </c>
      <c r="S351" s="11" t="n">
        <v>46023</v>
      </c>
      <c r="T351" s="10" t="inlineStr">
        <is>
          <t>5</t>
        </is>
      </c>
      <c r="U351" s="10" t="inlineStr">
        <is>
          <t>VEHICLE</t>
        </is>
      </c>
      <c r="V351" s="10" t="inlineStr">
        <is>
          <t>T</t>
        </is>
      </c>
      <c r="W351" s="10" t="inlineStr">
        <is>
          <t>VIVEK B</t>
        </is>
      </c>
    </row>
    <row r="352">
      <c r="A352" s="10" t="inlineStr">
        <is>
          <t>TN57BS3434</t>
        </is>
      </c>
      <c r="B352" s="10" t="inlineStr">
        <is>
          <t>WOVEN</t>
        </is>
      </c>
      <c r="C352" s="10" t="inlineStr">
        <is>
          <t>ROAD TAX</t>
        </is>
      </c>
      <c r="D352" s="10" t="inlineStr">
        <is>
          <t>ROAD TAX</t>
        </is>
      </c>
      <c r="E352" s="10" t="inlineStr">
        <is>
          <t>QUARTER - I</t>
        </is>
      </c>
      <c r="F352" s="11" t="n">
        <v>46113</v>
      </c>
      <c r="G352" s="11" t="n">
        <v>46203</v>
      </c>
      <c r="H352" s="12">
        <f>IF(OR($F352="",$G352=""),"",$G352-$F352+1)</f>
        <v/>
      </c>
      <c r="I352" s="10">
        <f>IF($F352="","",IF(MONTH($F352)&gt;=4,YEAR($F352)&amp;"-"&amp;TEXT(YEAR($F352)+1-2000,"00"),YEAR($F352)-1&amp;"-"&amp;TEXT(YEAR($F352)-2000,"00")))</f>
        <v/>
      </c>
      <c r="J352" s="13" t="n">
        <v>32734</v>
      </c>
      <c r="K352" s="14">
        <f>IFERROR($L352/$J352,"")</f>
        <v/>
      </c>
      <c r="L352" s="13" t="n">
        <v>32734</v>
      </c>
      <c r="M352" s="13">
        <f>IFERROR($L352/$H352,"")</f>
        <v/>
      </c>
      <c r="N352" s="11" t="n">
        <v>46088</v>
      </c>
      <c r="O352" s="10">
        <f>IF($N352="","No","Yes")</f>
        <v/>
      </c>
      <c r="P352" s="12">
        <f>IF(OR($F352="",$G352=""),0,IF(AND($F352&lt;=README!$B$4,README!$B$4&lt;=$G352),1,0))</f>
        <v/>
      </c>
      <c r="Q352" s="12">
        <f>IF(OR($F352="",$G352=""),0,IF(AND($F352&lt;=DATE(README!$B$5,12,31),$G352&gt;=DATE(README!$B$5,1,1)),1,0))</f>
        <v/>
      </c>
      <c r="R352" s="10" t="inlineStr">
        <is>
          <t>GUT-VEH0029</t>
        </is>
      </c>
      <c r="S352" s="11" t="n">
        <v>46087</v>
      </c>
      <c r="T352" s="10" t="inlineStr">
        <is>
          <t>5</t>
        </is>
      </c>
      <c r="U352" s="10" t="inlineStr">
        <is>
          <t>VEHICLE</t>
        </is>
      </c>
      <c r="V352" s="10" t="inlineStr">
        <is>
          <t>T</t>
        </is>
      </c>
      <c r="W352" s="10" t="inlineStr">
        <is>
          <t>VIVEK B</t>
        </is>
      </c>
    </row>
    <row r="353">
      <c r="A353" s="10" t="inlineStr">
        <is>
          <t>TN57BS3434</t>
        </is>
      </c>
      <c r="B353" s="10" t="inlineStr">
        <is>
          <t>WOVEN</t>
        </is>
      </c>
      <c r="C353" s="10" t="inlineStr">
        <is>
          <t>VEHICLE OUTSIDE SERVICES</t>
        </is>
      </c>
      <c r="D353" s="10" t="inlineStr">
        <is>
          <t xml:space="preserve">MAINTENANCE SERVICE </t>
        </is>
      </c>
      <c r="E353" s="10" t="inlineStr">
        <is>
          <t>JUNE</t>
        </is>
      </c>
      <c r="F353" s="11" t="n">
        <v>46174</v>
      </c>
      <c r="G353" s="11" t="n">
        <v>46203</v>
      </c>
      <c r="H353" s="12">
        <f>IF(OR($F353="",$G353=""),"",$G353-$F353+1)</f>
        <v/>
      </c>
      <c r="I353" s="10">
        <f>IF($F353="","",IF(MONTH($F353)&gt;=4,YEAR($F353)&amp;"-"&amp;TEXT(YEAR($F353)+1-2000,"00"),YEAR($F353)-1&amp;"-"&amp;TEXT(YEAR($F353)-2000,"00")))</f>
        <v/>
      </c>
      <c r="J353" s="13" t="n">
        <v>4549.34</v>
      </c>
      <c r="K353" s="14">
        <f>IFERROR($L353/$J353,"")</f>
        <v/>
      </c>
      <c r="L353" s="13" t="n">
        <v>4549.34</v>
      </c>
      <c r="M353" s="13">
        <f>IFERROR($L353/$H353,"")</f>
        <v/>
      </c>
      <c r="N353" s="11" t="n">
        <v>46186</v>
      </c>
      <c r="O353" s="10">
        <f>IF($N353="","No","Yes")</f>
        <v/>
      </c>
      <c r="P353" s="12">
        <f>IF(OR($F353="",$G353=""),0,IF(AND($F353&lt;=README!$B$4,README!$B$4&lt;=$G353),1,0))</f>
        <v/>
      </c>
      <c r="Q353" s="12">
        <f>IF(OR($F353="",$G353=""),0,IF(AND($F353&lt;=DATE(README!$B$5,12,31),$G353&gt;=DATE(README!$B$5,1,1)),1,0))</f>
        <v/>
      </c>
      <c r="R353" s="10" t="inlineStr">
        <is>
          <t>GUT-VEH0032</t>
        </is>
      </c>
      <c r="S353" s="11" t="n">
        <v>46137</v>
      </c>
      <c r="T353" s="10" t="inlineStr">
        <is>
          <t>5</t>
        </is>
      </c>
      <c r="U353" s="10" t="inlineStr">
        <is>
          <t>VEHICLE</t>
        </is>
      </c>
      <c r="V353" s="10" t="inlineStr">
        <is>
          <t>T</t>
        </is>
      </c>
      <c r="W353" s="10" t="inlineStr">
        <is>
          <t>VIVEK B</t>
        </is>
      </c>
    </row>
    <row r="354">
      <c r="A354" s="10" t="inlineStr">
        <is>
          <t>TN57BS3434</t>
        </is>
      </c>
      <c r="B354" s="10" t="inlineStr">
        <is>
          <t>WOVEN</t>
        </is>
      </c>
      <c r="C354" s="10" t="inlineStr">
        <is>
          <t>ROAD TAX</t>
        </is>
      </c>
      <c r="D354" s="10" t="inlineStr">
        <is>
          <t>ROAD TAX</t>
        </is>
      </c>
      <c r="E354" s="10" t="inlineStr">
        <is>
          <t>QUARTER - II</t>
        </is>
      </c>
      <c r="F354" s="11" t="n">
        <v>46204</v>
      </c>
      <c r="G354" s="11" t="n">
        <v>46295</v>
      </c>
      <c r="H354" s="12">
        <f>IF(OR($F354="",$G354=""),"",$G354-$F354+1)</f>
        <v/>
      </c>
      <c r="I354" s="10">
        <f>IF($F354="","",IF(MONTH($F354)&gt;=4,YEAR($F354)&amp;"-"&amp;TEXT(YEAR($F354)+1-2000,"00"),YEAR($F354)-1&amp;"-"&amp;TEXT(YEAR($F354)-2000,"00")))</f>
        <v/>
      </c>
      <c r="J354" s="13" t="n">
        <v>32734</v>
      </c>
      <c r="K354" s="14">
        <f>IFERROR($L354/$J354,"")</f>
        <v/>
      </c>
      <c r="L354" s="13" t="n">
        <v>32734</v>
      </c>
      <c r="M354" s="13">
        <f>IFERROR($L354/$H354,"")</f>
        <v/>
      </c>
      <c r="N354" s="11" t="n">
        <v>46196</v>
      </c>
      <c r="O354" s="10">
        <f>IF($N354="","No","Yes")</f>
        <v/>
      </c>
      <c r="P354" s="12">
        <f>IF(OR($F354="",$G354=""),0,IF(AND($F354&lt;=README!$B$4,README!$B$4&lt;=$G354),1,0))</f>
        <v/>
      </c>
      <c r="Q354" s="12">
        <f>IF(OR($F354="",$G354=""),0,IF(AND($F354&lt;=DATE(README!$B$5,12,31),$G354&gt;=DATE(README!$B$5,1,1)),1,0))</f>
        <v/>
      </c>
      <c r="R354" s="10" t="inlineStr">
        <is>
          <t>GUT-VEH0038</t>
        </is>
      </c>
      <c r="S354" s="11" t="n">
        <v>46193</v>
      </c>
      <c r="T354" s="10" t="inlineStr">
        <is>
          <t>5</t>
        </is>
      </c>
      <c r="U354" s="10" t="inlineStr">
        <is>
          <t>VEHICLE</t>
        </is>
      </c>
      <c r="V354" s="10" t="inlineStr">
        <is>
          <t>T</t>
        </is>
      </c>
      <c r="W354" s="10" t="inlineStr">
        <is>
          <t>VIVEK B</t>
        </is>
      </c>
    </row>
    <row r="355">
      <c r="A355" s="10" t="inlineStr">
        <is>
          <t>TN57BS3636</t>
        </is>
      </c>
      <c r="B355" s="10" t="inlineStr">
        <is>
          <t>SOCKS</t>
        </is>
      </c>
      <c r="C355" s="10" t="inlineStr">
        <is>
          <t>TYRE</t>
        </is>
      </c>
      <c r="D355" s="10" t="inlineStr">
        <is>
          <t>TYRE</t>
        </is>
      </c>
      <c r="E355" s="10" t="inlineStr">
        <is>
          <t>YEARLY</t>
        </is>
      </c>
      <c r="F355" s="11" t="n">
        <v>45383</v>
      </c>
      <c r="G355" s="11" t="n">
        <v>45747</v>
      </c>
      <c r="H355" s="12">
        <f>IF(OR($F355="",$G355=""),"",$G355-$F355+1)</f>
        <v/>
      </c>
      <c r="I355" s="10">
        <f>IF($F355="","",IF(MONTH($F355)&gt;=4,YEAR($F355)&amp;"-"&amp;TEXT(YEAR($F355)+1-2000,"00"),YEAR($F355)-1&amp;"-"&amp;TEXT(YEAR($F355)-2000,"00")))</f>
        <v/>
      </c>
      <c r="J355" s="13" t="n">
        <v>6100</v>
      </c>
      <c r="K355" s="14">
        <f>IFERROR($L355/$J355,"")</f>
        <v/>
      </c>
      <c r="L355" s="13" t="n">
        <v>24400</v>
      </c>
      <c r="M355" s="13">
        <f>IFERROR($L355/$H355,"")</f>
        <v/>
      </c>
      <c r="N355" s="11" t="n">
        <v>45609</v>
      </c>
      <c r="O355" s="10">
        <f>IF($N355="","No","Yes")</f>
        <v/>
      </c>
      <c r="P355" s="12">
        <f>IF(OR($F355="",$G355=""),0,IF(AND($F355&lt;=README!$B$4,README!$B$4&lt;=$G355),1,0))</f>
        <v/>
      </c>
      <c r="Q355" s="12">
        <f>IF(OR($F355="",$G355=""),0,IF(AND($F355&lt;=DATE(README!$B$5,12,31),$G355&gt;=DATE(README!$B$5,1,1)),1,0))</f>
        <v/>
      </c>
      <c r="R355" s="10" t="inlineStr">
        <is>
          <t>GUP-VEH0006</t>
        </is>
      </c>
      <c r="S355" s="11" t="n">
        <v>45442</v>
      </c>
      <c r="T355" s="10" t="inlineStr">
        <is>
          <t>522</t>
        </is>
      </c>
      <c r="U355" s="10" t="inlineStr">
        <is>
          <t>VEHICLE</t>
        </is>
      </c>
      <c r="V355" s="10" t="inlineStr">
        <is>
          <t>T</t>
        </is>
      </c>
      <c r="W355" s="10" t="inlineStr">
        <is>
          <t>VIVEK B</t>
        </is>
      </c>
    </row>
    <row r="356">
      <c r="A356" s="10" t="inlineStr">
        <is>
          <t>TN57BS3636</t>
        </is>
      </c>
      <c r="B356" s="10" t="inlineStr">
        <is>
          <t>SOCKS</t>
        </is>
      </c>
      <c r="C356" s="10" t="inlineStr">
        <is>
          <t>VEHICLE INSURANCE</t>
        </is>
      </c>
      <c r="D356" s="10" t="inlineStr">
        <is>
          <t>VEHICLE INSURANCE</t>
        </is>
      </c>
      <c r="E356" s="10" t="inlineStr">
        <is>
          <t>YEARLY</t>
        </is>
      </c>
      <c r="F356" s="11" t="n">
        <v>45383</v>
      </c>
      <c r="G356" s="11" t="n">
        <v>45747</v>
      </c>
      <c r="H356" s="12">
        <f>IF(OR($F356="",$G356=""),"",$G356-$F356+1)</f>
        <v/>
      </c>
      <c r="I356" s="10">
        <f>IF($F356="","",IF(MONTH($F356)&gt;=4,YEAR($F356)&amp;"-"&amp;TEXT(YEAR($F356)+1-2000,"00"),YEAR($F356)-1&amp;"-"&amp;TEXT(YEAR($F356)-2000,"00")))</f>
        <v/>
      </c>
      <c r="J356" s="13" t="n">
        <v>20654</v>
      </c>
      <c r="K356" s="14">
        <f>IFERROR($L356/$J356,"")</f>
        <v/>
      </c>
      <c r="L356" s="13" t="n">
        <v>0</v>
      </c>
      <c r="M356" s="13">
        <f>IFERROR($L356/$H356,"")</f>
        <v/>
      </c>
      <c r="N356" s="11" t="n"/>
      <c r="O356" s="10">
        <f>IF($N356="","No","Yes")</f>
        <v/>
      </c>
      <c r="P356" s="12">
        <f>IF(OR($F356="",$G356=""),0,IF(AND($F356&lt;=README!$B$4,README!$B$4&lt;=$G356),1,0))</f>
        <v/>
      </c>
      <c r="Q356" s="12">
        <f>IF(OR($F356="",$G356=""),0,IF(AND($F356&lt;=DATE(README!$B$5,12,31),$G356&gt;=DATE(README!$B$5,1,1)),1,0))</f>
        <v/>
      </c>
      <c r="R356" s="10" t="inlineStr">
        <is>
          <t>GUP-VEH0013</t>
        </is>
      </c>
      <c r="S356" s="11" t="n">
        <v>45478</v>
      </c>
      <c r="T356" s="10" t="inlineStr">
        <is>
          <t>550</t>
        </is>
      </c>
      <c r="U356" s="10" t="inlineStr">
        <is>
          <t>VEHICLE</t>
        </is>
      </c>
      <c r="V356" s="10" t="inlineStr">
        <is>
          <t>T</t>
        </is>
      </c>
      <c r="W356" s="10" t="inlineStr">
        <is>
          <t>VIVEK B</t>
        </is>
      </c>
    </row>
    <row r="357">
      <c r="A357" s="10" t="inlineStr">
        <is>
          <t>TN57BS3636</t>
        </is>
      </c>
      <c r="B357" s="10" t="inlineStr">
        <is>
          <t>SOCKS</t>
        </is>
      </c>
      <c r="C357" s="10" t="inlineStr">
        <is>
          <t>VEHICLE OUTSIDE SERVICES</t>
        </is>
      </c>
      <c r="D357" s="10" t="inlineStr">
        <is>
          <t xml:space="preserve">MAINTENANCE SERVICE </t>
        </is>
      </c>
      <c r="E357" s="10" t="inlineStr">
        <is>
          <t>YEARLY</t>
        </is>
      </c>
      <c r="F357" s="11" t="n">
        <v>45383</v>
      </c>
      <c r="G357" s="11" t="n">
        <v>45747</v>
      </c>
      <c r="H357" s="12">
        <f>IF(OR($F357="",$G357=""),"",$G357-$F357+1)</f>
        <v/>
      </c>
      <c r="I357" s="10">
        <f>IF($F357="","",IF(MONTH($F357)&gt;=4,YEAR($F357)&amp;"-"&amp;TEXT(YEAR($F357)+1-2000,"00"),YEAR($F357)-1&amp;"-"&amp;TEXT(YEAR($F357)-2000,"00")))</f>
        <v/>
      </c>
      <c r="J357" s="13" t="n">
        <v>4494</v>
      </c>
      <c r="K357" s="14">
        <f>IFERROR($L357/$J357,"")</f>
        <v/>
      </c>
      <c r="L357" s="13" t="n">
        <v>4494</v>
      </c>
      <c r="M357" s="13">
        <f>IFERROR($L357/$H357,"")</f>
        <v/>
      </c>
      <c r="N357" s="11" t="n">
        <v>45742</v>
      </c>
      <c r="O357" s="10">
        <f>IF($N357="","No","Yes")</f>
        <v/>
      </c>
      <c r="P357" s="12">
        <f>IF(OR($F357="",$G357=""),0,IF(AND($F357&lt;=README!$B$4,README!$B$4&lt;=$G357),1,0))</f>
        <v/>
      </c>
      <c r="Q357" s="12">
        <f>IF(OR($F357="",$G357=""),0,IF(AND($F357&lt;=DATE(README!$B$5,12,31),$G357&gt;=DATE(README!$B$5,1,1)),1,0))</f>
        <v/>
      </c>
      <c r="R357" s="10" t="inlineStr">
        <is>
          <t>GUP-VEH0012</t>
        </is>
      </c>
      <c r="S357" s="11" t="n">
        <v>45477</v>
      </c>
      <c r="T357" s="10" t="inlineStr">
        <is>
          <t>549</t>
        </is>
      </c>
      <c r="U357" s="10" t="inlineStr">
        <is>
          <t>VEHICLE</t>
        </is>
      </c>
      <c r="V357" s="10" t="inlineStr">
        <is>
          <t>T</t>
        </is>
      </c>
      <c r="W357" s="10" t="inlineStr">
        <is>
          <t>VIVEK B</t>
        </is>
      </c>
    </row>
    <row r="358">
      <c r="A358" s="10" t="inlineStr">
        <is>
          <t>TN57BS3636</t>
        </is>
      </c>
      <c r="B358" s="10" t="inlineStr">
        <is>
          <t>WOVEN</t>
        </is>
      </c>
      <c r="C358" s="10" t="inlineStr">
        <is>
          <t>VEHICLE OUTSIDE SERVICES</t>
        </is>
      </c>
      <c r="D358" s="10" t="inlineStr">
        <is>
          <t xml:space="preserve">MAINTENANCE SERVICE </t>
        </is>
      </c>
      <c r="E358" s="10" t="inlineStr">
        <is>
          <t>YEARLY</t>
        </is>
      </c>
      <c r="F358" s="11" t="n">
        <v>45383</v>
      </c>
      <c r="G358" s="11" t="n">
        <v>45747</v>
      </c>
      <c r="H358" s="12">
        <f>IF(OR($F358="",$G358=""),"",$G358-$F358+1)</f>
        <v/>
      </c>
      <c r="I358" s="10">
        <f>IF($F358="","",IF(MONTH($F358)&gt;=4,YEAR($F358)&amp;"-"&amp;TEXT(YEAR($F358)+1-2000,"00"),YEAR($F358)-1&amp;"-"&amp;TEXT(YEAR($F358)-2000,"00")))</f>
        <v/>
      </c>
      <c r="J358" s="13" t="n">
        <v>25146</v>
      </c>
      <c r="K358" s="14">
        <f>IFERROR($L358/$J358,"")</f>
        <v/>
      </c>
      <c r="L358" s="13" t="n">
        <v>25146</v>
      </c>
      <c r="M358" s="13">
        <f>IFERROR($L358/$H358,"")</f>
        <v/>
      </c>
      <c r="N358" s="11" t="n">
        <v>45764</v>
      </c>
      <c r="O358" s="10">
        <f>IF($N358="","No","Yes")</f>
        <v/>
      </c>
      <c r="P358" s="12">
        <f>IF(OR($F358="",$G358=""),0,IF(AND($F358&lt;=README!$B$4,README!$B$4&lt;=$G358),1,0))</f>
        <v/>
      </c>
      <c r="Q358" s="12">
        <f>IF(OR($F358="",$G358=""),0,IF(AND($F358&lt;=DATE(README!$B$5,12,31),$G358&gt;=DATE(README!$B$5,1,1)),1,0))</f>
        <v/>
      </c>
      <c r="R358" s="10" t="inlineStr">
        <is>
          <t>GUT-VEH0013</t>
        </is>
      </c>
      <c r="S358" s="11" t="n">
        <v>45527</v>
      </c>
      <c r="T358" s="10" t="inlineStr">
        <is>
          <t>3</t>
        </is>
      </c>
      <c r="U358" s="10" t="inlineStr">
        <is>
          <t>VEHICLE</t>
        </is>
      </c>
      <c r="V358" s="10" t="inlineStr">
        <is>
          <t>T</t>
        </is>
      </c>
      <c r="W358" s="10" t="inlineStr">
        <is>
          <t>VIVEK B</t>
        </is>
      </c>
    </row>
    <row r="359">
      <c r="A359" s="10" t="inlineStr">
        <is>
          <t>TN57BS3636</t>
        </is>
      </c>
      <c r="B359" s="10" t="inlineStr">
        <is>
          <t>SOCKS</t>
        </is>
      </c>
      <c r="C359" s="10" t="inlineStr">
        <is>
          <t>RTO EXPENSE</t>
        </is>
      </c>
      <c r="D359" s="10" t="inlineStr">
        <is>
          <t>FINE</t>
        </is>
      </c>
      <c r="E359" s="10" t="inlineStr">
        <is>
          <t>YEARLY</t>
        </is>
      </c>
      <c r="F359" s="11" t="n">
        <v>45748</v>
      </c>
      <c r="G359" s="11" t="n">
        <v>46112</v>
      </c>
      <c r="H359" s="12">
        <f>IF(OR($F359="",$G359=""),"",$G359-$F359+1)</f>
        <v/>
      </c>
      <c r="I359" s="10">
        <f>IF($F359="","",IF(MONTH($F359)&gt;=4,YEAR($F359)&amp;"-"&amp;TEXT(YEAR($F359)+1-2000,"00"),YEAR($F359)-1&amp;"-"&amp;TEXT(YEAR($F359)-2000,"00")))</f>
        <v/>
      </c>
      <c r="J359" s="13" t="n">
        <v>3350</v>
      </c>
      <c r="K359" s="14">
        <f>IFERROR($L359/$J359,"")</f>
        <v/>
      </c>
      <c r="L359" s="13" t="n">
        <v>3350</v>
      </c>
      <c r="M359" s="13">
        <f>IFERROR($L359/$H359,"")</f>
        <v/>
      </c>
      <c r="N359" s="11" t="n">
        <v>45847</v>
      </c>
      <c r="O359" s="10">
        <f>IF($N359="","No","Yes")</f>
        <v/>
      </c>
      <c r="P359" s="12">
        <f>IF(OR($F359="",$G359=""),0,IF(AND($F359&lt;=README!$B$4,README!$B$4&lt;=$G359),1,0))</f>
        <v/>
      </c>
      <c r="Q359" s="12">
        <f>IF(OR($F359="",$G359=""),0,IF(AND($F359&lt;=DATE(README!$B$5,12,31),$G359&gt;=DATE(README!$B$5,1,1)),1,0))</f>
        <v/>
      </c>
      <c r="R359" s="10" t="inlineStr">
        <is>
          <t>GUP-VEH0022</t>
        </is>
      </c>
      <c r="S359" s="11" t="n">
        <v>45834</v>
      </c>
      <c r="T359" s="10" t="inlineStr">
        <is>
          <t>655</t>
        </is>
      </c>
      <c r="U359" s="10" t="inlineStr">
        <is>
          <t>VEHICLE</t>
        </is>
      </c>
      <c r="V359" s="10" t="inlineStr">
        <is>
          <t>T</t>
        </is>
      </c>
      <c r="W359" s="10" t="inlineStr">
        <is>
          <t>VIVEK B</t>
        </is>
      </c>
    </row>
    <row r="360">
      <c r="A360" s="10" t="inlineStr">
        <is>
          <t>TN57BS3636</t>
        </is>
      </c>
      <c r="B360" s="10" t="inlineStr">
        <is>
          <t>SOCKS</t>
        </is>
      </c>
      <c r="C360" s="10" t="inlineStr">
        <is>
          <t>VEHICLE INSURANCE</t>
        </is>
      </c>
      <c r="D360" s="10" t="inlineStr">
        <is>
          <t>VEHICLE INSURANCE</t>
        </is>
      </c>
      <c r="E360" s="10" t="inlineStr">
        <is>
          <t>YEARLY</t>
        </is>
      </c>
      <c r="F360" s="11" t="n">
        <v>45748</v>
      </c>
      <c r="G360" s="11" t="n">
        <v>46112</v>
      </c>
      <c r="H360" s="12">
        <f>IF(OR($F360="",$G360=""),"",$G360-$F360+1)</f>
        <v/>
      </c>
      <c r="I360" s="10">
        <f>IF($F360="","",IF(MONTH($F360)&gt;=4,YEAR($F360)&amp;"-"&amp;TEXT(YEAR($F360)+1-2000,"00"),YEAR($F360)-1&amp;"-"&amp;TEXT(YEAR($F360)-2000,"00")))</f>
        <v/>
      </c>
      <c r="J360" s="13" t="n">
        <v>19685</v>
      </c>
      <c r="K360" s="14">
        <f>IFERROR($L360/$J360,"")</f>
        <v/>
      </c>
      <c r="L360" s="13" t="n">
        <v>19685</v>
      </c>
      <c r="M360" s="13">
        <f>IFERROR($L360/$H360,"")</f>
        <v/>
      </c>
      <c r="N360" s="11" t="n">
        <v>45853</v>
      </c>
      <c r="O360" s="10">
        <f>IF($N360="","No","Yes")</f>
        <v/>
      </c>
      <c r="P360" s="12">
        <f>IF(OR($F360="",$G360=""),0,IF(AND($F360&lt;=README!$B$4,README!$B$4&lt;=$G360),1,0))</f>
        <v/>
      </c>
      <c r="Q360" s="12">
        <f>IF(OR($F360="",$G360=""),0,IF(AND($F360&lt;=DATE(README!$B$5,12,31),$G360&gt;=DATE(README!$B$5,1,1)),1,0))</f>
        <v/>
      </c>
      <c r="R360" s="10" t="inlineStr">
        <is>
          <t>GUP-VEH0020</t>
        </is>
      </c>
      <c r="S360" s="11" t="n">
        <v>45799</v>
      </c>
      <c r="T360" s="10" t="inlineStr">
        <is>
          <t>645</t>
        </is>
      </c>
      <c r="U360" s="10" t="inlineStr">
        <is>
          <t>VEHICLE</t>
        </is>
      </c>
      <c r="V360" s="10" t="inlineStr">
        <is>
          <t>T</t>
        </is>
      </c>
      <c r="W360" s="10" t="inlineStr">
        <is>
          <t>VIVEK B</t>
        </is>
      </c>
    </row>
    <row r="361">
      <c r="A361" s="10" t="inlineStr">
        <is>
          <t>TN57BS3636</t>
        </is>
      </c>
      <c r="B361" s="10" t="inlineStr"/>
      <c r="C361" s="10" t="inlineStr">
        <is>
          <t>VEHICLE OUTSIDE SERVICES</t>
        </is>
      </c>
      <c r="D361" s="10" t="inlineStr">
        <is>
          <t>MAINTENANCE SERVICE - 2</t>
        </is>
      </c>
      <c r="E361" s="10" t="inlineStr">
        <is>
          <t>YEARLY</t>
        </is>
      </c>
      <c r="F361" s="11" t="n">
        <v>45748</v>
      </c>
      <c r="G361" s="11" t="n">
        <v>46112</v>
      </c>
      <c r="H361" s="12">
        <f>IF(OR($F361="",$G361=""),"",$G361-$F361+1)</f>
        <v/>
      </c>
      <c r="I361" s="10">
        <f>IF($F361="","",IF(MONTH($F361)&gt;=4,YEAR($F361)&amp;"-"&amp;TEXT(YEAR($F361)+1-2000,"00"),YEAR($F361)-1&amp;"-"&amp;TEXT(YEAR($F361)-2000,"00")))</f>
        <v/>
      </c>
      <c r="J361" s="13" t="n">
        <v>37360</v>
      </c>
      <c r="K361" s="14">
        <f>IFERROR($L361/$J361,"")</f>
        <v/>
      </c>
      <c r="L361" s="13" t="n">
        <v>37360</v>
      </c>
      <c r="M361" s="13">
        <f>IFERROR($L361/$H361,"")</f>
        <v/>
      </c>
      <c r="N361" s="11" t="n">
        <v>45922</v>
      </c>
      <c r="O361" s="10">
        <f>IF($N361="","No","Yes")</f>
        <v/>
      </c>
      <c r="P361" s="12">
        <f>IF(OR($F361="",$G361=""),0,IF(AND($F361&lt;=README!$B$4,README!$B$4&lt;=$G361),1,0))</f>
        <v/>
      </c>
      <c r="Q361" s="12">
        <f>IF(OR($F361="",$G361=""),0,IF(AND($F361&lt;=DATE(README!$B$5,12,31),$G361&gt;=DATE(README!$B$5,1,1)),1,0))</f>
        <v/>
      </c>
      <c r="R361" s="10" t="inlineStr">
        <is>
          <t>GUT-VEH0021</t>
        </is>
      </c>
      <c r="S361" s="11" t="n">
        <v>45812</v>
      </c>
      <c r="T361" s="10" t="inlineStr">
        <is>
          <t>5</t>
        </is>
      </c>
      <c r="U361" s="10" t="inlineStr">
        <is>
          <t>VEHICLE</t>
        </is>
      </c>
      <c r="V361" s="10" t="inlineStr">
        <is>
          <t>T</t>
        </is>
      </c>
      <c r="W361" s="10" t="inlineStr">
        <is>
          <t>VIVEK B</t>
        </is>
      </c>
    </row>
    <row r="362">
      <c r="A362" s="10" t="inlineStr">
        <is>
          <t>TN57BS3636</t>
        </is>
      </c>
      <c r="B362" s="10" t="inlineStr"/>
      <c r="C362" s="10" t="inlineStr">
        <is>
          <t>VEHICLE OUTSIDE SERVICES</t>
        </is>
      </c>
      <c r="D362" s="10" t="inlineStr">
        <is>
          <t>MAINTENANCE SERVICE - 3</t>
        </is>
      </c>
      <c r="E362" s="10" t="inlineStr">
        <is>
          <t>YEARLY</t>
        </is>
      </c>
      <c r="F362" s="11" t="n">
        <v>45748</v>
      </c>
      <c r="G362" s="11" t="n">
        <v>46112</v>
      </c>
      <c r="H362" s="12">
        <f>IF(OR($F362="",$G362=""),"",$G362-$F362+1)</f>
        <v/>
      </c>
      <c r="I362" s="10">
        <f>IF($F362="","",IF(MONTH($F362)&gt;=4,YEAR($F362)&amp;"-"&amp;TEXT(YEAR($F362)+1-2000,"00"),YEAR($F362)-1&amp;"-"&amp;TEXT(YEAR($F362)-2000,"00")))</f>
        <v/>
      </c>
      <c r="J362" s="13" t="n">
        <v>15806</v>
      </c>
      <c r="K362" s="14">
        <f>IFERROR($L362/$J362,"")</f>
        <v/>
      </c>
      <c r="L362" s="13" t="n">
        <v>15806</v>
      </c>
      <c r="M362" s="13">
        <f>IFERROR($L362/$H362,"")</f>
        <v/>
      </c>
      <c r="N362" s="11" t="n">
        <v>45965</v>
      </c>
      <c r="O362" s="10">
        <f>IF($N362="","No","Yes")</f>
        <v/>
      </c>
      <c r="P362" s="12">
        <f>IF(OR($F362="",$G362=""),0,IF(AND($F362&lt;=README!$B$4,README!$B$4&lt;=$G362),1,0))</f>
        <v/>
      </c>
      <c r="Q362" s="12">
        <f>IF(OR($F362="",$G362=""),0,IF(AND($F362&lt;=DATE(README!$B$5,12,31),$G362&gt;=DATE(README!$B$5,1,1)),1,0))</f>
        <v/>
      </c>
      <c r="R362" s="10" t="inlineStr">
        <is>
          <t>GUT-VEH0021</t>
        </is>
      </c>
      <c r="S362" s="11" t="n">
        <v>45812</v>
      </c>
      <c r="T362" s="10" t="inlineStr">
        <is>
          <t>5</t>
        </is>
      </c>
      <c r="U362" s="10" t="inlineStr">
        <is>
          <t>VEHICLE</t>
        </is>
      </c>
      <c r="V362" s="10" t="inlineStr">
        <is>
          <t>T</t>
        </is>
      </c>
      <c r="W362" s="10" t="inlineStr">
        <is>
          <t>VIVEK B</t>
        </is>
      </c>
    </row>
    <row r="363">
      <c r="A363" s="10" t="inlineStr">
        <is>
          <t>TN57BS3636</t>
        </is>
      </c>
      <c r="B363" s="10" t="inlineStr"/>
      <c r="C363" s="10" t="inlineStr">
        <is>
          <t>VEHICLE OUTSIDE SERVICES</t>
        </is>
      </c>
      <c r="D363" s="10" t="inlineStr">
        <is>
          <t>MAINTENANCE SERVICE - 4</t>
        </is>
      </c>
      <c r="E363" s="10" t="inlineStr">
        <is>
          <t>YEARLY</t>
        </is>
      </c>
      <c r="F363" s="11" t="n">
        <v>45748</v>
      </c>
      <c r="G363" s="11" t="n">
        <v>46112</v>
      </c>
      <c r="H363" s="12">
        <f>IF(OR($F363="",$G363=""),"",$G363-$F363+1)</f>
        <v/>
      </c>
      <c r="I363" s="10">
        <f>IF($F363="","",IF(MONTH($F363)&gt;=4,YEAR($F363)&amp;"-"&amp;TEXT(YEAR($F363)+1-2000,"00"),YEAR($F363)-1&amp;"-"&amp;TEXT(YEAR($F363)-2000,"00")))</f>
        <v/>
      </c>
      <c r="J363" s="13" t="n">
        <v>11250</v>
      </c>
      <c r="K363" s="14">
        <f>IFERROR($L363/$J363,"")</f>
        <v/>
      </c>
      <c r="L363" s="13" t="n">
        <v>11250</v>
      </c>
      <c r="M363" s="13">
        <f>IFERROR($L363/$H363,"")</f>
        <v/>
      </c>
      <c r="N363" s="11" t="n">
        <v>46021</v>
      </c>
      <c r="O363" s="10">
        <f>IF($N363="","No","Yes")</f>
        <v/>
      </c>
      <c r="P363" s="12">
        <f>IF(OR($F363="",$G363=""),0,IF(AND($F363&lt;=README!$B$4,README!$B$4&lt;=$G363),1,0))</f>
        <v/>
      </c>
      <c r="Q363" s="12">
        <f>IF(OR($F363="",$G363=""),0,IF(AND($F363&lt;=DATE(README!$B$5,12,31),$G363&gt;=DATE(README!$B$5,1,1)),1,0))</f>
        <v/>
      </c>
      <c r="R363" s="10" t="inlineStr">
        <is>
          <t>GUT-VEH0021</t>
        </is>
      </c>
      <c r="S363" s="11" t="n">
        <v>45812</v>
      </c>
      <c r="T363" s="10" t="inlineStr">
        <is>
          <t>5</t>
        </is>
      </c>
      <c r="U363" s="10" t="inlineStr">
        <is>
          <t>VEHICLE</t>
        </is>
      </c>
      <c r="V363" s="10" t="inlineStr">
        <is>
          <t>T</t>
        </is>
      </c>
      <c r="W363" s="10" t="inlineStr">
        <is>
          <t>VIVEK B</t>
        </is>
      </c>
    </row>
    <row r="364">
      <c r="A364" s="10" t="inlineStr">
        <is>
          <t>TN57BS3636</t>
        </is>
      </c>
      <c r="B364" s="10" t="inlineStr"/>
      <c r="C364" s="10" t="inlineStr">
        <is>
          <t>VEHICLE OUTSIDE SERVICES</t>
        </is>
      </c>
      <c r="D364" s="10" t="inlineStr">
        <is>
          <t xml:space="preserve">MAINTENANCE SERVICE </t>
        </is>
      </c>
      <c r="E364" s="10" t="inlineStr">
        <is>
          <t>YEARLY</t>
        </is>
      </c>
      <c r="F364" s="11" t="n">
        <v>45748</v>
      </c>
      <c r="G364" s="11" t="n">
        <v>46112</v>
      </c>
      <c r="H364" s="12">
        <f>IF(OR($F364="",$G364=""),"",$G364-$F364+1)</f>
        <v/>
      </c>
      <c r="I364" s="10">
        <f>IF($F364="","",IF(MONTH($F364)&gt;=4,YEAR($F364)&amp;"-"&amp;TEXT(YEAR($F364)+1-2000,"00"),YEAR($F364)-1&amp;"-"&amp;TEXT(YEAR($F364)-2000,"00")))</f>
        <v/>
      </c>
      <c r="J364" s="13" t="n">
        <v>17713</v>
      </c>
      <c r="K364" s="14">
        <f>IFERROR($L364/$J364,"")</f>
        <v/>
      </c>
      <c r="L364" s="13" t="n">
        <v>17713</v>
      </c>
      <c r="M364" s="13">
        <f>IFERROR($L364/$H364,"")</f>
        <v/>
      </c>
      <c r="N364" s="11" t="n">
        <v>45847</v>
      </c>
      <c r="O364" s="10">
        <f>IF($N364="","No","Yes")</f>
        <v/>
      </c>
      <c r="P364" s="12">
        <f>IF(OR($F364="",$G364=""),0,IF(AND($F364&lt;=README!$B$4,README!$B$4&lt;=$G364),1,0))</f>
        <v/>
      </c>
      <c r="Q364" s="12">
        <f>IF(OR($F364="",$G364=""),0,IF(AND($F364&lt;=DATE(README!$B$5,12,31),$G364&gt;=DATE(README!$B$5,1,1)),1,0))</f>
        <v/>
      </c>
      <c r="R364" s="10" t="inlineStr">
        <is>
          <t>GUT-VEH0021</t>
        </is>
      </c>
      <c r="S364" s="11" t="n">
        <v>45812</v>
      </c>
      <c r="T364" s="10" t="inlineStr">
        <is>
          <t>5</t>
        </is>
      </c>
      <c r="U364" s="10" t="inlineStr">
        <is>
          <t>VEHICLE</t>
        </is>
      </c>
      <c r="V364" s="10" t="inlineStr">
        <is>
          <t>T</t>
        </is>
      </c>
      <c r="W364" s="10" t="inlineStr">
        <is>
          <t>VIVEK B</t>
        </is>
      </c>
    </row>
    <row r="365">
      <c r="A365" s="10" t="inlineStr">
        <is>
          <t>TN57BS3636</t>
        </is>
      </c>
      <c r="B365" s="10" t="inlineStr">
        <is>
          <t>SOCKS</t>
        </is>
      </c>
      <c r="C365" s="10" t="inlineStr">
        <is>
          <t>RTO EXPENSE</t>
        </is>
      </c>
      <c r="D365" s="10" t="inlineStr">
        <is>
          <t>HP-LOAN CLOSURE</t>
        </is>
      </c>
      <c r="E365" s="10" t="inlineStr">
        <is>
          <t>DECEMBER</t>
        </is>
      </c>
      <c r="F365" s="11" t="n">
        <v>45992</v>
      </c>
      <c r="G365" s="11" t="n">
        <v>46022</v>
      </c>
      <c r="H365" s="12">
        <f>IF(OR($F365="",$G365=""),"",$G365-$F365+1)</f>
        <v/>
      </c>
      <c r="I365" s="10">
        <f>IF($F365="","",IF(MONTH($F365)&gt;=4,YEAR($F365)&amp;"-"&amp;TEXT(YEAR($F365)+1-2000,"00"),YEAR($F365)-1&amp;"-"&amp;TEXT(YEAR($F365)-2000,"00")))</f>
        <v/>
      </c>
      <c r="J365" s="13" t="n">
        <v>1300</v>
      </c>
      <c r="K365" s="14">
        <f>IFERROR($L365/$J365,"")</f>
        <v/>
      </c>
      <c r="L365" s="13" t="n">
        <v>1300</v>
      </c>
      <c r="M365" s="13">
        <f>IFERROR($L365/$H365,"")</f>
        <v/>
      </c>
      <c r="N365" s="11" t="n">
        <v>45994</v>
      </c>
      <c r="O365" s="10">
        <f>IF($N365="","No","Yes")</f>
        <v/>
      </c>
      <c r="P365" s="12">
        <f>IF(OR($F365="",$G365=""),0,IF(AND($F365&lt;=README!$B$4,README!$B$4&lt;=$G365),1,0))</f>
        <v/>
      </c>
      <c r="Q365" s="12">
        <f>IF(OR($F365="",$G365=""),0,IF(AND($F365&lt;=DATE(README!$B$5,12,31),$G365&gt;=DATE(README!$B$5,1,1)),1,0))</f>
        <v/>
      </c>
      <c r="R365" s="10" t="inlineStr">
        <is>
          <t>GUP-VEH0022</t>
        </is>
      </c>
      <c r="S365" s="11" t="n">
        <v>45834</v>
      </c>
      <c r="T365" s="10" t="inlineStr">
        <is>
          <t>655</t>
        </is>
      </c>
      <c r="U365" s="10" t="inlineStr">
        <is>
          <t>VEHICLE</t>
        </is>
      </c>
      <c r="V365" s="10" t="inlineStr">
        <is>
          <t>T</t>
        </is>
      </c>
      <c r="W365" s="10" t="inlineStr">
        <is>
          <t>VIVEK B</t>
        </is>
      </c>
    </row>
    <row r="366">
      <c r="A366" s="10" t="inlineStr">
        <is>
          <t>TN57BS3636</t>
        </is>
      </c>
      <c r="B366" s="10" t="inlineStr">
        <is>
          <t>GENERAL</t>
        </is>
      </c>
      <c r="C366" s="10" t="inlineStr">
        <is>
          <t>VEHICLE OUTSIDE SERVICES</t>
        </is>
      </c>
      <c r="D366" s="10" t="inlineStr">
        <is>
          <t>BROKERAGE FEES - SALES</t>
        </is>
      </c>
      <c r="E366" s="10" t="inlineStr">
        <is>
          <t>MARCH</t>
        </is>
      </c>
      <c r="F366" s="11" t="n">
        <v>46082</v>
      </c>
      <c r="G366" s="11" t="n">
        <v>46112</v>
      </c>
      <c r="H366" s="12">
        <f>IF(OR($F366="",$G366=""),"",$G366-$F366+1)</f>
        <v/>
      </c>
      <c r="I366" s="10">
        <f>IF($F366="","",IF(MONTH($F366)&gt;=4,YEAR($F366)&amp;"-"&amp;TEXT(YEAR($F366)+1-2000,"00"),YEAR($F366)-1&amp;"-"&amp;TEXT(YEAR($F366)-2000,"00")))</f>
        <v/>
      </c>
      <c r="J366" s="13" t="n">
        <v>5000</v>
      </c>
      <c r="K366" s="14">
        <f>IFERROR($L366/$J366,"")</f>
        <v/>
      </c>
      <c r="L366" s="13" t="n">
        <v>5000</v>
      </c>
      <c r="M366" s="13">
        <f>IFERROR($L366/$H366,"")</f>
        <v/>
      </c>
      <c r="N366" s="11" t="n">
        <v>46092</v>
      </c>
      <c r="O366" s="10">
        <f>IF($N366="","No","Yes")</f>
        <v/>
      </c>
      <c r="P366" s="12">
        <f>IF(OR($F366="",$G366=""),0,IF(AND($F366&lt;=README!$B$4,README!$B$4&lt;=$G366),1,0))</f>
        <v/>
      </c>
      <c r="Q366" s="12">
        <f>IF(OR($F366="",$G366=""),0,IF(AND($F366&lt;=DATE(README!$B$5,12,31),$G366&gt;=DATE(README!$B$5,1,1)),1,0))</f>
        <v/>
      </c>
      <c r="R366" s="10" t="inlineStr">
        <is>
          <t>GUP-VEH0019</t>
        </is>
      </c>
      <c r="S366" s="11" t="n">
        <v>45777</v>
      </c>
      <c r="T366" s="10" t="inlineStr">
        <is>
          <t>638</t>
        </is>
      </c>
      <c r="U366" s="10" t="inlineStr">
        <is>
          <t>VEHICLE</t>
        </is>
      </c>
      <c r="V366" s="10" t="inlineStr">
        <is>
          <t>T</t>
        </is>
      </c>
      <c r="W366" s="10" t="inlineStr">
        <is>
          <t>VIVEK B</t>
        </is>
      </c>
    </row>
    <row r="367">
      <c r="A367" s="10" t="inlineStr">
        <is>
          <t>TN57BS8404</t>
        </is>
      </c>
      <c r="B367" s="10" t="inlineStr">
        <is>
          <t>SOCKS</t>
        </is>
      </c>
      <c r="C367" s="10" t="inlineStr">
        <is>
          <t>VEHICLE INSURANCE</t>
        </is>
      </c>
      <c r="D367" s="10" t="inlineStr">
        <is>
          <t>VEHICLE INSURANCE</t>
        </is>
      </c>
      <c r="E367" s="10" t="inlineStr">
        <is>
          <t>YEARLY</t>
        </is>
      </c>
      <c r="F367" s="11" t="n">
        <v>45383</v>
      </c>
      <c r="G367" s="11" t="n">
        <v>45747</v>
      </c>
      <c r="H367" s="12">
        <f>IF(OR($F367="",$G367=""),"",$G367-$F367+1)</f>
        <v/>
      </c>
      <c r="I367" s="10">
        <f>IF($F367="","",IF(MONTH($F367)&gt;=4,YEAR($F367)&amp;"-"&amp;TEXT(YEAR($F367)+1-2000,"00"),YEAR($F367)-1&amp;"-"&amp;TEXT(YEAR($F367)-2000,"00")))</f>
        <v/>
      </c>
      <c r="J367" s="13" t="n">
        <v>31415</v>
      </c>
      <c r="K367" s="14">
        <f>IFERROR($L367/$J367,"")</f>
        <v/>
      </c>
      <c r="L367" s="13" t="n">
        <v>31415</v>
      </c>
      <c r="M367" s="13">
        <f>IFERROR($L367/$H367,"")</f>
        <v/>
      </c>
      <c r="N367" s="11" t="n">
        <v>45702</v>
      </c>
      <c r="O367" s="10">
        <f>IF($N367="","No","Yes")</f>
        <v/>
      </c>
      <c r="P367" s="12">
        <f>IF(OR($F367="",$G367=""),0,IF(AND($F367&lt;=README!$B$4,README!$B$4&lt;=$G367),1,0))</f>
        <v/>
      </c>
      <c r="Q367" s="12">
        <f>IF(OR($F367="",$G367=""),0,IF(AND($F367&lt;=DATE(README!$B$5,12,31),$G367&gt;=DATE(README!$B$5,1,1)),1,0))</f>
        <v/>
      </c>
      <c r="R367" s="10" t="inlineStr">
        <is>
          <t>GUP-VEH0013</t>
        </is>
      </c>
      <c r="S367" s="11" t="n">
        <v>45478</v>
      </c>
      <c r="T367" s="10" t="inlineStr">
        <is>
          <t>550</t>
        </is>
      </c>
      <c r="U367" s="10" t="inlineStr">
        <is>
          <t>VEHICLE</t>
        </is>
      </c>
      <c r="V367" s="10" t="inlineStr">
        <is>
          <t>T</t>
        </is>
      </c>
      <c r="W367" s="10" t="inlineStr">
        <is>
          <t>VIVEK B</t>
        </is>
      </c>
    </row>
    <row r="368">
      <c r="A368" s="10" t="inlineStr">
        <is>
          <t>TN57BS8404</t>
        </is>
      </c>
      <c r="B368" s="10" t="inlineStr">
        <is>
          <t>SOCKS</t>
        </is>
      </c>
      <c r="C368" s="10" t="inlineStr">
        <is>
          <t>VEHICLE OUTSIDE SERVICES</t>
        </is>
      </c>
      <c r="D368" s="10" t="inlineStr">
        <is>
          <t xml:space="preserve">MAINTENANCE SERVICE </t>
        </is>
      </c>
      <c r="E368" s="10" t="inlineStr">
        <is>
          <t>YEARLY</t>
        </is>
      </c>
      <c r="F368" s="11" t="n">
        <v>45383</v>
      </c>
      <c r="G368" s="11" t="n">
        <v>45747</v>
      </c>
      <c r="H368" s="12">
        <f>IF(OR($F368="",$G368=""),"",$G368-$F368+1)</f>
        <v/>
      </c>
      <c r="I368" s="10">
        <f>IF($F368="","",IF(MONTH($F368)&gt;=4,YEAR($F368)&amp;"-"&amp;TEXT(YEAR($F368)+1-2000,"00"),YEAR($F368)-1&amp;"-"&amp;TEXT(YEAR($F368)-2000,"00")))</f>
        <v/>
      </c>
      <c r="J368" s="13" t="n">
        <v>10793</v>
      </c>
      <c r="K368" s="14">
        <f>IFERROR($L368/$J368,"")</f>
        <v/>
      </c>
      <c r="L368" s="13" t="n">
        <v>10793</v>
      </c>
      <c r="M368" s="13">
        <f>IFERROR($L368/$H368,"")</f>
        <v/>
      </c>
      <c r="N368" s="11" t="n">
        <v>45583</v>
      </c>
      <c r="O368" s="10">
        <f>IF($N368="","No","Yes")</f>
        <v/>
      </c>
      <c r="P368" s="12">
        <f>IF(OR($F368="",$G368=""),0,IF(AND($F368&lt;=README!$B$4,README!$B$4&lt;=$G368),1,0))</f>
        <v/>
      </c>
      <c r="Q368" s="12">
        <f>IF(OR($F368="",$G368=""),0,IF(AND($F368&lt;=DATE(README!$B$5,12,31),$G368&gt;=DATE(README!$B$5,1,1)),1,0))</f>
        <v/>
      </c>
      <c r="R368" s="10" t="inlineStr">
        <is>
          <t>GUP-VEH0012</t>
        </is>
      </c>
      <c r="S368" s="11" t="n">
        <v>45477</v>
      </c>
      <c r="T368" s="10" t="inlineStr">
        <is>
          <t>549</t>
        </is>
      </c>
      <c r="U368" s="10" t="inlineStr">
        <is>
          <t>VEHICLE</t>
        </is>
      </c>
      <c r="V368" s="10" t="inlineStr">
        <is>
          <t>T</t>
        </is>
      </c>
      <c r="W368" s="10" t="inlineStr">
        <is>
          <t>VIVEK B</t>
        </is>
      </c>
    </row>
    <row r="369">
      <c r="A369" s="10" t="inlineStr">
        <is>
          <t>TN57BS8404</t>
        </is>
      </c>
      <c r="B369" s="10" t="inlineStr">
        <is>
          <t>SOCKS</t>
        </is>
      </c>
      <c r="C369" s="10" t="inlineStr">
        <is>
          <t>VEHICLE OUTSIDE SERVICES</t>
        </is>
      </c>
      <c r="D369" s="10" t="inlineStr">
        <is>
          <t>MAINTENANCE SERVICE - 2</t>
        </is>
      </c>
      <c r="E369" s="10" t="inlineStr">
        <is>
          <t>YEARLY</t>
        </is>
      </c>
      <c r="F369" s="11" t="n">
        <v>45383</v>
      </c>
      <c r="G369" s="11" t="n">
        <v>45747</v>
      </c>
      <c r="H369" s="12">
        <f>IF(OR($F369="",$G369=""),"",$G369-$F369+1)</f>
        <v/>
      </c>
      <c r="I369" s="10">
        <f>IF($F369="","",IF(MONTH($F369)&gt;=4,YEAR($F369)&amp;"-"&amp;TEXT(YEAR($F369)+1-2000,"00"),YEAR($F369)-1&amp;"-"&amp;TEXT(YEAR($F369)-2000,"00")))</f>
        <v/>
      </c>
      <c r="J369" s="13" t="n">
        <v>19370.16</v>
      </c>
      <c r="K369" s="14">
        <f>IFERROR($L369/$J369,"")</f>
        <v/>
      </c>
      <c r="L369" s="13" t="n">
        <v>19370.16</v>
      </c>
      <c r="M369" s="13">
        <f>IFERROR($L369/$H369,"")</f>
        <v/>
      </c>
      <c r="N369" s="11" t="n">
        <v>45696</v>
      </c>
      <c r="O369" s="10">
        <f>IF($N369="","No","Yes")</f>
        <v/>
      </c>
      <c r="P369" s="12">
        <f>IF(OR($F369="",$G369=""),0,IF(AND($F369&lt;=README!$B$4,README!$B$4&lt;=$G369),1,0))</f>
        <v/>
      </c>
      <c r="Q369" s="12">
        <f>IF(OR($F369="",$G369=""),0,IF(AND($F369&lt;=DATE(README!$B$5,12,31),$G369&gt;=DATE(README!$B$5,1,1)),1,0))</f>
        <v/>
      </c>
      <c r="R369" s="10" t="inlineStr">
        <is>
          <t>GUP-VEH0012</t>
        </is>
      </c>
      <c r="S369" s="11" t="n">
        <v>45477</v>
      </c>
      <c r="T369" s="10" t="inlineStr">
        <is>
          <t>549</t>
        </is>
      </c>
      <c r="U369" s="10" t="inlineStr">
        <is>
          <t>VEHICLE</t>
        </is>
      </c>
      <c r="V369" s="10" t="inlineStr">
        <is>
          <t>T</t>
        </is>
      </c>
      <c r="W369" s="10" t="inlineStr">
        <is>
          <t>VIVEK B</t>
        </is>
      </c>
    </row>
    <row r="370">
      <c r="A370" s="10" t="inlineStr">
        <is>
          <t>TN57BS8404</t>
        </is>
      </c>
      <c r="B370" s="10" t="inlineStr">
        <is>
          <t>SOCKS</t>
        </is>
      </c>
      <c r="C370" s="10" t="inlineStr">
        <is>
          <t>VEHICLE INSURANCE</t>
        </is>
      </c>
      <c r="D370" s="10" t="inlineStr">
        <is>
          <t>VEHICLE INSURANCE</t>
        </is>
      </c>
      <c r="E370" s="10" t="inlineStr">
        <is>
          <t>YEARLY</t>
        </is>
      </c>
      <c r="F370" s="11" t="n">
        <v>45748</v>
      </c>
      <c r="G370" s="11" t="n">
        <v>46112</v>
      </c>
      <c r="H370" s="12">
        <f>IF(OR($F370="",$G370=""),"",$G370-$F370+1)</f>
        <v/>
      </c>
      <c r="I370" s="10">
        <f>IF($F370="","",IF(MONTH($F370)&gt;=4,YEAR($F370)&amp;"-"&amp;TEXT(YEAR($F370)+1-2000,"00"),YEAR($F370)-1&amp;"-"&amp;TEXT(YEAR($F370)-2000,"00")))</f>
        <v/>
      </c>
      <c r="J370" s="13" t="n">
        <v>28543</v>
      </c>
      <c r="K370" s="14">
        <f>IFERROR($L370/$J370,"")</f>
        <v/>
      </c>
      <c r="L370" s="13" t="n">
        <v>28543</v>
      </c>
      <c r="M370" s="13">
        <f>IFERROR($L370/$H370,"")</f>
        <v/>
      </c>
      <c r="N370" s="11" t="n">
        <v>46083</v>
      </c>
      <c r="O370" s="10">
        <f>IF($N370="","No","Yes")</f>
        <v/>
      </c>
      <c r="P370" s="12">
        <f>IF(OR($F370="",$G370=""),0,IF(AND($F370&lt;=README!$B$4,README!$B$4&lt;=$G370),1,0))</f>
        <v/>
      </c>
      <c r="Q370" s="12">
        <f>IF(OR($F370="",$G370=""),0,IF(AND($F370&lt;=DATE(README!$B$5,12,31),$G370&gt;=DATE(README!$B$5,1,1)),1,0))</f>
        <v/>
      </c>
      <c r="R370" s="10" t="inlineStr">
        <is>
          <t>GUP-VEH0020</t>
        </is>
      </c>
      <c r="S370" s="11" t="n">
        <v>45799</v>
      </c>
      <c r="T370" s="10" t="inlineStr">
        <is>
          <t>645</t>
        </is>
      </c>
      <c r="U370" s="10" t="inlineStr">
        <is>
          <t>VEHICLE</t>
        </is>
      </c>
      <c r="V370" s="10" t="inlineStr">
        <is>
          <t>T</t>
        </is>
      </c>
      <c r="W370" s="10" t="inlineStr">
        <is>
          <t>VIVEK B</t>
        </is>
      </c>
    </row>
    <row r="371">
      <c r="A371" s="10" t="inlineStr">
        <is>
          <t>TN57BS8404</t>
        </is>
      </c>
      <c r="B371" s="10" t="inlineStr">
        <is>
          <t>GENERAL</t>
        </is>
      </c>
      <c r="C371" s="10" t="inlineStr">
        <is>
          <t>VEHICLE OUTSIDE SERVICES</t>
        </is>
      </c>
      <c r="D371" s="10" t="inlineStr">
        <is>
          <t xml:space="preserve">MAINTENANCE SERVICE </t>
        </is>
      </c>
      <c r="E371" s="10" t="inlineStr">
        <is>
          <t>YEARLY</t>
        </is>
      </c>
      <c r="F371" s="11" t="n">
        <v>45748</v>
      </c>
      <c r="G371" s="11" t="n">
        <v>46112</v>
      </c>
      <c r="H371" s="12">
        <f>IF(OR($F371="",$G371=""),"",$G371-$F371+1)</f>
        <v/>
      </c>
      <c r="I371" s="10">
        <f>IF($F371="","",IF(MONTH($F371)&gt;=4,YEAR($F371)&amp;"-"&amp;TEXT(YEAR($F371)+1-2000,"00"),YEAR($F371)-1&amp;"-"&amp;TEXT(YEAR($F371)-2000,"00")))</f>
        <v/>
      </c>
      <c r="J371" s="13" t="n">
        <v>42826</v>
      </c>
      <c r="K371" s="14">
        <f>IFERROR($L371/$J371,"")</f>
        <v/>
      </c>
      <c r="L371" s="13" t="n">
        <v>42826</v>
      </c>
      <c r="M371" s="13">
        <f>IFERROR($L371/$H371,"")</f>
        <v/>
      </c>
      <c r="N371" s="11" t="n">
        <v>45934</v>
      </c>
      <c r="O371" s="10">
        <f>IF($N371="","No","Yes")</f>
        <v/>
      </c>
      <c r="P371" s="12">
        <f>IF(OR($F371="",$G371=""),0,IF(AND($F371&lt;=README!$B$4,README!$B$4&lt;=$G371),1,0))</f>
        <v/>
      </c>
      <c r="Q371" s="12">
        <f>IF(OR($F371="",$G371=""),0,IF(AND($F371&lt;=DATE(README!$B$5,12,31),$G371&gt;=DATE(README!$B$5,1,1)),1,0))</f>
        <v/>
      </c>
      <c r="R371" s="10" t="inlineStr">
        <is>
          <t>GUP-VEH0019</t>
        </is>
      </c>
      <c r="S371" s="11" t="n">
        <v>45777</v>
      </c>
      <c r="T371" s="10" t="inlineStr">
        <is>
          <t>638</t>
        </is>
      </c>
      <c r="U371" s="10" t="inlineStr">
        <is>
          <t>VEHICLE</t>
        </is>
      </c>
      <c r="V371" s="10" t="inlineStr">
        <is>
          <t>T</t>
        </is>
      </c>
      <c r="W371" s="10" t="inlineStr">
        <is>
          <t>VIVEK B</t>
        </is>
      </c>
    </row>
    <row r="372">
      <c r="A372" s="10" t="inlineStr">
        <is>
          <t>TN57BS8404</t>
        </is>
      </c>
      <c r="B372" s="10" t="inlineStr">
        <is>
          <t>GENERAL</t>
        </is>
      </c>
      <c r="C372" s="10" t="inlineStr">
        <is>
          <t>VEHICLE OUTSIDE SERVICES</t>
        </is>
      </c>
      <c r="D372" s="10" t="inlineStr">
        <is>
          <t xml:space="preserve">MAINTENANCE SERVICE </t>
        </is>
      </c>
      <c r="E372" s="10" t="inlineStr">
        <is>
          <t>YEARLY</t>
        </is>
      </c>
      <c r="F372" s="11" t="n">
        <v>45748</v>
      </c>
      <c r="G372" s="11" t="n">
        <v>46112</v>
      </c>
      <c r="H372" s="12">
        <f>IF(OR($F372="",$G372=""),"",$G372-$F372+1)</f>
        <v/>
      </c>
      <c r="I372" s="10">
        <f>IF($F372="","",IF(MONTH($F372)&gt;=4,YEAR($F372)&amp;"-"&amp;TEXT(YEAR($F372)+1-2000,"00"),YEAR($F372)-1&amp;"-"&amp;TEXT(YEAR($F372)-2000,"00")))</f>
        <v/>
      </c>
      <c r="J372" s="13" t="n">
        <v>9133.389999999999</v>
      </c>
      <c r="K372" s="14">
        <f>IFERROR($L372/$J372,"")</f>
        <v/>
      </c>
      <c r="L372" s="13" t="n">
        <v>9133.389999999999</v>
      </c>
      <c r="M372" s="13">
        <f>IFERROR($L372/$H372,"")</f>
        <v/>
      </c>
      <c r="N372" s="11" t="n">
        <v>45777</v>
      </c>
      <c r="O372" s="10">
        <f>IF($N372="","No","Yes")</f>
        <v/>
      </c>
      <c r="P372" s="12">
        <f>IF(OR($F372="",$G372=""),0,IF(AND($F372&lt;=README!$B$4,README!$B$4&lt;=$G372),1,0))</f>
        <v/>
      </c>
      <c r="Q372" s="12">
        <f>IF(OR($F372="",$G372=""),0,IF(AND($F372&lt;=DATE(README!$B$5,12,31),$G372&gt;=DATE(README!$B$5,1,1)),1,0))</f>
        <v/>
      </c>
      <c r="R372" s="10" t="inlineStr">
        <is>
          <t>GUP-VEH0019</t>
        </is>
      </c>
      <c r="S372" s="11" t="n">
        <v>45777</v>
      </c>
      <c r="T372" s="10" t="inlineStr">
        <is>
          <t>638</t>
        </is>
      </c>
      <c r="U372" s="10" t="inlineStr">
        <is>
          <t>VEHICLE</t>
        </is>
      </c>
      <c r="V372" s="10" t="inlineStr">
        <is>
          <t>T</t>
        </is>
      </c>
      <c r="W372" s="10" t="inlineStr">
        <is>
          <t>VIVEK B</t>
        </is>
      </c>
    </row>
    <row r="373">
      <c r="A373" s="10" t="inlineStr">
        <is>
          <t>TN57BS8404</t>
        </is>
      </c>
      <c r="B373" s="10" t="inlineStr">
        <is>
          <t>GENERAL</t>
        </is>
      </c>
      <c r="C373" s="10" t="inlineStr">
        <is>
          <t>VEHICLE OUTSIDE SERVICES</t>
        </is>
      </c>
      <c r="D373" s="10" t="inlineStr">
        <is>
          <t>MAINTENANCE SERVICE - 2</t>
        </is>
      </c>
      <c r="E373" s="10" t="inlineStr">
        <is>
          <t>YEARLY</t>
        </is>
      </c>
      <c r="F373" s="11" t="n">
        <v>45748</v>
      </c>
      <c r="G373" s="11" t="n">
        <v>46112</v>
      </c>
      <c r="H373" s="12">
        <f>IF(OR($F373="",$G373=""),"",$G373-$F373+1)</f>
        <v/>
      </c>
      <c r="I373" s="10">
        <f>IF($F373="","",IF(MONTH($F373)&gt;=4,YEAR($F373)&amp;"-"&amp;TEXT(YEAR($F373)+1-2000,"00"),YEAR($F373)-1&amp;"-"&amp;TEXT(YEAR($F373)-2000,"00")))</f>
        <v/>
      </c>
      <c r="J373" s="13" t="n">
        <v>13254</v>
      </c>
      <c r="K373" s="14">
        <f>IFERROR($L373/$J373,"")</f>
        <v/>
      </c>
      <c r="L373" s="13" t="n">
        <v>13254</v>
      </c>
      <c r="M373" s="13">
        <f>IFERROR($L373/$H373,"")</f>
        <v/>
      </c>
      <c r="N373" s="11" t="n">
        <v>45840</v>
      </c>
      <c r="O373" s="10">
        <f>IF($N373="","No","Yes")</f>
        <v/>
      </c>
      <c r="P373" s="12">
        <f>IF(OR($F373="",$G373=""),0,IF(AND($F373&lt;=README!$B$4,README!$B$4&lt;=$G373),1,0))</f>
        <v/>
      </c>
      <c r="Q373" s="12">
        <f>IF(OR($F373="",$G373=""),0,IF(AND($F373&lt;=DATE(README!$B$5,12,31),$G373&gt;=DATE(README!$B$5,1,1)),1,0))</f>
        <v/>
      </c>
      <c r="R373" s="10" t="inlineStr">
        <is>
          <t>GUP-VEH0019</t>
        </is>
      </c>
      <c r="S373" s="11" t="n">
        <v>45777</v>
      </c>
      <c r="T373" s="10" t="inlineStr">
        <is>
          <t>638</t>
        </is>
      </c>
      <c r="U373" s="10" t="inlineStr">
        <is>
          <t>VEHICLE</t>
        </is>
      </c>
      <c r="V373" s="10" t="inlineStr">
        <is>
          <t>T</t>
        </is>
      </c>
      <c r="W373" s="10" t="inlineStr">
        <is>
          <t>VIVEK B</t>
        </is>
      </c>
    </row>
    <row r="374">
      <c r="A374" s="10" t="inlineStr">
        <is>
          <t>TN57BS8404</t>
        </is>
      </c>
      <c r="B374" s="10" t="inlineStr">
        <is>
          <t>GENERAL</t>
        </is>
      </c>
      <c r="C374" s="10" t="inlineStr">
        <is>
          <t>VEHICLE OUTSIDE SERVICES</t>
        </is>
      </c>
      <c r="D374" s="10" t="inlineStr">
        <is>
          <t>MAINTENANCE SERVICE - 3</t>
        </is>
      </c>
      <c r="E374" s="10" t="inlineStr">
        <is>
          <t>MARCH</t>
        </is>
      </c>
      <c r="F374" s="11" t="n">
        <v>46082</v>
      </c>
      <c r="G374" s="11" t="n">
        <v>46112</v>
      </c>
      <c r="H374" s="12">
        <f>IF(OR($F374="",$G374=""),"",$G374-$F374+1)</f>
        <v/>
      </c>
      <c r="I374" s="10">
        <f>IF($F374="","",IF(MONTH($F374)&gt;=4,YEAR($F374)&amp;"-"&amp;TEXT(YEAR($F374)+1-2000,"00"),YEAR($F374)-1&amp;"-"&amp;TEXT(YEAR($F374)-2000,"00")))</f>
        <v/>
      </c>
      <c r="J374" s="13" t="n">
        <v>16116.03</v>
      </c>
      <c r="K374" s="14">
        <f>IFERROR($L374/$J374,"")</f>
        <v/>
      </c>
      <c r="L374" s="13" t="n">
        <v>16116.03</v>
      </c>
      <c r="M374" s="13">
        <f>IFERROR($L374/$H374,"")</f>
        <v/>
      </c>
      <c r="N374" s="11" t="n">
        <v>46090</v>
      </c>
      <c r="O374" s="10">
        <f>IF($N374="","No","Yes")</f>
        <v/>
      </c>
      <c r="P374" s="12">
        <f>IF(OR($F374="",$G374=""),0,IF(AND($F374&lt;=README!$B$4,README!$B$4&lt;=$G374),1,0))</f>
        <v/>
      </c>
      <c r="Q374" s="12">
        <f>IF(OR($F374="",$G374=""),0,IF(AND($F374&lt;=DATE(README!$B$5,12,31),$G374&gt;=DATE(README!$B$5,1,1)),1,0))</f>
        <v/>
      </c>
      <c r="R374" s="10" t="inlineStr">
        <is>
          <t>GUP-VEH0019</t>
        </is>
      </c>
      <c r="S374" s="11" t="n">
        <v>45777</v>
      </c>
      <c r="T374" s="10" t="inlineStr">
        <is>
          <t>638</t>
        </is>
      </c>
      <c r="U374" s="10" t="inlineStr">
        <is>
          <t>VEHICLE</t>
        </is>
      </c>
      <c r="V374" s="10" t="inlineStr">
        <is>
          <t>T</t>
        </is>
      </c>
      <c r="W374" s="10" t="inlineStr">
        <is>
          <t>VIVEK B</t>
        </is>
      </c>
    </row>
    <row r="375">
      <c r="A375" s="10" t="inlineStr">
        <is>
          <t>TN57BX3636</t>
        </is>
      </c>
      <c r="B375" s="10" t="inlineStr">
        <is>
          <t>SOCKS</t>
        </is>
      </c>
      <c r="C375" s="10" t="inlineStr">
        <is>
          <t>TYRE</t>
        </is>
      </c>
      <c r="D375" s="10" t="inlineStr">
        <is>
          <t>TYRE</t>
        </is>
      </c>
      <c r="E375" s="10" t="inlineStr">
        <is>
          <t>YEARLY</t>
        </is>
      </c>
      <c r="F375" s="11" t="n">
        <v>45383</v>
      </c>
      <c r="G375" s="11" t="n">
        <v>45747</v>
      </c>
      <c r="H375" s="12">
        <f>IF(OR($F375="",$G375=""),"",$G375-$F375+1)</f>
        <v/>
      </c>
      <c r="I375" s="10">
        <f>IF($F375="","",IF(MONTH($F375)&gt;=4,YEAR($F375)&amp;"-"&amp;TEXT(YEAR($F375)+1-2000,"00"),YEAR($F375)-1&amp;"-"&amp;TEXT(YEAR($F375)-2000,"00")))</f>
        <v/>
      </c>
      <c r="J375" s="13" t="n">
        <v>5000</v>
      </c>
      <c r="K375" s="14">
        <f>IFERROR($L375/$J375,"")</f>
        <v/>
      </c>
      <c r="L375" s="13" t="n">
        <v>20000</v>
      </c>
      <c r="M375" s="13">
        <f>IFERROR($L375/$H375,"")</f>
        <v/>
      </c>
      <c r="N375" s="11" t="n">
        <v>45609</v>
      </c>
      <c r="O375" s="10">
        <f>IF($N375="","No","Yes")</f>
        <v/>
      </c>
      <c r="P375" s="12">
        <f>IF(OR($F375="",$G375=""),0,IF(AND($F375&lt;=README!$B$4,README!$B$4&lt;=$G375),1,0))</f>
        <v/>
      </c>
      <c r="Q375" s="12">
        <f>IF(OR($F375="",$G375=""),0,IF(AND($F375&lt;=DATE(README!$B$5,12,31),$G375&gt;=DATE(README!$B$5,1,1)),1,0))</f>
        <v/>
      </c>
      <c r="R375" s="10" t="inlineStr">
        <is>
          <t>GUP-VEH0006</t>
        </is>
      </c>
      <c r="S375" s="11" t="n">
        <v>45442</v>
      </c>
      <c r="T375" s="10" t="inlineStr">
        <is>
          <t>522</t>
        </is>
      </c>
      <c r="U375" s="10" t="inlineStr">
        <is>
          <t>VEHICLE</t>
        </is>
      </c>
      <c r="V375" s="10" t="inlineStr">
        <is>
          <t>T</t>
        </is>
      </c>
      <c r="W375" s="10" t="inlineStr">
        <is>
          <t>VIVEK B</t>
        </is>
      </c>
    </row>
    <row r="376">
      <c r="A376" s="10" t="inlineStr">
        <is>
          <t>TN57BX3636</t>
        </is>
      </c>
      <c r="B376" s="10" t="inlineStr">
        <is>
          <t>SOCKS</t>
        </is>
      </c>
      <c r="C376" s="10" t="inlineStr">
        <is>
          <t>VEHICLE INSURANCE</t>
        </is>
      </c>
      <c r="D376" s="10" t="inlineStr">
        <is>
          <t>VEHICLE INSURANCE</t>
        </is>
      </c>
      <c r="E376" s="10" t="inlineStr">
        <is>
          <t>YEARLY</t>
        </is>
      </c>
      <c r="F376" s="11" t="n">
        <v>45383</v>
      </c>
      <c r="G376" s="11" t="n">
        <v>45747</v>
      </c>
      <c r="H376" s="12">
        <f>IF(OR($F376="",$G376=""),"",$G376-$F376+1)</f>
        <v/>
      </c>
      <c r="I376" s="10">
        <f>IF($F376="","",IF(MONTH($F376)&gt;=4,YEAR($F376)&amp;"-"&amp;TEXT(YEAR($F376)+1-2000,"00"),YEAR($F376)-1&amp;"-"&amp;TEXT(YEAR($F376)-2000,"00")))</f>
        <v/>
      </c>
      <c r="J376" s="13" t="n">
        <v>9388</v>
      </c>
      <c r="K376" s="14">
        <f>IFERROR($L376/$J376,"")</f>
        <v/>
      </c>
      <c r="L376" s="13" t="n">
        <v>9388</v>
      </c>
      <c r="M376" s="13">
        <f>IFERROR($L376/$H376,"")</f>
        <v/>
      </c>
      <c r="N376" s="11" t="n">
        <v>45612</v>
      </c>
      <c r="O376" s="10">
        <f>IF($N376="","No","Yes")</f>
        <v/>
      </c>
      <c r="P376" s="12">
        <f>IF(OR($F376="",$G376=""),0,IF(AND($F376&lt;=README!$B$4,README!$B$4&lt;=$G376),1,0))</f>
        <v/>
      </c>
      <c r="Q376" s="12">
        <f>IF(OR($F376="",$G376=""),0,IF(AND($F376&lt;=DATE(README!$B$5,12,31),$G376&gt;=DATE(README!$B$5,1,1)),1,0))</f>
        <v/>
      </c>
      <c r="R376" s="10" t="inlineStr">
        <is>
          <t>GUP-VEH0013</t>
        </is>
      </c>
      <c r="S376" s="11" t="n">
        <v>45478</v>
      </c>
      <c r="T376" s="10" t="inlineStr">
        <is>
          <t>550</t>
        </is>
      </c>
      <c r="U376" s="10" t="inlineStr">
        <is>
          <t>VEHICLE</t>
        </is>
      </c>
      <c r="V376" s="10" t="inlineStr">
        <is>
          <t>T</t>
        </is>
      </c>
      <c r="W376" s="10" t="inlineStr">
        <is>
          <t>VIVEK B</t>
        </is>
      </c>
    </row>
    <row r="377">
      <c r="A377" s="10" t="inlineStr">
        <is>
          <t>TN57BX3636</t>
        </is>
      </c>
      <c r="B377" s="10" t="inlineStr">
        <is>
          <t>SOCKS</t>
        </is>
      </c>
      <c r="C377" s="10" t="inlineStr">
        <is>
          <t>VEHICLE OUTSIDE SERVICES</t>
        </is>
      </c>
      <c r="D377" s="10" t="inlineStr">
        <is>
          <t>MAINTENANCE SERVICE - 5</t>
        </is>
      </c>
      <c r="E377" s="10" t="inlineStr">
        <is>
          <t>YEARLY</t>
        </is>
      </c>
      <c r="F377" s="11" t="n">
        <v>45383</v>
      </c>
      <c r="G377" s="11" t="n">
        <v>45747</v>
      </c>
      <c r="H377" s="12">
        <f>IF(OR($F377="",$G377=""),"",$G377-$F377+1)</f>
        <v/>
      </c>
      <c r="I377" s="10">
        <f>IF($F377="","",IF(MONTH($F377)&gt;=4,YEAR($F377)&amp;"-"&amp;TEXT(YEAR($F377)+1-2000,"00"),YEAR($F377)-1&amp;"-"&amp;TEXT(YEAR($F377)-2000,"00")))</f>
        <v/>
      </c>
      <c r="J377" s="13" t="n">
        <v>21635</v>
      </c>
      <c r="K377" s="14">
        <f>IFERROR($L377/$J377,"")</f>
        <v/>
      </c>
      <c r="L377" s="13" t="n">
        <v>21635</v>
      </c>
      <c r="M377" s="13">
        <f>IFERROR($L377/$H377,"")</f>
        <v/>
      </c>
      <c r="N377" s="11" t="n">
        <v>45744</v>
      </c>
      <c r="O377" s="10">
        <f>IF($N377="","No","Yes")</f>
        <v/>
      </c>
      <c r="P377" s="12">
        <f>IF(OR($F377="",$G377=""),0,IF(AND($F377&lt;=README!$B$4,README!$B$4&lt;=$G377),1,0))</f>
        <v/>
      </c>
      <c r="Q377" s="12">
        <f>IF(OR($F377="",$G377=""),0,IF(AND($F377&lt;=DATE(README!$B$5,12,31),$G377&gt;=DATE(README!$B$5,1,1)),1,0))</f>
        <v/>
      </c>
      <c r="R377" s="10" t="inlineStr">
        <is>
          <t>GUP-VEH0012</t>
        </is>
      </c>
      <c r="S377" s="11" t="n">
        <v>45477</v>
      </c>
      <c r="T377" s="10" t="inlineStr">
        <is>
          <t>549</t>
        </is>
      </c>
      <c r="U377" s="10" t="inlineStr">
        <is>
          <t>VEHICLE</t>
        </is>
      </c>
      <c r="V377" s="10" t="inlineStr">
        <is>
          <t>T</t>
        </is>
      </c>
      <c r="W377" s="10" t="inlineStr">
        <is>
          <t>VIVEK B</t>
        </is>
      </c>
    </row>
    <row r="378">
      <c r="A378" s="10" t="inlineStr">
        <is>
          <t>TN57BX3636</t>
        </is>
      </c>
      <c r="B378" s="10" t="inlineStr">
        <is>
          <t>SOCKS</t>
        </is>
      </c>
      <c r="C378" s="10" t="inlineStr">
        <is>
          <t>VEHICLE OUTSIDE SERVICES</t>
        </is>
      </c>
      <c r="D378" s="10" t="inlineStr">
        <is>
          <t>MAINTENANCE SERVICE - 3</t>
        </is>
      </c>
      <c r="E378" s="10" t="inlineStr">
        <is>
          <t>YEARLY</t>
        </is>
      </c>
      <c r="F378" s="11" t="n">
        <v>45383</v>
      </c>
      <c r="G378" s="11" t="n">
        <v>45747</v>
      </c>
      <c r="H378" s="12">
        <f>IF(OR($F378="",$G378=""),"",$G378-$F378+1)</f>
        <v/>
      </c>
      <c r="I378" s="10">
        <f>IF($F378="","",IF(MONTH($F378)&gt;=4,YEAR($F378)&amp;"-"&amp;TEXT(YEAR($F378)+1-2000,"00"),YEAR($F378)-1&amp;"-"&amp;TEXT(YEAR($F378)-2000,"00")))</f>
        <v/>
      </c>
      <c r="J378" s="13" t="n">
        <v>31216</v>
      </c>
      <c r="K378" s="14">
        <f>IFERROR($L378/$J378,"")</f>
        <v/>
      </c>
      <c r="L378" s="13" t="n">
        <v>31216</v>
      </c>
      <c r="M378" s="13">
        <f>IFERROR($L378/$H378,"")</f>
        <v/>
      </c>
      <c r="N378" s="11" t="n">
        <v>45624</v>
      </c>
      <c r="O378" s="10">
        <f>IF($N378="","No","Yes")</f>
        <v/>
      </c>
      <c r="P378" s="12">
        <f>IF(OR($F378="",$G378=""),0,IF(AND($F378&lt;=README!$B$4,README!$B$4&lt;=$G378),1,0))</f>
        <v/>
      </c>
      <c r="Q378" s="12">
        <f>IF(OR($F378="",$G378=""),0,IF(AND($F378&lt;=DATE(README!$B$5,12,31),$G378&gt;=DATE(README!$B$5,1,1)),1,0))</f>
        <v/>
      </c>
      <c r="R378" s="10" t="inlineStr">
        <is>
          <t>GUP-VEH0012</t>
        </is>
      </c>
      <c r="S378" s="11" t="n">
        <v>45477</v>
      </c>
      <c r="T378" s="10" t="inlineStr">
        <is>
          <t>549</t>
        </is>
      </c>
      <c r="U378" s="10" t="inlineStr">
        <is>
          <t>VEHICLE</t>
        </is>
      </c>
      <c r="V378" s="10" t="inlineStr">
        <is>
          <t>T</t>
        </is>
      </c>
      <c r="W378" s="10" t="inlineStr">
        <is>
          <t>VIVEK B</t>
        </is>
      </c>
    </row>
    <row r="379">
      <c r="A379" s="10" t="inlineStr">
        <is>
          <t>TN57BX3636</t>
        </is>
      </c>
      <c r="B379" s="10" t="inlineStr">
        <is>
          <t>SOCKS</t>
        </is>
      </c>
      <c r="C379" s="10" t="inlineStr">
        <is>
          <t>VEHICLE OUTSIDE SERVICES</t>
        </is>
      </c>
      <c r="D379" s="10" t="inlineStr">
        <is>
          <t>MAINTENANCE SERVICE - 2</t>
        </is>
      </c>
      <c r="E379" s="10" t="inlineStr">
        <is>
          <t>YEARLY</t>
        </is>
      </c>
      <c r="F379" s="11" t="n">
        <v>45383</v>
      </c>
      <c r="G379" s="11" t="n">
        <v>45747</v>
      </c>
      <c r="H379" s="12">
        <f>IF(OR($F379="",$G379=""),"",$G379-$F379+1)</f>
        <v/>
      </c>
      <c r="I379" s="10">
        <f>IF($F379="","",IF(MONTH($F379)&gt;=4,YEAR($F379)&amp;"-"&amp;TEXT(YEAR($F379)+1-2000,"00"),YEAR($F379)-1&amp;"-"&amp;TEXT(YEAR($F379)-2000,"00")))</f>
        <v/>
      </c>
      <c r="J379" s="13" t="n">
        <v>11760</v>
      </c>
      <c r="K379" s="14">
        <f>IFERROR($L379/$J379,"")</f>
        <v/>
      </c>
      <c r="L379" s="13" t="n">
        <v>11760</v>
      </c>
      <c r="M379" s="13">
        <f>IFERROR($L379/$H379,"")</f>
        <v/>
      </c>
      <c r="N379" s="11" t="n">
        <v>45583</v>
      </c>
      <c r="O379" s="10">
        <f>IF($N379="","No","Yes")</f>
        <v/>
      </c>
      <c r="P379" s="12">
        <f>IF(OR($F379="",$G379=""),0,IF(AND($F379&lt;=README!$B$4,README!$B$4&lt;=$G379),1,0))</f>
        <v/>
      </c>
      <c r="Q379" s="12">
        <f>IF(OR($F379="",$G379=""),0,IF(AND($F379&lt;=DATE(README!$B$5,12,31),$G379&gt;=DATE(README!$B$5,1,1)),1,0))</f>
        <v/>
      </c>
      <c r="R379" s="10" t="inlineStr">
        <is>
          <t>GUP-VEH0012</t>
        </is>
      </c>
      <c r="S379" s="11" t="n">
        <v>45477</v>
      </c>
      <c r="T379" s="10" t="inlineStr">
        <is>
          <t>549</t>
        </is>
      </c>
      <c r="U379" s="10" t="inlineStr">
        <is>
          <t>VEHICLE</t>
        </is>
      </c>
      <c r="V379" s="10" t="inlineStr">
        <is>
          <t>T</t>
        </is>
      </c>
      <c r="W379" s="10" t="inlineStr">
        <is>
          <t>VIVEK B</t>
        </is>
      </c>
    </row>
    <row r="380">
      <c r="A380" s="10" t="inlineStr">
        <is>
          <t>TN57BX3636</t>
        </is>
      </c>
      <c r="B380" s="10" t="inlineStr">
        <is>
          <t>SOCKS</t>
        </is>
      </c>
      <c r="C380" s="10" t="inlineStr">
        <is>
          <t>VEHICLE OUTSIDE SERVICES</t>
        </is>
      </c>
      <c r="D380" s="10" t="inlineStr">
        <is>
          <t>MAINTENANCE SERVICE - 4</t>
        </is>
      </c>
      <c r="E380" s="10" t="inlineStr">
        <is>
          <t>YEARLY</t>
        </is>
      </c>
      <c r="F380" s="11" t="n">
        <v>45383</v>
      </c>
      <c r="G380" s="11" t="n">
        <v>45747</v>
      </c>
      <c r="H380" s="12">
        <f>IF(OR($F380="",$G380=""),"",$G380-$F380+1)</f>
        <v/>
      </c>
      <c r="I380" s="10">
        <f>IF($F380="","",IF(MONTH($F380)&gt;=4,YEAR($F380)&amp;"-"&amp;TEXT(YEAR($F380)+1-2000,"00"),YEAR($F380)-1&amp;"-"&amp;TEXT(YEAR($F380)-2000,"00")))</f>
        <v/>
      </c>
      <c r="J380" s="13" t="n">
        <v>5284</v>
      </c>
      <c r="K380" s="14">
        <f>IFERROR($L380/$J380,"")</f>
        <v/>
      </c>
      <c r="L380" s="13" t="n">
        <v>5284</v>
      </c>
      <c r="M380" s="13">
        <f>IFERROR($L380/$H380,"")</f>
        <v/>
      </c>
      <c r="N380" s="11" t="n">
        <v>45644</v>
      </c>
      <c r="O380" s="10">
        <f>IF($N380="","No","Yes")</f>
        <v/>
      </c>
      <c r="P380" s="12">
        <f>IF(OR($F380="",$G380=""),0,IF(AND($F380&lt;=README!$B$4,README!$B$4&lt;=$G380),1,0))</f>
        <v/>
      </c>
      <c r="Q380" s="12">
        <f>IF(OR($F380="",$G380=""),0,IF(AND($F380&lt;=DATE(README!$B$5,12,31),$G380&gt;=DATE(README!$B$5,1,1)),1,0))</f>
        <v/>
      </c>
      <c r="R380" s="10" t="inlineStr">
        <is>
          <t>GUP-VEH0012</t>
        </is>
      </c>
      <c r="S380" s="11" t="n">
        <v>45477</v>
      </c>
      <c r="T380" s="10" t="inlineStr">
        <is>
          <t>549</t>
        </is>
      </c>
      <c r="U380" s="10" t="inlineStr">
        <is>
          <t>VEHICLE</t>
        </is>
      </c>
      <c r="V380" s="10" t="inlineStr">
        <is>
          <t>T</t>
        </is>
      </c>
      <c r="W380" s="10" t="inlineStr">
        <is>
          <t>VIVEK B</t>
        </is>
      </c>
    </row>
    <row r="381">
      <c r="A381" s="10" t="inlineStr">
        <is>
          <t>TN57BX3636</t>
        </is>
      </c>
      <c r="B381" s="10" t="inlineStr">
        <is>
          <t>SOCKS</t>
        </is>
      </c>
      <c r="C381" s="10" t="inlineStr">
        <is>
          <t>VEHICLE OUTSIDE SERVICES</t>
        </is>
      </c>
      <c r="D381" s="10" t="inlineStr">
        <is>
          <t>GENERAL SERVICE</t>
        </is>
      </c>
      <c r="E381" s="10" t="inlineStr">
        <is>
          <t>YEARLY</t>
        </is>
      </c>
      <c r="F381" s="11" t="n">
        <v>45383</v>
      </c>
      <c r="G381" s="11" t="n">
        <v>45747</v>
      </c>
      <c r="H381" s="12">
        <f>IF(OR($F381="",$G381=""),"",$G381-$F381+1)</f>
        <v/>
      </c>
      <c r="I381" s="10">
        <f>IF($F381="","",IF(MONTH($F381)&gt;=4,YEAR($F381)&amp;"-"&amp;TEXT(YEAR($F381)+1-2000,"00"),YEAR($F381)-1&amp;"-"&amp;TEXT(YEAR($F381)-2000,"00")))</f>
        <v/>
      </c>
      <c r="J381" s="13" t="n">
        <v>19857</v>
      </c>
      <c r="K381" s="14">
        <f>IFERROR($L381/$J381,"")</f>
        <v/>
      </c>
      <c r="L381" s="13" t="n">
        <v>19857</v>
      </c>
      <c r="M381" s="13">
        <f>IFERROR($L381/$H381,"")</f>
        <v/>
      </c>
      <c r="N381" s="11" t="n">
        <v>45499</v>
      </c>
      <c r="O381" s="10">
        <f>IF($N381="","No","Yes")</f>
        <v/>
      </c>
      <c r="P381" s="12">
        <f>IF(OR($F381="",$G381=""),0,IF(AND($F381&lt;=README!$B$4,README!$B$4&lt;=$G381),1,0))</f>
        <v/>
      </c>
      <c r="Q381" s="12">
        <f>IF(OR($F381="",$G381=""),0,IF(AND($F381&lt;=DATE(README!$B$5,12,31),$G381&gt;=DATE(README!$B$5,1,1)),1,0))</f>
        <v/>
      </c>
      <c r="R381" s="10" t="inlineStr">
        <is>
          <t>GUP-VEH0012</t>
        </is>
      </c>
      <c r="S381" s="11" t="n">
        <v>45477</v>
      </c>
      <c r="T381" s="10" t="inlineStr">
        <is>
          <t>549</t>
        </is>
      </c>
      <c r="U381" s="10" t="inlineStr">
        <is>
          <t>VEHICLE</t>
        </is>
      </c>
      <c r="V381" s="10" t="inlineStr">
        <is>
          <t>T</t>
        </is>
      </c>
      <c r="W381" s="10" t="inlineStr">
        <is>
          <t>VIVEK B</t>
        </is>
      </c>
    </row>
    <row r="382">
      <c r="A382" s="10" t="inlineStr">
        <is>
          <t>TN57BX3636</t>
        </is>
      </c>
      <c r="B382" s="10" t="inlineStr">
        <is>
          <t>SOCKS</t>
        </is>
      </c>
      <c r="C382" s="10" t="inlineStr">
        <is>
          <t>VEHICLE OUTSIDE SERVICES</t>
        </is>
      </c>
      <c r="D382" s="10" t="inlineStr">
        <is>
          <t xml:space="preserve">MAINTENANCE SERVICE </t>
        </is>
      </c>
      <c r="E382" s="10" t="inlineStr">
        <is>
          <t>YEARLY</t>
        </is>
      </c>
      <c r="F382" s="11" t="n">
        <v>45383</v>
      </c>
      <c r="G382" s="11" t="n">
        <v>45747</v>
      </c>
      <c r="H382" s="12">
        <f>IF(OR($F382="",$G382=""),"",$G382-$F382+1)</f>
        <v/>
      </c>
      <c r="I382" s="10">
        <f>IF($F382="","",IF(MONTH($F382)&gt;=4,YEAR($F382)&amp;"-"&amp;TEXT(YEAR($F382)+1-2000,"00"),YEAR($F382)-1&amp;"-"&amp;TEXT(YEAR($F382)-2000,"00")))</f>
        <v/>
      </c>
      <c r="J382" s="13" t="n">
        <v>9013</v>
      </c>
      <c r="K382" s="14">
        <f>IFERROR($L382/$J382,"")</f>
        <v/>
      </c>
      <c r="L382" s="13" t="n">
        <v>9013</v>
      </c>
      <c r="M382" s="13">
        <f>IFERROR($L382/$H382,"")</f>
        <v/>
      </c>
      <c r="N382" s="11" t="n">
        <v>45500</v>
      </c>
      <c r="O382" s="10">
        <f>IF($N382="","No","Yes")</f>
        <v/>
      </c>
      <c r="P382" s="12">
        <f>IF(OR($F382="",$G382=""),0,IF(AND($F382&lt;=README!$B$4,README!$B$4&lt;=$G382),1,0))</f>
        <v/>
      </c>
      <c r="Q382" s="12">
        <f>IF(OR($F382="",$G382=""),0,IF(AND($F382&lt;=DATE(README!$B$5,12,31),$G382&gt;=DATE(README!$B$5,1,1)),1,0))</f>
        <v/>
      </c>
      <c r="R382" s="10" t="inlineStr">
        <is>
          <t>GUP-VEH0012</t>
        </is>
      </c>
      <c r="S382" s="11" t="n">
        <v>45477</v>
      </c>
      <c r="T382" s="10" t="inlineStr">
        <is>
          <t>549</t>
        </is>
      </c>
      <c r="U382" s="10" t="inlineStr">
        <is>
          <t>VEHICLE</t>
        </is>
      </c>
      <c r="V382" s="10" t="inlineStr">
        <is>
          <t>T</t>
        </is>
      </c>
      <c r="W382" s="10" t="inlineStr">
        <is>
          <t>VIVEK B</t>
        </is>
      </c>
    </row>
    <row r="383">
      <c r="A383" s="10" t="inlineStr">
        <is>
          <t>TN57BX3636</t>
        </is>
      </c>
      <c r="B383" s="10" t="inlineStr">
        <is>
          <t>SOCKS</t>
        </is>
      </c>
      <c r="C383" s="10" t="inlineStr">
        <is>
          <t>RTO EXPENSE</t>
        </is>
      </c>
      <c r="D383" s="10" t="inlineStr">
        <is>
          <t>FINE</t>
        </is>
      </c>
      <c r="E383" s="10" t="inlineStr">
        <is>
          <t>YEARLY</t>
        </is>
      </c>
      <c r="F383" s="11" t="n">
        <v>45748</v>
      </c>
      <c r="G383" s="11" t="n">
        <v>46112</v>
      </c>
      <c r="H383" s="12">
        <f>IF(OR($F383="",$G383=""),"",$G383-$F383+1)</f>
        <v/>
      </c>
      <c r="I383" s="10">
        <f>IF($F383="","",IF(MONTH($F383)&gt;=4,YEAR($F383)&amp;"-"&amp;TEXT(YEAR($F383)+1-2000,"00"),YEAR($F383)-1&amp;"-"&amp;TEXT(YEAR($F383)-2000,"00")))</f>
        <v/>
      </c>
      <c r="J383" s="13" t="n">
        <v>4500</v>
      </c>
      <c r="K383" s="14">
        <f>IFERROR($L383/$J383,"")</f>
        <v/>
      </c>
      <c r="L383" s="13" t="n">
        <v>4500</v>
      </c>
      <c r="M383" s="13">
        <f>IFERROR($L383/$H383,"")</f>
        <v/>
      </c>
      <c r="N383" s="11" t="n">
        <v>45901</v>
      </c>
      <c r="O383" s="10">
        <f>IF($N383="","No","Yes")</f>
        <v/>
      </c>
      <c r="P383" s="12">
        <f>IF(OR($F383="",$G383=""),0,IF(AND($F383&lt;=README!$B$4,README!$B$4&lt;=$G383),1,0))</f>
        <v/>
      </c>
      <c r="Q383" s="12">
        <f>IF(OR($F383="",$G383=""),0,IF(AND($F383&lt;=DATE(README!$B$5,12,31),$G383&gt;=DATE(README!$B$5,1,1)),1,0))</f>
        <v/>
      </c>
      <c r="R383" s="10" t="inlineStr">
        <is>
          <t>GUP-VEH0022</t>
        </is>
      </c>
      <c r="S383" s="11" t="n">
        <v>45834</v>
      </c>
      <c r="T383" s="10" t="inlineStr">
        <is>
          <t>655</t>
        </is>
      </c>
      <c r="U383" s="10" t="inlineStr">
        <is>
          <t>VEHICLE</t>
        </is>
      </c>
      <c r="V383" s="10" t="inlineStr">
        <is>
          <t>T</t>
        </is>
      </c>
      <c r="W383" s="10" t="inlineStr">
        <is>
          <t>VIVEK B</t>
        </is>
      </c>
    </row>
    <row r="384">
      <c r="A384" s="10" t="inlineStr">
        <is>
          <t>TN57BX3636</t>
        </is>
      </c>
      <c r="B384" s="10" t="inlineStr">
        <is>
          <t>SOCKS</t>
        </is>
      </c>
      <c r="C384" s="10" t="inlineStr">
        <is>
          <t>VEHICLE INSURANCE</t>
        </is>
      </c>
      <c r="D384" s="10" t="inlineStr">
        <is>
          <t>VEHICLE INSURANCE</t>
        </is>
      </c>
      <c r="E384" s="10" t="inlineStr">
        <is>
          <t>YEARLY</t>
        </is>
      </c>
      <c r="F384" s="11" t="n">
        <v>45748</v>
      </c>
      <c r="G384" s="11" t="n">
        <v>46112</v>
      </c>
      <c r="H384" s="12">
        <f>IF(OR($F384="",$G384=""),"",$G384-$F384+1)</f>
        <v/>
      </c>
      <c r="I384" s="10">
        <f>IF($F384="","",IF(MONTH($F384)&gt;=4,YEAR($F384)&amp;"-"&amp;TEXT(YEAR($F384)+1-2000,"00"),YEAR($F384)-1&amp;"-"&amp;TEXT(YEAR($F384)-2000,"00")))</f>
        <v/>
      </c>
      <c r="J384" s="13" t="n">
        <v>8997</v>
      </c>
      <c r="K384" s="14">
        <f>IFERROR($L384/$J384,"")</f>
        <v/>
      </c>
      <c r="L384" s="13" t="n">
        <v>8997</v>
      </c>
      <c r="M384" s="13">
        <f>IFERROR($L384/$H384,"")</f>
        <v/>
      </c>
      <c r="N384" s="11" t="n">
        <v>45966</v>
      </c>
      <c r="O384" s="10">
        <f>IF($N384="","No","Yes")</f>
        <v/>
      </c>
      <c r="P384" s="12">
        <f>IF(OR($F384="",$G384=""),0,IF(AND($F384&lt;=README!$B$4,README!$B$4&lt;=$G384),1,0))</f>
        <v/>
      </c>
      <c r="Q384" s="12">
        <f>IF(OR($F384="",$G384=""),0,IF(AND($F384&lt;=DATE(README!$B$5,12,31),$G384&gt;=DATE(README!$B$5,1,1)),1,0))</f>
        <v/>
      </c>
      <c r="R384" s="10" t="inlineStr">
        <is>
          <t>GUP-VEH0020</t>
        </is>
      </c>
      <c r="S384" s="11" t="n">
        <v>45799</v>
      </c>
      <c r="T384" s="10" t="inlineStr">
        <is>
          <t>645</t>
        </is>
      </c>
      <c r="U384" s="10" t="inlineStr">
        <is>
          <t>VEHICLE</t>
        </is>
      </c>
      <c r="V384" s="10" t="inlineStr">
        <is>
          <t>T</t>
        </is>
      </c>
      <c r="W384" s="10" t="inlineStr">
        <is>
          <t>VIVEK B</t>
        </is>
      </c>
    </row>
    <row r="385">
      <c r="A385" s="10" t="inlineStr">
        <is>
          <t>TN57BX3636</t>
        </is>
      </c>
      <c r="B385" s="10" t="inlineStr">
        <is>
          <t>GENERAL</t>
        </is>
      </c>
      <c r="C385" s="10" t="inlineStr">
        <is>
          <t>VEHICLE OUTSIDE SERVICES</t>
        </is>
      </c>
      <c r="D385" s="10" t="inlineStr">
        <is>
          <t>MAINTENANCE SERVICE - 2</t>
        </is>
      </c>
      <c r="E385" s="10" t="inlineStr">
        <is>
          <t>YEARLY</t>
        </is>
      </c>
      <c r="F385" s="11" t="n">
        <v>45748</v>
      </c>
      <c r="G385" s="11" t="n">
        <v>46112</v>
      </c>
      <c r="H385" s="12">
        <f>IF(OR($F385="",$G385=""),"",$G385-$F385+1)</f>
        <v/>
      </c>
      <c r="I385" s="10">
        <f>IF($F385="","",IF(MONTH($F385)&gt;=4,YEAR($F385)&amp;"-"&amp;TEXT(YEAR($F385)+1-2000,"00"),YEAR($F385)-1&amp;"-"&amp;TEXT(YEAR($F385)-2000,"00")))</f>
        <v/>
      </c>
      <c r="J385" s="13" t="n">
        <v>13160</v>
      </c>
      <c r="K385" s="14">
        <f>IFERROR($L385/$J385,"")</f>
        <v/>
      </c>
      <c r="L385" s="13" t="n">
        <v>13160</v>
      </c>
      <c r="M385" s="13">
        <f>IFERROR($L385/$H385,"")</f>
        <v/>
      </c>
      <c r="N385" s="11" t="n">
        <v>45925</v>
      </c>
      <c r="O385" s="10">
        <f>IF($N385="","No","Yes")</f>
        <v/>
      </c>
      <c r="P385" s="12">
        <f>IF(OR($F385="",$G385=""),0,IF(AND($F385&lt;=README!$B$4,README!$B$4&lt;=$G385),1,0))</f>
        <v/>
      </c>
      <c r="Q385" s="12">
        <f>IF(OR($F385="",$G385=""),0,IF(AND($F385&lt;=DATE(README!$B$5,12,31),$G385&gt;=DATE(README!$B$5,1,1)),1,0))</f>
        <v/>
      </c>
      <c r="R385" s="10" t="inlineStr">
        <is>
          <t>GUP-VEH0019</t>
        </is>
      </c>
      <c r="S385" s="11" t="n">
        <v>45777</v>
      </c>
      <c r="T385" s="10" t="inlineStr">
        <is>
          <t>638</t>
        </is>
      </c>
      <c r="U385" s="10" t="inlineStr">
        <is>
          <t>VEHICLE</t>
        </is>
      </c>
      <c r="V385" s="10" t="inlineStr">
        <is>
          <t>T</t>
        </is>
      </c>
      <c r="W385" s="10" t="inlineStr">
        <is>
          <t>VIVEK B</t>
        </is>
      </c>
    </row>
    <row r="386">
      <c r="A386" s="10" t="inlineStr">
        <is>
          <t>TN57BX3636</t>
        </is>
      </c>
      <c r="B386" s="10" t="inlineStr">
        <is>
          <t>GENERAL</t>
        </is>
      </c>
      <c r="C386" s="10" t="inlineStr">
        <is>
          <t>VEHICLE OUTSIDE SERVICES</t>
        </is>
      </c>
      <c r="D386" s="10" t="inlineStr">
        <is>
          <t xml:space="preserve">MAINTENANCE SERVICE </t>
        </is>
      </c>
      <c r="E386" s="10" t="inlineStr">
        <is>
          <t>YEARLY</t>
        </is>
      </c>
      <c r="F386" s="11" t="n">
        <v>45748</v>
      </c>
      <c r="G386" s="11" t="n">
        <v>46112</v>
      </c>
      <c r="H386" s="12">
        <f>IF(OR($F386="",$G386=""),"",$G386-$F386+1)</f>
        <v/>
      </c>
      <c r="I386" s="10">
        <f>IF($F386="","",IF(MONTH($F386)&gt;=4,YEAR($F386)&amp;"-"&amp;TEXT(YEAR($F386)+1-2000,"00"),YEAR($F386)-1&amp;"-"&amp;TEXT(YEAR($F386)-2000,"00")))</f>
        <v/>
      </c>
      <c r="J386" s="13" t="n">
        <v>20929</v>
      </c>
      <c r="K386" s="14">
        <f>IFERROR($L386/$J386,"")</f>
        <v/>
      </c>
      <c r="L386" s="13" t="n">
        <v>20929</v>
      </c>
      <c r="M386" s="13">
        <f>IFERROR($L386/$H386,"")</f>
        <v/>
      </c>
      <c r="N386" s="11" t="n">
        <v>45847</v>
      </c>
      <c r="O386" s="10">
        <f>IF($N386="","No","Yes")</f>
        <v/>
      </c>
      <c r="P386" s="12">
        <f>IF(OR($F386="",$G386=""),0,IF(AND($F386&lt;=README!$B$4,README!$B$4&lt;=$G386),1,0))</f>
        <v/>
      </c>
      <c r="Q386" s="12">
        <f>IF(OR($F386="",$G386=""),0,IF(AND($F386&lt;=DATE(README!$B$5,12,31),$G386&gt;=DATE(README!$B$5,1,1)),1,0))</f>
        <v/>
      </c>
      <c r="R386" s="10" t="inlineStr">
        <is>
          <t>GUP-VEH0019</t>
        </is>
      </c>
      <c r="S386" s="11" t="n">
        <v>45777</v>
      </c>
      <c r="T386" s="10" t="inlineStr">
        <is>
          <t>638</t>
        </is>
      </c>
      <c r="U386" s="10" t="inlineStr">
        <is>
          <t>VEHICLE</t>
        </is>
      </c>
      <c r="V386" s="10" t="inlineStr">
        <is>
          <t>T</t>
        </is>
      </c>
      <c r="W386" s="10" t="inlineStr">
        <is>
          <t>VIVEK B</t>
        </is>
      </c>
    </row>
    <row r="387">
      <c r="A387" s="10" t="inlineStr">
        <is>
          <t>TN57BX3636</t>
        </is>
      </c>
      <c r="B387" s="10" t="inlineStr">
        <is>
          <t>SOCKS</t>
        </is>
      </c>
      <c r="C387" s="10" t="inlineStr">
        <is>
          <t>RTO EXPENSE</t>
        </is>
      </c>
      <c r="D387" s="10" t="inlineStr">
        <is>
          <t>HP-LOAN CLOSURE</t>
        </is>
      </c>
      <c r="E387" s="10" t="inlineStr">
        <is>
          <t>DECEMBER</t>
        </is>
      </c>
      <c r="F387" s="11" t="n">
        <v>45992</v>
      </c>
      <c r="G387" s="11" t="n">
        <v>46022</v>
      </c>
      <c r="H387" s="12">
        <f>IF(OR($F387="",$G387=""),"",$G387-$F387+1)</f>
        <v/>
      </c>
      <c r="I387" s="10">
        <f>IF($F387="","",IF(MONTH($F387)&gt;=4,YEAR($F387)&amp;"-"&amp;TEXT(YEAR($F387)+1-2000,"00"),YEAR($F387)-1&amp;"-"&amp;TEXT(YEAR($F387)-2000,"00")))</f>
        <v/>
      </c>
      <c r="J387" s="13" t="n">
        <v>2600</v>
      </c>
      <c r="K387" s="14">
        <f>IFERROR($L387/$J387,"")</f>
        <v/>
      </c>
      <c r="L387" s="13" t="n">
        <v>2600</v>
      </c>
      <c r="M387" s="13">
        <f>IFERROR($L387/$H387,"")</f>
        <v/>
      </c>
      <c r="N387" s="11" t="n">
        <v>45994</v>
      </c>
      <c r="O387" s="10">
        <f>IF($N387="","No","Yes")</f>
        <v/>
      </c>
      <c r="P387" s="12">
        <f>IF(OR($F387="",$G387=""),0,IF(AND($F387&lt;=README!$B$4,README!$B$4&lt;=$G387),1,0))</f>
        <v/>
      </c>
      <c r="Q387" s="12">
        <f>IF(OR($F387="",$G387=""),0,IF(AND($F387&lt;=DATE(README!$B$5,12,31),$G387&gt;=DATE(README!$B$5,1,1)),1,0))</f>
        <v/>
      </c>
      <c r="R387" s="10" t="inlineStr">
        <is>
          <t>GUP-VEH0022</t>
        </is>
      </c>
      <c r="S387" s="11" t="n">
        <v>45834</v>
      </c>
      <c r="T387" s="10" t="inlineStr">
        <is>
          <t>655</t>
        </is>
      </c>
      <c r="U387" s="10" t="inlineStr">
        <is>
          <t>VEHICLE</t>
        </is>
      </c>
      <c r="V387" s="10" t="inlineStr">
        <is>
          <t>T</t>
        </is>
      </c>
      <c r="W387" s="10" t="inlineStr">
        <is>
          <t>VIVEK B</t>
        </is>
      </c>
    </row>
    <row r="388">
      <c r="A388" s="10" t="inlineStr">
        <is>
          <t>TN57BX3636</t>
        </is>
      </c>
      <c r="B388" s="10" t="inlineStr">
        <is>
          <t>GENERAL</t>
        </is>
      </c>
      <c r="C388" s="10" t="inlineStr">
        <is>
          <t>VEHICLE OUTSIDE SERVICES</t>
        </is>
      </c>
      <c r="D388" s="10" t="inlineStr">
        <is>
          <t>MAINTENANCE SERVICE - 4</t>
        </is>
      </c>
      <c r="E388" s="10" t="inlineStr">
        <is>
          <t>DECEMBER</t>
        </is>
      </c>
      <c r="F388" s="11" t="n">
        <v>45992</v>
      </c>
      <c r="G388" s="11" t="n">
        <v>46022</v>
      </c>
      <c r="H388" s="12">
        <f>IF(OR($F388="",$G388=""),"",$G388-$F388+1)</f>
        <v/>
      </c>
      <c r="I388" s="10">
        <f>IF($F388="","",IF(MONTH($F388)&gt;=4,YEAR($F388)&amp;"-"&amp;TEXT(YEAR($F388)+1-2000,"00"),YEAR($F388)-1&amp;"-"&amp;TEXT(YEAR($F388)-2000,"00")))</f>
        <v/>
      </c>
      <c r="J388" s="13" t="n">
        <v>15759</v>
      </c>
      <c r="K388" s="14">
        <f>IFERROR($L388/$J388,"")</f>
        <v/>
      </c>
      <c r="L388" s="13" t="n">
        <v>15759</v>
      </c>
      <c r="M388" s="13">
        <f>IFERROR($L388/$H388,"")</f>
        <v/>
      </c>
      <c r="N388" s="11" t="n">
        <v>45999</v>
      </c>
      <c r="O388" s="10">
        <f>IF($N388="","No","Yes")</f>
        <v/>
      </c>
      <c r="P388" s="12">
        <f>IF(OR($F388="",$G388=""),0,IF(AND($F388&lt;=README!$B$4,README!$B$4&lt;=$G388),1,0))</f>
        <v/>
      </c>
      <c r="Q388" s="12">
        <f>IF(OR($F388="",$G388=""),0,IF(AND($F388&lt;=DATE(README!$B$5,12,31),$G388&gt;=DATE(README!$B$5,1,1)),1,0))</f>
        <v/>
      </c>
      <c r="R388" s="10" t="inlineStr">
        <is>
          <t>GUP-VEH0019</t>
        </is>
      </c>
      <c r="S388" s="11" t="n">
        <v>45777</v>
      </c>
      <c r="T388" s="10" t="inlineStr">
        <is>
          <t>638</t>
        </is>
      </c>
      <c r="U388" s="10" t="inlineStr">
        <is>
          <t>VEHICLE</t>
        </is>
      </c>
      <c r="V388" s="10" t="inlineStr">
        <is>
          <t>T</t>
        </is>
      </c>
      <c r="W388" s="10" t="inlineStr">
        <is>
          <t>VIVEK B</t>
        </is>
      </c>
    </row>
    <row r="389">
      <c r="A389" s="10" t="inlineStr">
        <is>
          <t>TN57CA3434</t>
        </is>
      </c>
      <c r="B389" s="10" t="inlineStr">
        <is>
          <t>WOVEN</t>
        </is>
      </c>
      <c r="C389" s="10" t="inlineStr">
        <is>
          <t>ADBLU</t>
        </is>
      </c>
      <c r="D389" s="10" t="inlineStr">
        <is>
          <t>ADBLU</t>
        </is>
      </c>
      <c r="E389" s="10" t="inlineStr">
        <is>
          <t>YEARLY</t>
        </is>
      </c>
      <c r="F389" s="11" t="n">
        <v>45383</v>
      </c>
      <c r="G389" s="11" t="n">
        <v>45747</v>
      </c>
      <c r="H389" s="12">
        <f>IF(OR($F389="",$G389=""),"",$G389-$F389+1)</f>
        <v/>
      </c>
      <c r="I389" s="10">
        <f>IF($F389="","",IF(MONTH($F389)&gt;=4,YEAR($F389)&amp;"-"&amp;TEXT(YEAR($F389)+1-2000,"00"),YEAR($F389)-1&amp;"-"&amp;TEXT(YEAR($F389)-2000,"00")))</f>
        <v/>
      </c>
      <c r="J389" s="13" t="n">
        <v>61</v>
      </c>
      <c r="K389" s="14">
        <f>IFERROR($L389/$J389,"")</f>
        <v/>
      </c>
      <c r="L389" s="13" t="n">
        <v>2440</v>
      </c>
      <c r="M389" s="13">
        <f>IFERROR($L389/$H389,"")</f>
        <v/>
      </c>
      <c r="N389" s="11" t="n">
        <v>45700</v>
      </c>
      <c r="O389" s="10">
        <f>IF($N389="","No","Yes")</f>
        <v/>
      </c>
      <c r="P389" s="12">
        <f>IF(OR($F389="",$G389=""),0,IF(AND($F389&lt;=README!$B$4,README!$B$4&lt;=$G389),1,0))</f>
        <v/>
      </c>
      <c r="Q389" s="12">
        <f>IF(OR($F389="",$G389=""),0,IF(AND($F389&lt;=DATE(README!$B$5,12,31),$G389&gt;=DATE(README!$B$5,1,1)),1,0))</f>
        <v/>
      </c>
      <c r="R389" s="10" t="inlineStr">
        <is>
          <t>GUT-VEH0008</t>
        </is>
      </c>
      <c r="S389" s="11" t="n">
        <v>45475</v>
      </c>
      <c r="T389" s="10" t="inlineStr">
        <is>
          <t>3</t>
        </is>
      </c>
      <c r="U389" s="10" t="inlineStr">
        <is>
          <t>VEHICLE</t>
        </is>
      </c>
      <c r="V389" s="10" t="inlineStr">
        <is>
          <t>T</t>
        </is>
      </c>
      <c r="W389" s="10" t="inlineStr">
        <is>
          <t>VIVEK B</t>
        </is>
      </c>
    </row>
    <row r="390">
      <c r="A390" s="10" t="inlineStr">
        <is>
          <t>TN57CA3434</t>
        </is>
      </c>
      <c r="B390" s="10" t="inlineStr">
        <is>
          <t>WOVEN</t>
        </is>
      </c>
      <c r="C390" s="10" t="inlineStr">
        <is>
          <t>ADBLU</t>
        </is>
      </c>
      <c r="D390" s="10" t="inlineStr">
        <is>
          <t>ADBLU</t>
        </is>
      </c>
      <c r="E390" s="10" t="inlineStr">
        <is>
          <t>YEARLY</t>
        </is>
      </c>
      <c r="F390" s="11" t="n">
        <v>45383</v>
      </c>
      <c r="G390" s="11" t="n">
        <v>45747</v>
      </c>
      <c r="H390" s="12">
        <f>IF(OR($F390="",$G390=""),"",$G390-$F390+1)</f>
        <v/>
      </c>
      <c r="I390" s="10">
        <f>IF($F390="","",IF(MONTH($F390)&gt;=4,YEAR($F390)&amp;"-"&amp;TEXT(YEAR($F390)+1-2000,"00"),YEAR($F390)-1&amp;"-"&amp;TEXT(YEAR($F390)-2000,"00")))</f>
        <v/>
      </c>
      <c r="J390" s="13" t="n">
        <v>61</v>
      </c>
      <c r="K390" s="14">
        <f>IFERROR($L390/$J390,"")</f>
        <v/>
      </c>
      <c r="L390" s="13" t="n">
        <v>2440</v>
      </c>
      <c r="M390" s="13">
        <f>IFERROR($L390/$H390,"")</f>
        <v/>
      </c>
      <c r="N390" s="11" t="n">
        <v>45700</v>
      </c>
      <c r="O390" s="10">
        <f>IF($N390="","No","Yes")</f>
        <v/>
      </c>
      <c r="P390" s="12">
        <f>IF(OR($F390="",$G390=""),0,IF(AND($F390&lt;=README!$B$4,README!$B$4&lt;=$G390),1,0))</f>
        <v/>
      </c>
      <c r="Q390" s="12">
        <f>IF(OR($F390="",$G390=""),0,IF(AND($F390&lt;=DATE(README!$B$5,12,31),$G390&gt;=DATE(README!$B$5,1,1)),1,0))</f>
        <v/>
      </c>
      <c r="R390" s="10" t="inlineStr">
        <is>
          <t>GUT-VEH0008</t>
        </is>
      </c>
      <c r="S390" s="11" t="n">
        <v>45475</v>
      </c>
      <c r="T390" s="10" t="inlineStr">
        <is>
          <t>3</t>
        </is>
      </c>
      <c r="U390" s="10" t="inlineStr">
        <is>
          <t>VEHICLE</t>
        </is>
      </c>
      <c r="V390" s="10" t="inlineStr">
        <is>
          <t>T</t>
        </is>
      </c>
      <c r="W390" s="10" t="inlineStr">
        <is>
          <t>VIVEK B</t>
        </is>
      </c>
    </row>
    <row r="391">
      <c r="A391" s="10" t="inlineStr">
        <is>
          <t>TN57CA3434</t>
        </is>
      </c>
      <c r="B391" s="10" t="inlineStr">
        <is>
          <t>WOVEN</t>
        </is>
      </c>
      <c r="C391" s="10" t="inlineStr">
        <is>
          <t>ADBLU</t>
        </is>
      </c>
      <c r="D391" s="10" t="inlineStr">
        <is>
          <t>ADBLU</t>
        </is>
      </c>
      <c r="E391" s="10" t="inlineStr">
        <is>
          <t>YEARLY</t>
        </is>
      </c>
      <c r="F391" s="11" t="n">
        <v>45383</v>
      </c>
      <c r="G391" s="11" t="n">
        <v>45747</v>
      </c>
      <c r="H391" s="12">
        <f>IF(OR($F391="",$G391=""),"",$G391-$F391+1)</f>
        <v/>
      </c>
      <c r="I391" s="10">
        <f>IF($F391="","",IF(MONTH($F391)&gt;=4,YEAR($F391)&amp;"-"&amp;TEXT(YEAR($F391)+1-2000,"00"),YEAR($F391)-1&amp;"-"&amp;TEXT(YEAR($F391)-2000,"00")))</f>
        <v/>
      </c>
      <c r="J391" s="13" t="n">
        <v>61</v>
      </c>
      <c r="K391" s="14">
        <f>IFERROR($L391/$J391,"")</f>
        <v/>
      </c>
      <c r="L391" s="13" t="n">
        <v>1952</v>
      </c>
      <c r="M391" s="13">
        <f>IFERROR($L391/$H391,"")</f>
        <v/>
      </c>
      <c r="N391" s="11" t="n">
        <v>45602</v>
      </c>
      <c r="O391" s="10">
        <f>IF($N391="","No","Yes")</f>
        <v/>
      </c>
      <c r="P391" s="12">
        <f>IF(OR($F391="",$G391=""),0,IF(AND($F391&lt;=README!$B$4,README!$B$4&lt;=$G391),1,0))</f>
        <v/>
      </c>
      <c r="Q391" s="12">
        <f>IF(OR($F391="",$G391=""),0,IF(AND($F391&lt;=DATE(README!$B$5,12,31),$G391&gt;=DATE(README!$B$5,1,1)),1,0))</f>
        <v/>
      </c>
      <c r="R391" s="10" t="inlineStr">
        <is>
          <t>GUT-VEH0008</t>
        </is>
      </c>
      <c r="S391" s="11" t="n">
        <v>45475</v>
      </c>
      <c r="T391" s="10" t="inlineStr">
        <is>
          <t>3</t>
        </is>
      </c>
      <c r="U391" s="10" t="inlineStr">
        <is>
          <t>VEHICLE</t>
        </is>
      </c>
      <c r="V391" s="10" t="inlineStr">
        <is>
          <t>T</t>
        </is>
      </c>
      <c r="W391" s="10" t="inlineStr">
        <is>
          <t>VIVEK B</t>
        </is>
      </c>
    </row>
    <row r="392">
      <c r="A392" s="10" t="inlineStr">
        <is>
          <t>TN57CA3434</t>
        </is>
      </c>
      <c r="B392" s="10" t="inlineStr">
        <is>
          <t>WOVEN</t>
        </is>
      </c>
      <c r="C392" s="10" t="inlineStr">
        <is>
          <t>ADBLU</t>
        </is>
      </c>
      <c r="D392" s="10" t="inlineStr">
        <is>
          <t>ADBLU</t>
        </is>
      </c>
      <c r="E392" s="10" t="inlineStr">
        <is>
          <t>YEARLY</t>
        </is>
      </c>
      <c r="F392" s="11" t="n">
        <v>45383</v>
      </c>
      <c r="G392" s="11" t="n">
        <v>45747</v>
      </c>
      <c r="H392" s="12">
        <f>IF(OR($F392="",$G392=""),"",$G392-$F392+1)</f>
        <v/>
      </c>
      <c r="I392" s="10">
        <f>IF($F392="","",IF(MONTH($F392)&gt;=4,YEAR($F392)&amp;"-"&amp;TEXT(YEAR($F392)+1-2000,"00"),YEAR($F392)-1&amp;"-"&amp;TEXT(YEAR($F392)-2000,"00")))</f>
        <v/>
      </c>
      <c r="J392" s="13" t="n">
        <v>61</v>
      </c>
      <c r="K392" s="14">
        <f>IFERROR($L392/$J392,"")</f>
        <v/>
      </c>
      <c r="L392" s="13" t="n">
        <v>2440</v>
      </c>
      <c r="M392" s="13">
        <f>IFERROR($L392/$H392,"")</f>
        <v/>
      </c>
      <c r="N392" s="11" t="n">
        <v>45623</v>
      </c>
      <c r="O392" s="10">
        <f>IF($N392="","No","Yes")</f>
        <v/>
      </c>
      <c r="P392" s="12">
        <f>IF(OR($F392="",$G392=""),0,IF(AND($F392&lt;=README!$B$4,README!$B$4&lt;=$G392),1,0))</f>
        <v/>
      </c>
      <c r="Q392" s="12">
        <f>IF(OR($F392="",$G392=""),0,IF(AND($F392&lt;=DATE(README!$B$5,12,31),$G392&gt;=DATE(README!$B$5,1,1)),1,0))</f>
        <v/>
      </c>
      <c r="R392" s="10" t="inlineStr">
        <is>
          <t>GUT-VEH0008</t>
        </is>
      </c>
      <c r="S392" s="11" t="n">
        <v>45475</v>
      </c>
      <c r="T392" s="10" t="inlineStr">
        <is>
          <t>3</t>
        </is>
      </c>
      <c r="U392" s="10" t="inlineStr">
        <is>
          <t>VEHICLE</t>
        </is>
      </c>
      <c r="V392" s="10" t="inlineStr">
        <is>
          <t>T</t>
        </is>
      </c>
      <c r="W392" s="10" t="inlineStr">
        <is>
          <t>VIVEK B</t>
        </is>
      </c>
    </row>
    <row r="393">
      <c r="A393" s="10" t="inlineStr">
        <is>
          <t>TN57CA3434</t>
        </is>
      </c>
      <c r="B393" s="10" t="inlineStr">
        <is>
          <t>WOVEN</t>
        </is>
      </c>
      <c r="C393" s="10" t="inlineStr">
        <is>
          <t>ADBLU</t>
        </is>
      </c>
      <c r="D393" s="10" t="inlineStr">
        <is>
          <t>ADBLU</t>
        </is>
      </c>
      <c r="E393" s="10" t="inlineStr">
        <is>
          <t>YEARLY</t>
        </is>
      </c>
      <c r="F393" s="11" t="n">
        <v>45383</v>
      </c>
      <c r="G393" s="11" t="n">
        <v>45747</v>
      </c>
      <c r="H393" s="12">
        <f>IF(OR($F393="",$G393=""),"",$G393-$F393+1)</f>
        <v/>
      </c>
      <c r="I393" s="10">
        <f>IF($F393="","",IF(MONTH($F393)&gt;=4,YEAR($F393)&amp;"-"&amp;TEXT(YEAR($F393)+1-2000,"00"),YEAR($F393)-1&amp;"-"&amp;TEXT(YEAR($F393)-2000,"00")))</f>
        <v/>
      </c>
      <c r="J393" s="13" t="n">
        <v>61</v>
      </c>
      <c r="K393" s="14">
        <f>IFERROR($L393/$J393,"")</f>
        <v/>
      </c>
      <c r="L393" s="13" t="n">
        <v>1647</v>
      </c>
      <c r="M393" s="13">
        <f>IFERROR($L393/$H393,"")</f>
        <v/>
      </c>
      <c r="N393" s="11" t="n">
        <v>45479</v>
      </c>
      <c r="O393" s="10">
        <f>IF($N393="","No","Yes")</f>
        <v/>
      </c>
      <c r="P393" s="12">
        <f>IF(OR($F393="",$G393=""),0,IF(AND($F393&lt;=README!$B$4,README!$B$4&lt;=$G393),1,0))</f>
        <v/>
      </c>
      <c r="Q393" s="12">
        <f>IF(OR($F393="",$G393=""),0,IF(AND($F393&lt;=DATE(README!$B$5,12,31),$G393&gt;=DATE(README!$B$5,1,1)),1,0))</f>
        <v/>
      </c>
      <c r="R393" s="10" t="inlineStr">
        <is>
          <t>GUT-VEH0008</t>
        </is>
      </c>
      <c r="S393" s="11" t="n">
        <v>45475</v>
      </c>
      <c r="T393" s="10" t="inlineStr">
        <is>
          <t>3</t>
        </is>
      </c>
      <c r="U393" s="10" t="inlineStr">
        <is>
          <t>VEHICLE</t>
        </is>
      </c>
      <c r="V393" s="10" t="inlineStr">
        <is>
          <t>T</t>
        </is>
      </c>
      <c r="W393" s="10" t="inlineStr">
        <is>
          <t>VIVEK B</t>
        </is>
      </c>
    </row>
    <row r="394">
      <c r="A394" s="10" t="inlineStr">
        <is>
          <t>TN57CA3434</t>
        </is>
      </c>
      <c r="B394" s="10" t="inlineStr">
        <is>
          <t>WOVEN</t>
        </is>
      </c>
      <c r="C394" s="10" t="inlineStr">
        <is>
          <t>ROAD TAX</t>
        </is>
      </c>
      <c r="D394" s="10" t="inlineStr">
        <is>
          <t>ROAD TAX</t>
        </is>
      </c>
      <c r="E394" s="10" t="inlineStr">
        <is>
          <t>YEARLY</t>
        </is>
      </c>
      <c r="F394" s="11" t="n">
        <v>45383</v>
      </c>
      <c r="G394" s="11" t="n">
        <v>45747</v>
      </c>
      <c r="H394" s="12">
        <f>IF(OR($F394="",$G394=""),"",$G394-$F394+1)</f>
        <v/>
      </c>
      <c r="I394" s="10">
        <f>IF($F394="","",IF(MONTH($F394)&gt;=4,YEAR($F394)&amp;"-"&amp;TEXT(YEAR($F394)+1-2000,"00"),YEAR($F394)-1&amp;"-"&amp;TEXT(YEAR($F394)-2000,"00")))</f>
        <v/>
      </c>
      <c r="J394" s="13" t="n">
        <v>32734</v>
      </c>
      <c r="K394" s="14">
        <f>IFERROR($L394/$J394,"")</f>
        <v/>
      </c>
      <c r="L394" s="13" t="n">
        <v>32734</v>
      </c>
      <c r="M394" s="13">
        <f>IFERROR($L394/$H394,"")</f>
        <v/>
      </c>
      <c r="N394" s="11" t="n">
        <v>45910</v>
      </c>
      <c r="O394" s="10">
        <f>IF($N394="","No","Yes")</f>
        <v/>
      </c>
      <c r="P394" s="12">
        <f>IF(OR($F394="",$G394=""),0,IF(AND($F394&lt;=README!$B$4,README!$B$4&lt;=$G394),1,0))</f>
        <v/>
      </c>
      <c r="Q394" s="12">
        <f>IF(OR($F394="",$G394=""),0,IF(AND($F394&lt;=DATE(README!$B$5,12,31),$G394&gt;=DATE(README!$B$5,1,1)),1,0))</f>
        <v/>
      </c>
      <c r="R394" s="10" t="inlineStr">
        <is>
          <t>GUT-VEH0016</t>
        </is>
      </c>
      <c r="S394" s="11" t="n">
        <v>46023</v>
      </c>
      <c r="T394" s="10" t="inlineStr">
        <is>
          <t>5</t>
        </is>
      </c>
      <c r="U394" s="10" t="inlineStr">
        <is>
          <t>VEHICLE</t>
        </is>
      </c>
      <c r="V394" s="10" t="inlineStr">
        <is>
          <t>T</t>
        </is>
      </c>
      <c r="W394" s="10" t="inlineStr">
        <is>
          <t>VIVEK B</t>
        </is>
      </c>
    </row>
    <row r="395">
      <c r="A395" s="10" t="inlineStr">
        <is>
          <t>TN57CA3434</t>
        </is>
      </c>
      <c r="B395" s="10" t="inlineStr">
        <is>
          <t>WOVEN</t>
        </is>
      </c>
      <c r="C395" s="10" t="inlineStr">
        <is>
          <t>ROAD TAX</t>
        </is>
      </c>
      <c r="D395" s="10" t="inlineStr">
        <is>
          <t>ROAD TAX</t>
        </is>
      </c>
      <c r="E395" s="10" t="inlineStr">
        <is>
          <t>YEARLY</t>
        </is>
      </c>
      <c r="F395" s="11" t="n">
        <v>45383</v>
      </c>
      <c r="G395" s="11" t="n">
        <v>45747</v>
      </c>
      <c r="H395" s="12">
        <f>IF(OR($F395="",$G395=""),"",$G395-$F395+1)</f>
        <v/>
      </c>
      <c r="I395" s="10">
        <f>IF($F395="","",IF(MONTH($F395)&gt;=4,YEAR($F395)&amp;"-"&amp;TEXT(YEAR($F395)+1-2000,"00"),YEAR($F395)-1&amp;"-"&amp;TEXT(YEAR($F395)-2000,"00")))</f>
        <v/>
      </c>
      <c r="J395" s="13" t="n">
        <v>32724</v>
      </c>
      <c r="K395" s="14">
        <f>IFERROR($L395/$J395,"")</f>
        <v/>
      </c>
      <c r="L395" s="13" t="n">
        <v>32724</v>
      </c>
      <c r="M395" s="13">
        <f>IFERROR($L395/$H395,"")</f>
        <v/>
      </c>
      <c r="N395" s="11" t="n">
        <v>45840</v>
      </c>
      <c r="O395" s="10">
        <f>IF($N395="","No","Yes")</f>
        <v/>
      </c>
      <c r="P395" s="12">
        <f>IF(OR($F395="",$G395=""),0,IF(AND($F395&lt;=README!$B$4,README!$B$4&lt;=$G395),1,0))</f>
        <v/>
      </c>
      <c r="Q395" s="12">
        <f>IF(OR($F395="",$G395=""),0,IF(AND($F395&lt;=DATE(README!$B$5,12,31),$G395&gt;=DATE(README!$B$5,1,1)),1,0))</f>
        <v/>
      </c>
      <c r="R395" s="10" t="inlineStr">
        <is>
          <t>GUT-VEH0016</t>
        </is>
      </c>
      <c r="S395" s="11" t="n">
        <v>46023</v>
      </c>
      <c r="T395" s="10" t="inlineStr">
        <is>
          <t>5</t>
        </is>
      </c>
      <c r="U395" s="10" t="inlineStr">
        <is>
          <t>VEHICLE</t>
        </is>
      </c>
      <c r="V395" s="10" t="inlineStr">
        <is>
          <t>T</t>
        </is>
      </c>
      <c r="W395" s="10" t="inlineStr">
        <is>
          <t>VIVEK B</t>
        </is>
      </c>
    </row>
    <row r="396">
      <c r="A396" s="10" t="inlineStr">
        <is>
          <t>TN57CA3434</t>
        </is>
      </c>
      <c r="B396" s="10" t="inlineStr">
        <is>
          <t>WOVEN</t>
        </is>
      </c>
      <c r="C396" s="10" t="inlineStr">
        <is>
          <t>ROAD TAX</t>
        </is>
      </c>
      <c r="D396" s="10" t="inlineStr">
        <is>
          <t>ROAD TAX</t>
        </is>
      </c>
      <c r="E396" s="10" t="inlineStr">
        <is>
          <t>YEARLY</t>
        </is>
      </c>
      <c r="F396" s="11" t="n">
        <v>45383</v>
      </c>
      <c r="G396" s="11" t="n">
        <v>45747</v>
      </c>
      <c r="H396" s="12">
        <f>IF(OR($F396="",$G396=""),"",$G396-$F396+1)</f>
        <v/>
      </c>
      <c r="I396" s="10">
        <f>IF($F396="","",IF(MONTH($F396)&gt;=4,YEAR($F396)&amp;"-"&amp;TEXT(YEAR($F396)+1-2000,"00"),YEAR($F396)-1&amp;"-"&amp;TEXT(YEAR($F396)-2000,"00")))</f>
        <v/>
      </c>
      <c r="J396" s="13" t="n">
        <v>32724</v>
      </c>
      <c r="K396" s="14">
        <f>IFERROR($L396/$J396,"")</f>
        <v/>
      </c>
      <c r="L396" s="13" t="n">
        <v>32724</v>
      </c>
      <c r="M396" s="13">
        <f>IFERROR($L396/$H396,"")</f>
        <v/>
      </c>
      <c r="N396" s="11" t="n">
        <v>45727</v>
      </c>
      <c r="O396" s="10">
        <f>IF($N396="","No","Yes")</f>
        <v/>
      </c>
      <c r="P396" s="12">
        <f>IF(OR($F396="",$G396=""),0,IF(AND($F396&lt;=README!$B$4,README!$B$4&lt;=$G396),1,0))</f>
        <v/>
      </c>
      <c r="Q396" s="12">
        <f>IF(OR($F396="",$G396=""),0,IF(AND($F396&lt;=DATE(README!$B$5,12,31),$G396&gt;=DATE(README!$B$5,1,1)),1,0))</f>
        <v/>
      </c>
      <c r="R396" s="10" t="inlineStr">
        <is>
          <t>GUT-VEH0016</t>
        </is>
      </c>
      <c r="S396" s="11" t="n">
        <v>46023</v>
      </c>
      <c r="T396" s="10" t="inlineStr">
        <is>
          <t>5</t>
        </is>
      </c>
      <c r="U396" s="10" t="inlineStr">
        <is>
          <t>VEHICLE</t>
        </is>
      </c>
      <c r="V396" s="10" t="inlineStr">
        <is>
          <t>T</t>
        </is>
      </c>
      <c r="W396" s="10" t="inlineStr">
        <is>
          <t>VIVEK B</t>
        </is>
      </c>
    </row>
    <row r="397">
      <c r="A397" s="10" t="inlineStr">
        <is>
          <t>TN57CA3434</t>
        </is>
      </c>
      <c r="B397" s="10" t="inlineStr">
        <is>
          <t>WOVEN</t>
        </is>
      </c>
      <c r="C397" s="10" t="inlineStr">
        <is>
          <t>ROAD TAX</t>
        </is>
      </c>
      <c r="D397" s="10" t="inlineStr">
        <is>
          <t>ROAD TAX</t>
        </is>
      </c>
      <c r="E397" s="10" t="inlineStr">
        <is>
          <t>YEARLY</t>
        </is>
      </c>
      <c r="F397" s="11" t="n">
        <v>45383</v>
      </c>
      <c r="G397" s="11" t="n">
        <v>45747</v>
      </c>
      <c r="H397" s="12">
        <f>IF(OR($F397="",$G397=""),"",$G397-$F397+1)</f>
        <v/>
      </c>
      <c r="I397" s="10">
        <f>IF($F397="","",IF(MONTH($F397)&gt;=4,YEAR($F397)&amp;"-"&amp;TEXT(YEAR($F397)+1-2000,"00"),YEAR($F397)-1&amp;"-"&amp;TEXT(YEAR($F397)-2000,"00")))</f>
        <v/>
      </c>
      <c r="J397" s="13" t="n">
        <v>32724</v>
      </c>
      <c r="K397" s="14">
        <f>IFERROR($L397/$J397,"")</f>
        <v/>
      </c>
      <c r="L397" s="13" t="n">
        <v>32724</v>
      </c>
      <c r="M397" s="13">
        <f>IFERROR($L397/$H397,"")</f>
        <v/>
      </c>
      <c r="N397" s="11" t="n">
        <v>45569</v>
      </c>
      <c r="O397" s="10">
        <f>IF($N397="","No","Yes")</f>
        <v/>
      </c>
      <c r="P397" s="12">
        <f>IF(OR($F397="",$G397=""),0,IF(AND($F397&lt;=README!$B$4,README!$B$4&lt;=$G397),1,0))</f>
        <v/>
      </c>
      <c r="Q397" s="12">
        <f>IF(OR($F397="",$G397=""),0,IF(AND($F397&lt;=DATE(README!$B$5,12,31),$G397&gt;=DATE(README!$B$5,1,1)),1,0))</f>
        <v/>
      </c>
      <c r="R397" s="10" t="inlineStr">
        <is>
          <t>GUT-VEH0011</t>
        </is>
      </c>
      <c r="S397" s="11" t="n">
        <v>45475</v>
      </c>
      <c r="T397" s="10" t="inlineStr">
        <is>
          <t>3</t>
        </is>
      </c>
      <c r="U397" s="10" t="inlineStr">
        <is>
          <t>VEHICLE</t>
        </is>
      </c>
      <c r="V397" s="10" t="inlineStr">
        <is>
          <t>T</t>
        </is>
      </c>
      <c r="W397" s="10" t="inlineStr">
        <is>
          <t>VIVEK B</t>
        </is>
      </c>
    </row>
    <row r="398">
      <c r="A398" s="10" t="inlineStr">
        <is>
          <t>TN57CA3434</t>
        </is>
      </c>
      <c r="B398" s="10" t="inlineStr">
        <is>
          <t>WOVEN</t>
        </is>
      </c>
      <c r="C398" s="10" t="inlineStr">
        <is>
          <t>ROAD TAX</t>
        </is>
      </c>
      <c r="D398" s="10" t="inlineStr">
        <is>
          <t>ROAD TAX</t>
        </is>
      </c>
      <c r="E398" s="10" t="inlineStr">
        <is>
          <t>YEARLY</t>
        </is>
      </c>
      <c r="F398" s="11" t="n">
        <v>45383</v>
      </c>
      <c r="G398" s="11" t="n">
        <v>45747</v>
      </c>
      <c r="H398" s="12">
        <f>IF(OR($F398="",$G398=""),"",$G398-$F398+1)</f>
        <v/>
      </c>
      <c r="I398" s="10">
        <f>IF($F398="","",IF(MONTH($F398)&gt;=4,YEAR($F398)&amp;"-"&amp;TEXT(YEAR($F398)+1-2000,"00"),YEAR($F398)-1&amp;"-"&amp;TEXT(YEAR($F398)-2000,"00")))</f>
        <v/>
      </c>
      <c r="J398" s="13" t="n">
        <v>32724</v>
      </c>
      <c r="K398" s="14">
        <f>IFERROR($L398/$J398,"")</f>
        <v/>
      </c>
      <c r="L398" s="13" t="n">
        <v>32724</v>
      </c>
      <c r="M398" s="13">
        <f>IFERROR($L398/$H398,"")</f>
        <v/>
      </c>
      <c r="N398" s="11" t="n">
        <v>45481</v>
      </c>
      <c r="O398" s="10">
        <f>IF($N398="","No","Yes")</f>
        <v/>
      </c>
      <c r="P398" s="12">
        <f>IF(OR($F398="",$G398=""),0,IF(AND($F398&lt;=README!$B$4,README!$B$4&lt;=$G398),1,0))</f>
        <v/>
      </c>
      <c r="Q398" s="12">
        <f>IF(OR($F398="",$G398=""),0,IF(AND($F398&lt;=DATE(README!$B$5,12,31),$G398&gt;=DATE(README!$B$5,1,1)),1,0))</f>
        <v/>
      </c>
      <c r="R398" s="10" t="inlineStr">
        <is>
          <t>GUT-VEH0011</t>
        </is>
      </c>
      <c r="S398" s="11" t="n">
        <v>45475</v>
      </c>
      <c r="T398" s="10" t="inlineStr">
        <is>
          <t>3</t>
        </is>
      </c>
      <c r="U398" s="10" t="inlineStr">
        <is>
          <t>VEHICLE</t>
        </is>
      </c>
      <c r="V398" s="10" t="inlineStr">
        <is>
          <t>T</t>
        </is>
      </c>
      <c r="W398" s="10" t="inlineStr">
        <is>
          <t>VIVEK B</t>
        </is>
      </c>
    </row>
    <row r="399">
      <c r="A399" s="10" t="inlineStr">
        <is>
          <t>TN57CA3434</t>
        </is>
      </c>
      <c r="B399" s="10" t="inlineStr">
        <is>
          <t>WOVEN</t>
        </is>
      </c>
      <c r="C399" s="10" t="inlineStr">
        <is>
          <t>ROAD TAX</t>
        </is>
      </c>
      <c r="D399" s="10" t="inlineStr">
        <is>
          <t>ROAD TAX</t>
        </is>
      </c>
      <c r="E399" s="10" t="inlineStr">
        <is>
          <t>YEARLY</t>
        </is>
      </c>
      <c r="F399" s="11" t="n">
        <v>45383</v>
      </c>
      <c r="G399" s="11" t="n">
        <v>45747</v>
      </c>
      <c r="H399" s="12">
        <f>IF(OR($F399="",$G399=""),"",$G399-$F399+1)</f>
        <v/>
      </c>
      <c r="I399" s="10">
        <f>IF($F399="","",IF(MONTH($F399)&gt;=4,YEAR($F399)&amp;"-"&amp;TEXT(YEAR($F399)+1-2000,"00"),YEAR($F399)-1&amp;"-"&amp;TEXT(YEAR($F399)-2000,"00")))</f>
        <v/>
      </c>
      <c r="J399" s="13" t="n">
        <v>32724</v>
      </c>
      <c r="K399" s="14">
        <f>IFERROR($L399/$J399,"")</f>
        <v/>
      </c>
      <c r="L399" s="13" t="n">
        <v>32724</v>
      </c>
      <c r="M399" s="13">
        <f>IFERROR($L399/$H399,"")</f>
        <v/>
      </c>
      <c r="N399" s="11" t="n">
        <v>45649</v>
      </c>
      <c r="O399" s="10">
        <f>IF($N399="","No","Yes")</f>
        <v/>
      </c>
      <c r="P399" s="12">
        <f>IF(OR($F399="",$G399=""),0,IF(AND($F399&lt;=README!$B$4,README!$B$4&lt;=$G399),1,0))</f>
        <v/>
      </c>
      <c r="Q399" s="12">
        <f>IF(OR($F399="",$G399=""),0,IF(AND($F399&lt;=DATE(README!$B$5,12,31),$G399&gt;=DATE(README!$B$5,1,1)),1,0))</f>
        <v/>
      </c>
      <c r="R399" s="10" t="inlineStr">
        <is>
          <t>GUT-VEH0011</t>
        </is>
      </c>
      <c r="S399" s="11" t="n">
        <v>45475</v>
      </c>
      <c r="T399" s="10" t="inlineStr">
        <is>
          <t>3</t>
        </is>
      </c>
      <c r="U399" s="10" t="inlineStr">
        <is>
          <t>VEHICLE</t>
        </is>
      </c>
      <c r="V399" s="10" t="inlineStr">
        <is>
          <t>T</t>
        </is>
      </c>
      <c r="W399" s="10" t="inlineStr">
        <is>
          <t>VIVEK B</t>
        </is>
      </c>
    </row>
    <row r="400">
      <c r="A400" s="10" t="inlineStr">
        <is>
          <t>TN57CA3434</t>
        </is>
      </c>
      <c r="B400" s="10" t="inlineStr">
        <is>
          <t>WOVEN</t>
        </is>
      </c>
      <c r="C400" s="10" t="inlineStr">
        <is>
          <t>VEHICLE INSURANCE</t>
        </is>
      </c>
      <c r="D400" s="10" t="inlineStr">
        <is>
          <t>VEHICLE INSURANCE</t>
        </is>
      </c>
      <c r="E400" s="10" t="inlineStr">
        <is>
          <t>YEARLY</t>
        </is>
      </c>
      <c r="F400" s="11" t="n">
        <v>45383</v>
      </c>
      <c r="G400" s="11" t="n">
        <v>45747</v>
      </c>
      <c r="H400" s="12">
        <f>IF(OR($F400="",$G400=""),"",$G400-$F400+1)</f>
        <v/>
      </c>
      <c r="I400" s="10">
        <f>IF($F400="","",IF(MONTH($F400)&gt;=4,YEAR($F400)&amp;"-"&amp;TEXT(YEAR($F400)+1-2000,"00"),YEAR($F400)-1&amp;"-"&amp;TEXT(YEAR($F400)-2000,"00")))</f>
        <v/>
      </c>
      <c r="J400" s="13" t="n">
        <v>82408</v>
      </c>
      <c r="K400" s="14">
        <f>IFERROR($L400/$J400,"")</f>
        <v/>
      </c>
      <c r="L400" s="13" t="n">
        <v>0</v>
      </c>
      <c r="M400" s="13">
        <f>IFERROR($L400/$H400,"")</f>
        <v/>
      </c>
      <c r="N400" s="11" t="n"/>
      <c r="O400" s="10">
        <f>IF($N400="","No","Yes")</f>
        <v/>
      </c>
      <c r="P400" s="12">
        <f>IF(OR($F400="",$G400=""),0,IF(AND($F400&lt;=README!$B$4,README!$B$4&lt;=$G400),1,0))</f>
        <v/>
      </c>
      <c r="Q400" s="12">
        <f>IF(OR($F400="",$G400=""),0,IF(AND($F400&lt;=DATE(README!$B$5,12,31),$G400&gt;=DATE(README!$B$5,1,1)),1,0))</f>
        <v/>
      </c>
      <c r="R400" s="10" t="inlineStr">
        <is>
          <t>GUT-VEH0012</t>
        </is>
      </c>
      <c r="S400" s="11" t="n">
        <v>45478</v>
      </c>
      <c r="T400" s="10" t="inlineStr">
        <is>
          <t>3</t>
        </is>
      </c>
      <c r="U400" s="10" t="inlineStr">
        <is>
          <t>VEHICLE</t>
        </is>
      </c>
      <c r="V400" s="10" t="inlineStr">
        <is>
          <t>T</t>
        </is>
      </c>
      <c r="W400" s="10" t="inlineStr">
        <is>
          <t>VIVEK B</t>
        </is>
      </c>
    </row>
    <row r="401">
      <c r="A401" s="10" t="inlineStr">
        <is>
          <t>TN57CA3434</t>
        </is>
      </c>
      <c r="B401" s="10" t="inlineStr">
        <is>
          <t>WOVEN</t>
        </is>
      </c>
      <c r="C401" s="10" t="inlineStr">
        <is>
          <t>VEHICLE OUTSIDE SERVICES</t>
        </is>
      </c>
      <c r="D401" s="10" t="inlineStr">
        <is>
          <t xml:space="preserve">MAINTENANCE SERVICE </t>
        </is>
      </c>
      <c r="E401" s="10" t="inlineStr">
        <is>
          <t>YEARLY</t>
        </is>
      </c>
      <c r="F401" s="11" t="n">
        <v>45383</v>
      </c>
      <c r="G401" s="11" t="n">
        <v>45747</v>
      </c>
      <c r="H401" s="12">
        <f>IF(OR($F401="",$G401=""),"",$G401-$F401+1)</f>
        <v/>
      </c>
      <c r="I401" s="10">
        <f>IF($F401="","",IF(MONTH($F401)&gt;=4,YEAR($F401)&amp;"-"&amp;TEXT(YEAR($F401)+1-2000,"00"),YEAR($F401)-1&amp;"-"&amp;TEXT(YEAR($F401)-2000,"00")))</f>
        <v/>
      </c>
      <c r="J401" s="13" t="n">
        <v>11053</v>
      </c>
      <c r="K401" s="14">
        <f>IFERROR($L401/$J401,"")</f>
        <v/>
      </c>
      <c r="L401" s="13" t="n">
        <v>11053</v>
      </c>
      <c r="M401" s="13">
        <f>IFERROR($L401/$H401,"")</f>
        <v/>
      </c>
      <c r="N401" s="11" t="n">
        <v>45528</v>
      </c>
      <c r="O401" s="10">
        <f>IF($N401="","No","Yes")</f>
        <v/>
      </c>
      <c r="P401" s="12">
        <f>IF(OR($F401="",$G401=""),0,IF(AND($F401&lt;=README!$B$4,README!$B$4&lt;=$G401),1,0))</f>
        <v/>
      </c>
      <c r="Q401" s="12">
        <f>IF(OR($F401="",$G401=""),0,IF(AND($F401&lt;=DATE(README!$B$5,12,31),$G401&gt;=DATE(README!$B$5,1,1)),1,0))</f>
        <v/>
      </c>
      <c r="R401" s="10" t="inlineStr">
        <is>
          <t>GUT-VEH0013</t>
        </is>
      </c>
      <c r="S401" s="11" t="n">
        <v>45527</v>
      </c>
      <c r="T401" s="10" t="inlineStr">
        <is>
          <t>3</t>
        </is>
      </c>
      <c r="U401" s="10" t="inlineStr">
        <is>
          <t>VEHICLE</t>
        </is>
      </c>
      <c r="V401" s="10" t="inlineStr">
        <is>
          <t>T</t>
        </is>
      </c>
      <c r="W401" s="10" t="inlineStr">
        <is>
          <t>VIVEK B</t>
        </is>
      </c>
    </row>
    <row r="402">
      <c r="A402" s="10" t="inlineStr">
        <is>
          <t>TN57CA3434</t>
        </is>
      </c>
      <c r="B402" s="10" t="inlineStr">
        <is>
          <t>WOVEN</t>
        </is>
      </c>
      <c r="C402" s="10" t="inlineStr">
        <is>
          <t>RTO EXPENSE</t>
        </is>
      </c>
      <c r="D402" s="10" t="inlineStr">
        <is>
          <t>RTO EXPENSE</t>
        </is>
      </c>
      <c r="E402" s="10" t="inlineStr">
        <is>
          <t>YEARLY</t>
        </is>
      </c>
      <c r="F402" s="11" t="n">
        <v>45748</v>
      </c>
      <c r="G402" s="11" t="n">
        <v>46112</v>
      </c>
      <c r="H402" s="12">
        <f>IF(OR($F402="",$G402=""),"",$G402-$F402+1)</f>
        <v/>
      </c>
      <c r="I402" s="10">
        <f>IF($F402="","",IF(MONTH($F402)&gt;=4,YEAR($F402)&amp;"-"&amp;TEXT(YEAR($F402)+1-2000,"00"),YEAR($F402)-1&amp;"-"&amp;TEXT(YEAR($F402)-2000,"00")))</f>
        <v/>
      </c>
      <c r="J402" s="13" t="n">
        <v>10400</v>
      </c>
      <c r="K402" s="14">
        <f>IFERROR($L402/$J402,"")</f>
        <v/>
      </c>
      <c r="L402" s="13" t="n">
        <v>10400</v>
      </c>
      <c r="M402" s="13">
        <f>IFERROR($L402/$H402,"")</f>
        <v/>
      </c>
      <c r="N402" s="11" t="n">
        <v>46028</v>
      </c>
      <c r="O402" s="10">
        <f>IF($N402="","No","Yes")</f>
        <v/>
      </c>
      <c r="P402" s="12">
        <f>IF(OR($F402="",$G402=""),0,IF(AND($F402&lt;=README!$B$4,README!$B$4&lt;=$G402),1,0))</f>
        <v/>
      </c>
      <c r="Q402" s="12">
        <f>IF(OR($F402="",$G402=""),0,IF(AND($F402&lt;=DATE(README!$B$5,12,31),$G402&gt;=DATE(README!$B$5,1,1)),1,0))</f>
        <v/>
      </c>
      <c r="R402" s="10" t="inlineStr">
        <is>
          <t>GUT-VEH0024</t>
        </is>
      </c>
      <c r="S402" s="11" t="n">
        <v>45939</v>
      </c>
      <c r="T402" s="10" t="inlineStr">
        <is>
          <t>5</t>
        </is>
      </c>
      <c r="U402" s="10" t="inlineStr">
        <is>
          <t>VEHICLE</t>
        </is>
      </c>
      <c r="V402" s="10" t="inlineStr">
        <is>
          <t>T</t>
        </is>
      </c>
      <c r="W402" s="10" t="inlineStr">
        <is>
          <t>VIVEK B</t>
        </is>
      </c>
    </row>
    <row r="403">
      <c r="A403" s="10" t="inlineStr">
        <is>
          <t>TN57CA3434</t>
        </is>
      </c>
      <c r="B403" s="10" t="inlineStr">
        <is>
          <t>WOVEN</t>
        </is>
      </c>
      <c r="C403" s="10" t="inlineStr">
        <is>
          <t>TYRE</t>
        </is>
      </c>
      <c r="D403" s="10" t="inlineStr">
        <is>
          <t>TYRE</t>
        </is>
      </c>
      <c r="E403" s="10" t="inlineStr">
        <is>
          <t>YEARLY</t>
        </is>
      </c>
      <c r="F403" s="11" t="n">
        <v>45748</v>
      </c>
      <c r="G403" s="11" t="n">
        <v>46112</v>
      </c>
      <c r="H403" s="12">
        <f>IF(OR($F403="",$G403=""),"",$G403-$F403+1)</f>
        <v/>
      </c>
      <c r="I403" s="10">
        <f>IF($F403="","",IF(MONTH($F403)&gt;=4,YEAR($F403)&amp;"-"&amp;TEXT(YEAR($F403)+1-2000,"00"),YEAR($F403)-1&amp;"-"&amp;TEXT(YEAR($F403)-2000,"00")))</f>
        <v/>
      </c>
      <c r="J403" s="13" t="n">
        <v>30700</v>
      </c>
      <c r="K403" s="14">
        <f>IFERROR($L403/$J403,"")</f>
        <v/>
      </c>
      <c r="L403" s="13" t="n">
        <v>30700</v>
      </c>
      <c r="M403" s="13">
        <f>IFERROR($L403/$H403,"")</f>
        <v/>
      </c>
      <c r="N403" s="11" t="n">
        <v>45957</v>
      </c>
      <c r="O403" s="10">
        <f>IF($N403="","No","Yes")</f>
        <v/>
      </c>
      <c r="P403" s="12">
        <f>IF(OR($F403="",$G403=""),0,IF(AND($F403&lt;=README!$B$4,README!$B$4&lt;=$G403),1,0))</f>
        <v/>
      </c>
      <c r="Q403" s="12">
        <f>IF(OR($F403="",$G403=""),0,IF(AND($F403&lt;=DATE(README!$B$5,12,31),$G403&gt;=DATE(README!$B$5,1,1)),1,0))</f>
        <v/>
      </c>
      <c r="R403" s="10" t="inlineStr">
        <is>
          <t>GUT-VEH0026</t>
        </is>
      </c>
      <c r="S403" s="11" t="n">
        <v>45957</v>
      </c>
      <c r="T403" s="10" t="inlineStr">
        <is>
          <t>5</t>
        </is>
      </c>
      <c r="U403" s="10" t="inlineStr">
        <is>
          <t>VEHICLE</t>
        </is>
      </c>
      <c r="V403" s="10" t="inlineStr">
        <is>
          <t>T</t>
        </is>
      </c>
      <c r="W403" s="10" t="inlineStr">
        <is>
          <t>VIVEK B</t>
        </is>
      </c>
    </row>
    <row r="404">
      <c r="A404" s="10" t="inlineStr">
        <is>
          <t>TN57CA3434</t>
        </is>
      </c>
      <c r="B404" s="10" t="inlineStr">
        <is>
          <t>WOVEN</t>
        </is>
      </c>
      <c r="C404" s="10" t="inlineStr">
        <is>
          <t>VEHICLE INSURANCE</t>
        </is>
      </c>
      <c r="D404" s="10" t="inlineStr">
        <is>
          <t>VEHICLE INSURANCE</t>
        </is>
      </c>
      <c r="E404" s="10" t="inlineStr">
        <is>
          <t>YEARLY</t>
        </is>
      </c>
      <c r="F404" s="11" t="n">
        <v>45748</v>
      </c>
      <c r="G404" s="11" t="n">
        <v>46112</v>
      </c>
      <c r="H404" s="12">
        <f>IF(OR($F404="",$G404=""),"",$G404-$F404+1)</f>
        <v/>
      </c>
      <c r="I404" s="10">
        <f>IF($F404="","",IF(MONTH($F404)&gt;=4,YEAR($F404)&amp;"-"&amp;TEXT(YEAR($F404)+1-2000,"00"),YEAR($F404)-1&amp;"-"&amp;TEXT(YEAR($F404)-2000,"00")))</f>
        <v/>
      </c>
      <c r="J404" s="13" t="n">
        <v>78244</v>
      </c>
      <c r="K404" s="14">
        <f>IFERROR($L404/$J404,"")</f>
        <v/>
      </c>
      <c r="L404" s="13" t="n">
        <v>78244</v>
      </c>
      <c r="M404" s="13">
        <f>IFERROR($L404/$H404,"")</f>
        <v/>
      </c>
      <c r="N404" s="11" t="n">
        <v>45826</v>
      </c>
      <c r="O404" s="10">
        <f>IF($N404="","No","Yes")</f>
        <v/>
      </c>
      <c r="P404" s="12">
        <f>IF(OR($F404="",$G404=""),0,IF(AND($F404&lt;=README!$B$4,README!$B$4&lt;=$G404),1,0))</f>
        <v/>
      </c>
      <c r="Q404" s="12">
        <f>IF(OR($F404="",$G404=""),0,IF(AND($F404&lt;=DATE(README!$B$5,12,31),$G404&gt;=DATE(README!$B$5,1,1)),1,0))</f>
        <v/>
      </c>
      <c r="R404" s="10" t="inlineStr">
        <is>
          <t>GUT-VEH0019</t>
        </is>
      </c>
      <c r="S404" s="11" t="n">
        <v>45799</v>
      </c>
      <c r="T404" s="10" t="inlineStr">
        <is>
          <t>5</t>
        </is>
      </c>
      <c r="U404" s="10" t="inlineStr">
        <is>
          <t>VEHICLE</t>
        </is>
      </c>
      <c r="V404" s="10" t="inlineStr">
        <is>
          <t>T</t>
        </is>
      </c>
      <c r="W404" s="10" t="inlineStr">
        <is>
          <t>VIVEK B</t>
        </is>
      </c>
    </row>
    <row r="405">
      <c r="A405" s="10" t="inlineStr">
        <is>
          <t>TN57CA3434</t>
        </is>
      </c>
      <c r="B405" s="10" t="inlineStr"/>
      <c r="C405" s="10" t="inlineStr">
        <is>
          <t>VEHICLE OUTSIDE SERVICES</t>
        </is>
      </c>
      <c r="D405" s="10" t="inlineStr">
        <is>
          <t xml:space="preserve">MAINTENANCE SERVICE </t>
        </is>
      </c>
      <c r="E405" s="10" t="inlineStr">
        <is>
          <t>YEARLY</t>
        </is>
      </c>
      <c r="F405" s="11" t="n">
        <v>45748</v>
      </c>
      <c r="G405" s="11" t="n">
        <v>46112</v>
      </c>
      <c r="H405" s="12">
        <f>IF(OR($F405="",$G405=""),"",$G405-$F405+1)</f>
        <v/>
      </c>
      <c r="I405" s="10">
        <f>IF($F405="","",IF(MONTH($F405)&gt;=4,YEAR($F405)&amp;"-"&amp;TEXT(YEAR($F405)+1-2000,"00"),YEAR($F405)-1&amp;"-"&amp;TEXT(YEAR($F405)-2000,"00")))</f>
        <v/>
      </c>
      <c r="J405" s="13" t="n">
        <v>16580.97</v>
      </c>
      <c r="K405" s="14">
        <f>IFERROR($L405/$J405,"")</f>
        <v/>
      </c>
      <c r="L405" s="13" t="n">
        <v>16580.97</v>
      </c>
      <c r="M405" s="13">
        <f>IFERROR($L405/$H405,"")</f>
        <v/>
      </c>
      <c r="N405" s="11" t="n">
        <v>45869</v>
      </c>
      <c r="O405" s="10">
        <f>IF($N405="","No","Yes")</f>
        <v/>
      </c>
      <c r="P405" s="12">
        <f>IF(OR($F405="",$G405=""),0,IF(AND($F405&lt;=README!$B$4,README!$B$4&lt;=$G405),1,0))</f>
        <v/>
      </c>
      <c r="Q405" s="12">
        <f>IF(OR($F405="",$G405=""),0,IF(AND($F405&lt;=DATE(README!$B$5,12,31),$G405&gt;=DATE(README!$B$5,1,1)),1,0))</f>
        <v/>
      </c>
      <c r="R405" s="10" t="inlineStr">
        <is>
          <t>GUT-VEH0021</t>
        </is>
      </c>
      <c r="S405" s="11" t="n">
        <v>45812</v>
      </c>
      <c r="T405" s="10" t="inlineStr">
        <is>
          <t>5</t>
        </is>
      </c>
      <c r="U405" s="10" t="inlineStr">
        <is>
          <t>VEHICLE</t>
        </is>
      </c>
      <c r="V405" s="10" t="inlineStr">
        <is>
          <t>T</t>
        </is>
      </c>
      <c r="W405" s="10" t="inlineStr">
        <is>
          <t>VIVEK B</t>
        </is>
      </c>
    </row>
    <row r="406">
      <c r="A406" s="10" t="inlineStr">
        <is>
          <t>TN57CA3434</t>
        </is>
      </c>
      <c r="B406" s="10" t="inlineStr"/>
      <c r="C406" s="10" t="inlineStr">
        <is>
          <t>VEHICLE OUTSIDE SERVICES</t>
        </is>
      </c>
      <c r="D406" s="10" t="inlineStr">
        <is>
          <t>MAINTENANCE SERVICE - 2</t>
        </is>
      </c>
      <c r="E406" s="10" t="inlineStr">
        <is>
          <t>YEARLY</t>
        </is>
      </c>
      <c r="F406" s="11" t="n">
        <v>45748</v>
      </c>
      <c r="G406" s="11" t="n">
        <v>46112</v>
      </c>
      <c r="H406" s="12">
        <f>IF(OR($F406="",$G406=""),"",$G406-$F406+1)</f>
        <v/>
      </c>
      <c r="I406" s="10">
        <f>IF($F406="","",IF(MONTH($F406)&gt;=4,YEAR($F406)&amp;"-"&amp;TEXT(YEAR($F406)+1-2000,"00"),YEAR($F406)-1&amp;"-"&amp;TEXT(YEAR($F406)-2000,"00")))</f>
        <v/>
      </c>
      <c r="J406" s="13" t="n">
        <v>3300</v>
      </c>
      <c r="K406" s="14">
        <f>IFERROR($L406/$J406,"")</f>
        <v/>
      </c>
      <c r="L406" s="13" t="n">
        <v>3300</v>
      </c>
      <c r="M406" s="13">
        <f>IFERROR($L406/$H406,"")</f>
        <v/>
      </c>
      <c r="N406" s="11" t="n">
        <v>45925</v>
      </c>
      <c r="O406" s="10">
        <f>IF($N406="","No","Yes")</f>
        <v/>
      </c>
      <c r="P406" s="12">
        <f>IF(OR($F406="",$G406=""),0,IF(AND($F406&lt;=README!$B$4,README!$B$4&lt;=$G406),1,0))</f>
        <v/>
      </c>
      <c r="Q406" s="12">
        <f>IF(OR($F406="",$G406=""),0,IF(AND($F406&lt;=DATE(README!$B$5,12,31),$G406&gt;=DATE(README!$B$5,1,1)),1,0))</f>
        <v/>
      </c>
      <c r="R406" s="10" t="inlineStr">
        <is>
          <t>GUT-VEH0021</t>
        </is>
      </c>
      <c r="S406" s="11" t="n">
        <v>45812</v>
      </c>
      <c r="T406" s="10" t="inlineStr">
        <is>
          <t>5</t>
        </is>
      </c>
      <c r="U406" s="10" t="inlineStr">
        <is>
          <t>VEHICLE</t>
        </is>
      </c>
      <c r="V406" s="10" t="inlineStr">
        <is>
          <t>T</t>
        </is>
      </c>
      <c r="W406" s="10" t="inlineStr">
        <is>
          <t>VIVEK B</t>
        </is>
      </c>
    </row>
    <row r="407">
      <c r="A407" s="10" t="inlineStr">
        <is>
          <t>TN57CA3434</t>
        </is>
      </c>
      <c r="B407" s="10" t="inlineStr">
        <is>
          <t>WOVEN</t>
        </is>
      </c>
      <c r="C407" s="10" t="inlineStr">
        <is>
          <t>FC WORK</t>
        </is>
      </c>
      <c r="D407" s="10" t="inlineStr">
        <is>
          <t>FC WORK</t>
        </is>
      </c>
      <c r="E407" s="10" t="inlineStr">
        <is>
          <t>JANUARY</t>
        </is>
      </c>
      <c r="F407" s="11" t="n">
        <v>46023</v>
      </c>
      <c r="G407" s="11" t="n">
        <v>46053</v>
      </c>
      <c r="H407" s="12">
        <f>IF(OR($F407="",$G407=""),"",$G407-$F407+1)</f>
        <v/>
      </c>
      <c r="I407" s="10">
        <f>IF($F407="","",IF(MONTH($F407)&gt;=4,YEAR($F407)&amp;"-"&amp;TEXT(YEAR($F407)+1-2000,"00"),YEAR($F407)-1&amp;"-"&amp;TEXT(YEAR($F407)-2000,"00")))</f>
        <v/>
      </c>
      <c r="J407" s="13" t="n">
        <v>42280</v>
      </c>
      <c r="K407" s="14">
        <f>IFERROR($L407/$J407,"")</f>
        <v/>
      </c>
      <c r="L407" s="13" t="n">
        <v>42280</v>
      </c>
      <c r="M407" s="13">
        <f>IFERROR($L407/$H407,"")</f>
        <v/>
      </c>
      <c r="N407" s="11" t="n">
        <v>46050</v>
      </c>
      <c r="O407" s="10">
        <f>IF($N407="","No","Yes")</f>
        <v/>
      </c>
      <c r="P407" s="12">
        <f>IF(OR($F407="",$G407=""),0,IF(AND($F407&lt;=README!$B$4,README!$B$4&lt;=$G407),1,0))</f>
        <v/>
      </c>
      <c r="Q407" s="12">
        <f>IF(OR($F407="",$G407=""),0,IF(AND($F407&lt;=DATE(README!$B$5,12,31),$G407&gt;=DATE(README!$B$5,1,1)),1,0))</f>
        <v/>
      </c>
      <c r="R407" s="10" t="inlineStr">
        <is>
          <t>GUT-VEH0025</t>
        </is>
      </c>
      <c r="S407" s="11" t="n">
        <v>45941</v>
      </c>
      <c r="T407" s="10" t="inlineStr">
        <is>
          <t>5</t>
        </is>
      </c>
      <c r="U407" s="10" t="inlineStr">
        <is>
          <t>VEHICLE</t>
        </is>
      </c>
      <c r="V407" s="10" t="inlineStr">
        <is>
          <t>T</t>
        </is>
      </c>
      <c r="W407" s="10" t="inlineStr">
        <is>
          <t>VIVEK B</t>
        </is>
      </c>
    </row>
    <row r="408">
      <c r="A408" s="10" t="inlineStr">
        <is>
          <t>TN57CA3434</t>
        </is>
      </c>
      <c r="B408" s="10" t="inlineStr">
        <is>
          <t>WOVEN</t>
        </is>
      </c>
      <c r="C408" s="10" t="inlineStr">
        <is>
          <t>ROAD TAX</t>
        </is>
      </c>
      <c r="D408" s="10" t="inlineStr">
        <is>
          <t>ROAD TAX</t>
        </is>
      </c>
      <c r="E408" s="10" t="inlineStr">
        <is>
          <t>QUARTER - IV</t>
        </is>
      </c>
      <c r="F408" s="11" t="n">
        <v>46023</v>
      </c>
      <c r="G408" s="11" t="n">
        <v>46112</v>
      </c>
      <c r="H408" s="12">
        <f>IF(OR($F408="",$G408=""),"",$G408-$F408+1)</f>
        <v/>
      </c>
      <c r="I408" s="10">
        <f>IF($F408="","",IF(MONTH($F408)&gt;=4,YEAR($F408)&amp;"-"&amp;TEXT(YEAR($F408)+1-2000,"00"),YEAR($F408)-1&amp;"-"&amp;TEXT(YEAR($F408)-2000,"00")))</f>
        <v/>
      </c>
      <c r="J408" s="13" t="n">
        <v>32734</v>
      </c>
      <c r="K408" s="14">
        <f>IFERROR($L408/$J408,"")</f>
        <v/>
      </c>
      <c r="L408" s="13" t="n">
        <v>32734</v>
      </c>
      <c r="M408" s="13">
        <f>IFERROR($L408/$H408,"")</f>
        <v/>
      </c>
      <c r="N408" s="11" t="n">
        <v>46065</v>
      </c>
      <c r="O408" s="10">
        <f>IF($N408="","No","Yes")</f>
        <v/>
      </c>
      <c r="P408" s="12">
        <f>IF(OR($F408="",$G408=""),0,IF(AND($F408&lt;=README!$B$4,README!$B$4&lt;=$G408),1,0))</f>
        <v/>
      </c>
      <c r="Q408" s="12">
        <f>IF(OR($F408="",$G408=""),0,IF(AND($F408&lt;=DATE(README!$B$5,12,31),$G408&gt;=DATE(README!$B$5,1,1)),1,0))</f>
        <v/>
      </c>
      <c r="R408" s="10" t="inlineStr">
        <is>
          <t>GUT-VEH0016</t>
        </is>
      </c>
      <c r="S408" s="11" t="n">
        <v>46023</v>
      </c>
      <c r="T408" s="10" t="inlineStr">
        <is>
          <t>5</t>
        </is>
      </c>
      <c r="U408" s="10" t="inlineStr">
        <is>
          <t>VEHICLE</t>
        </is>
      </c>
      <c r="V408" s="10" t="inlineStr">
        <is>
          <t>T</t>
        </is>
      </c>
      <c r="W408" s="10" t="inlineStr">
        <is>
          <t>VIVEK B</t>
        </is>
      </c>
    </row>
    <row r="409">
      <c r="A409" s="10" t="inlineStr">
        <is>
          <t>TN57CA3434</t>
        </is>
      </c>
      <c r="B409" s="10" t="inlineStr">
        <is>
          <t>WOVEN</t>
        </is>
      </c>
      <c r="C409" s="10" t="inlineStr">
        <is>
          <t>TYRE</t>
        </is>
      </c>
      <c r="D409" s="10" t="inlineStr">
        <is>
          <t>TYRE - 2</t>
        </is>
      </c>
      <c r="E409" s="10" t="inlineStr">
        <is>
          <t>FEBRUARY</t>
        </is>
      </c>
      <c r="F409" s="11" t="n">
        <v>46054</v>
      </c>
      <c r="G409" s="11" t="n">
        <v>46081</v>
      </c>
      <c r="H409" s="12">
        <f>IF(OR($F409="",$G409=""),"",$G409-$F409+1)</f>
        <v/>
      </c>
      <c r="I409" s="10">
        <f>IF($F409="","",IF(MONTH($F409)&gt;=4,YEAR($F409)&amp;"-"&amp;TEXT(YEAR($F409)+1-2000,"00"),YEAR($F409)-1&amp;"-"&amp;TEXT(YEAR($F409)-2000,"00")))</f>
        <v/>
      </c>
      <c r="J409" s="13" t="n">
        <v>30300</v>
      </c>
      <c r="K409" s="14">
        <f>IFERROR($L409/$J409,"")</f>
        <v/>
      </c>
      <c r="L409" s="13" t="n">
        <v>30300</v>
      </c>
      <c r="M409" s="13">
        <f>IFERROR($L409/$H409,"")</f>
        <v/>
      </c>
      <c r="N409" s="11" t="n">
        <v>46072</v>
      </c>
      <c r="O409" s="10">
        <f>IF($N409="","No","Yes")</f>
        <v/>
      </c>
      <c r="P409" s="12">
        <f>IF(OR($F409="",$G409=""),0,IF(AND($F409&lt;=README!$B$4,README!$B$4&lt;=$G409),1,0))</f>
        <v/>
      </c>
      <c r="Q409" s="12">
        <f>IF(OR($F409="",$G409=""),0,IF(AND($F409&lt;=DATE(README!$B$5,12,31),$G409&gt;=DATE(README!$B$5,1,1)),1,0))</f>
        <v/>
      </c>
      <c r="R409" s="10" t="inlineStr">
        <is>
          <t>GUT-VEH0026</t>
        </is>
      </c>
      <c r="S409" s="11" t="n">
        <v>45957</v>
      </c>
      <c r="T409" s="10" t="inlineStr">
        <is>
          <t>5</t>
        </is>
      </c>
      <c r="U409" s="10" t="inlineStr">
        <is>
          <t>VEHICLE</t>
        </is>
      </c>
      <c r="V409" s="10" t="inlineStr">
        <is>
          <t>T</t>
        </is>
      </c>
      <c r="W409" s="10" t="inlineStr">
        <is>
          <t>VIVEK B</t>
        </is>
      </c>
    </row>
    <row r="410">
      <c r="A410" s="10" t="inlineStr">
        <is>
          <t>TN57CA3434</t>
        </is>
      </c>
      <c r="B410" s="10" t="inlineStr">
        <is>
          <t>WOVEN</t>
        </is>
      </c>
      <c r="C410" s="10" t="inlineStr">
        <is>
          <t>ROAD TAX</t>
        </is>
      </c>
      <c r="D410" s="10" t="inlineStr">
        <is>
          <t>ROAD TAX</t>
        </is>
      </c>
      <c r="E410" s="10" t="inlineStr">
        <is>
          <t>QUARTER - I</t>
        </is>
      </c>
      <c r="F410" s="11" t="n">
        <v>46113</v>
      </c>
      <c r="G410" s="11" t="n">
        <v>46203</v>
      </c>
      <c r="H410" s="12">
        <f>IF(OR($F410="",$G410=""),"",$G410-$F410+1)</f>
        <v/>
      </c>
      <c r="I410" s="10">
        <f>IF($F410="","",IF(MONTH($F410)&gt;=4,YEAR($F410)&amp;"-"&amp;TEXT(YEAR($F410)+1-2000,"00"),YEAR($F410)-1&amp;"-"&amp;TEXT(YEAR($F410)-2000,"00")))</f>
        <v/>
      </c>
      <c r="J410" s="13" t="n">
        <v>32734</v>
      </c>
      <c r="K410" s="14">
        <f>IFERROR($L410/$J410,"")</f>
        <v/>
      </c>
      <c r="L410" s="13" t="n">
        <v>32734</v>
      </c>
      <c r="M410" s="13">
        <f>IFERROR($L410/$H410,"")</f>
        <v/>
      </c>
      <c r="N410" s="11" t="n">
        <v>46088</v>
      </c>
      <c r="O410" s="10">
        <f>IF($N410="","No","Yes")</f>
        <v/>
      </c>
      <c r="P410" s="12">
        <f>IF(OR($F410="",$G410=""),0,IF(AND($F410&lt;=README!$B$4,README!$B$4&lt;=$G410),1,0))</f>
        <v/>
      </c>
      <c r="Q410" s="12">
        <f>IF(OR($F410="",$G410=""),0,IF(AND($F410&lt;=DATE(README!$B$5,12,31),$G410&gt;=DATE(README!$B$5,1,1)),1,0))</f>
        <v/>
      </c>
      <c r="R410" s="10" t="inlineStr">
        <is>
          <t>GUT-VEH0029</t>
        </is>
      </c>
      <c r="S410" s="11" t="n">
        <v>46087</v>
      </c>
      <c r="T410" s="10" t="inlineStr">
        <is>
          <t>5</t>
        </is>
      </c>
      <c r="U410" s="10" t="inlineStr">
        <is>
          <t>VEHICLE</t>
        </is>
      </c>
      <c r="V410" s="10" t="inlineStr">
        <is>
          <t>T</t>
        </is>
      </c>
      <c r="W410" s="10" t="inlineStr">
        <is>
          <t>VIVEK B</t>
        </is>
      </c>
    </row>
    <row r="411">
      <c r="A411" s="10" t="inlineStr">
        <is>
          <t>TN57CA3434</t>
        </is>
      </c>
      <c r="B411" s="10" t="inlineStr">
        <is>
          <t>WOVEN</t>
        </is>
      </c>
      <c r="C411" s="10" t="inlineStr">
        <is>
          <t>VEHICLE INSURANCE</t>
        </is>
      </c>
      <c r="D411" s="10" t="inlineStr">
        <is>
          <t>VEHICLE INSURANCE</t>
        </is>
      </c>
      <c r="E411" s="10" t="inlineStr">
        <is>
          <t>YEARLY</t>
        </is>
      </c>
      <c r="F411" s="11" t="n">
        <v>46113</v>
      </c>
      <c r="G411" s="11" t="n">
        <v>46477</v>
      </c>
      <c r="H411" s="12">
        <f>IF(OR($F411="",$G411=""),"",$G411-$F411+1)</f>
        <v/>
      </c>
      <c r="I411" s="10">
        <f>IF($F411="","",IF(MONTH($F411)&gt;=4,YEAR($F411)&amp;"-"&amp;TEXT(YEAR($F411)+1-2000,"00"),YEAR($F411)-1&amp;"-"&amp;TEXT(YEAR($F411)-2000,"00")))</f>
        <v/>
      </c>
      <c r="J411" s="13" t="n">
        <v>78142</v>
      </c>
      <c r="K411" s="14">
        <f>IFERROR($L411/$J411,"")</f>
        <v/>
      </c>
      <c r="L411" s="13" t="n">
        <v>78142</v>
      </c>
      <c r="M411" s="13">
        <f>IFERROR($L411/$H411,"")</f>
        <v/>
      </c>
      <c r="N411" s="11" t="n">
        <v>46167</v>
      </c>
      <c r="O411" s="10">
        <f>IF($N411="","No","Yes")</f>
        <v/>
      </c>
      <c r="P411" s="12">
        <f>IF(OR($F411="",$G411=""),0,IF(AND($F411&lt;=README!$B$4,README!$B$4&lt;=$G411),1,0))</f>
        <v/>
      </c>
      <c r="Q411" s="12">
        <f>IF(OR($F411="",$G411=""),0,IF(AND($F411&lt;=DATE(README!$B$5,12,31),$G411&gt;=DATE(README!$B$5,1,1)),1,0))</f>
        <v/>
      </c>
      <c r="R411" s="10" t="inlineStr">
        <is>
          <t>GUT-VEH0035</t>
        </is>
      </c>
      <c r="S411" s="11" t="n">
        <v>46162</v>
      </c>
      <c r="T411" s="10" t="inlineStr">
        <is>
          <t>5</t>
        </is>
      </c>
      <c r="U411" s="10" t="inlineStr">
        <is>
          <t>VEHICLE</t>
        </is>
      </c>
      <c r="V411" s="10" t="inlineStr">
        <is>
          <t>T</t>
        </is>
      </c>
      <c r="W411" s="10" t="inlineStr">
        <is>
          <t>VIVEK B</t>
        </is>
      </c>
    </row>
    <row r="412">
      <c r="A412" s="10" t="inlineStr">
        <is>
          <t>TN57CA3434</t>
        </is>
      </c>
      <c r="B412" s="10" t="inlineStr">
        <is>
          <t>WOVEN</t>
        </is>
      </c>
      <c r="C412" s="10" t="inlineStr">
        <is>
          <t>ROAD TAX</t>
        </is>
      </c>
      <c r="D412" s="10" t="inlineStr">
        <is>
          <t>ROAD TAX</t>
        </is>
      </c>
      <c r="E412" s="10" t="inlineStr">
        <is>
          <t>QUARTER - II</t>
        </is>
      </c>
      <c r="F412" s="11" t="n">
        <v>46204</v>
      </c>
      <c r="G412" s="11" t="n">
        <v>46295</v>
      </c>
      <c r="H412" s="12">
        <f>IF(OR($F412="",$G412=""),"",$G412-$F412+1)</f>
        <v/>
      </c>
      <c r="I412" s="10">
        <f>IF($F412="","",IF(MONTH($F412)&gt;=4,YEAR($F412)&amp;"-"&amp;TEXT(YEAR($F412)+1-2000,"00"),YEAR($F412)-1&amp;"-"&amp;TEXT(YEAR($F412)-2000,"00")))</f>
        <v/>
      </c>
      <c r="J412" s="13" t="n">
        <v>32734</v>
      </c>
      <c r="K412" s="14">
        <f>IFERROR($L412/$J412,"")</f>
        <v/>
      </c>
      <c r="L412" s="13" t="n">
        <v>32734</v>
      </c>
      <c r="M412" s="13">
        <f>IFERROR($L412/$H412,"")</f>
        <v/>
      </c>
      <c r="N412" s="11" t="n">
        <v>46196</v>
      </c>
      <c r="O412" s="10">
        <f>IF($N412="","No","Yes")</f>
        <v/>
      </c>
      <c r="P412" s="12">
        <f>IF(OR($F412="",$G412=""),0,IF(AND($F412&lt;=README!$B$4,README!$B$4&lt;=$G412),1,0))</f>
        <v/>
      </c>
      <c r="Q412" s="12">
        <f>IF(OR($F412="",$G412=""),0,IF(AND($F412&lt;=DATE(README!$B$5,12,31),$G412&gt;=DATE(README!$B$5,1,1)),1,0))</f>
        <v/>
      </c>
      <c r="R412" s="10" t="inlineStr">
        <is>
          <t>GUT-VEH0038</t>
        </is>
      </c>
      <c r="S412" s="11" t="n">
        <v>46193</v>
      </c>
      <c r="T412" s="10" t="inlineStr">
        <is>
          <t>5</t>
        </is>
      </c>
      <c r="U412" s="10" t="inlineStr">
        <is>
          <t>VEHICLE</t>
        </is>
      </c>
      <c r="V412" s="10" t="inlineStr">
        <is>
          <t>T</t>
        </is>
      </c>
      <c r="W412" s="10" t="inlineStr">
        <is>
          <t>VIVEK B</t>
        </is>
      </c>
    </row>
    <row r="413">
      <c r="A413" s="10" t="inlineStr">
        <is>
          <t>TN57CA3636</t>
        </is>
      </c>
      <c r="B413" s="10" t="inlineStr">
        <is>
          <t>SOCKS</t>
        </is>
      </c>
      <c r="C413" s="10" t="inlineStr">
        <is>
          <t>ADBLU</t>
        </is>
      </c>
      <c r="D413" s="10" t="inlineStr">
        <is>
          <t>ADBLU</t>
        </is>
      </c>
      <c r="E413" s="10" t="inlineStr">
        <is>
          <t>YEARLY</t>
        </is>
      </c>
      <c r="F413" s="11" t="n">
        <v>45383</v>
      </c>
      <c r="G413" s="11" t="n">
        <v>45747</v>
      </c>
      <c r="H413" s="12">
        <f>IF(OR($F413="",$G413=""),"",$G413-$F413+1)</f>
        <v/>
      </c>
      <c r="I413" s="10">
        <f>IF($F413="","",IF(MONTH($F413)&gt;=4,YEAR($F413)&amp;"-"&amp;TEXT(YEAR($F413)+1-2000,"00"),YEAR($F413)-1&amp;"-"&amp;TEXT(YEAR($F413)-2000,"00")))</f>
        <v/>
      </c>
      <c r="J413" s="13" t="n">
        <v>60</v>
      </c>
      <c r="K413" s="14">
        <f>IFERROR($L413/$J413,"")</f>
        <v/>
      </c>
      <c r="L413" s="13" t="n">
        <v>36600</v>
      </c>
      <c r="M413" s="13">
        <f>IFERROR($L413/$H413,"")</f>
        <v/>
      </c>
      <c r="N413" s="11" t="n">
        <v>45461</v>
      </c>
      <c r="O413" s="10">
        <f>IF($N413="","No","Yes")</f>
        <v/>
      </c>
      <c r="P413" s="12">
        <f>IF(OR($F413="",$G413=""),0,IF(AND($F413&lt;=README!$B$4,README!$B$4&lt;=$G413),1,0))</f>
        <v/>
      </c>
      <c r="Q413" s="12">
        <f>IF(OR($F413="",$G413=""),0,IF(AND($F413&lt;=DATE(README!$B$5,12,31),$G413&gt;=DATE(README!$B$5,1,1)),1,0))</f>
        <v/>
      </c>
      <c r="R413" s="10" t="inlineStr">
        <is>
          <t>GUP-VEH0008</t>
        </is>
      </c>
      <c r="S413" s="11" t="n">
        <v>45461</v>
      </c>
      <c r="T413" s="10" t="inlineStr">
        <is>
          <t>541</t>
        </is>
      </c>
      <c r="U413" s="10" t="inlineStr">
        <is>
          <t>VEHICLE</t>
        </is>
      </c>
      <c r="V413" s="10" t="inlineStr">
        <is>
          <t>T</t>
        </is>
      </c>
      <c r="W413" s="10" t="inlineStr">
        <is>
          <t>VIVEK B</t>
        </is>
      </c>
    </row>
    <row r="414">
      <c r="A414" s="10" t="inlineStr">
        <is>
          <t>TN57CA3636</t>
        </is>
      </c>
      <c r="B414" s="10" t="inlineStr">
        <is>
          <t>SOCKS</t>
        </is>
      </c>
      <c r="C414" s="10" t="inlineStr">
        <is>
          <t>FC WORK</t>
        </is>
      </c>
      <c r="D414" s="10" t="inlineStr">
        <is>
          <t>FC WORK</t>
        </is>
      </c>
      <c r="E414" s="10" t="inlineStr">
        <is>
          <t>YEARLY</t>
        </is>
      </c>
      <c r="F414" s="11" t="n">
        <v>45383</v>
      </c>
      <c r="G414" s="11" t="n">
        <v>45747</v>
      </c>
      <c r="H414" s="12">
        <f>IF(OR($F414="",$G414=""),"",$G414-$F414+1)</f>
        <v/>
      </c>
      <c r="I414" s="10">
        <f>IF($F414="","",IF(MONTH($F414)&gt;=4,YEAR($F414)&amp;"-"&amp;TEXT(YEAR($F414)+1-2000,"00"),YEAR($F414)-1&amp;"-"&amp;TEXT(YEAR($F414)-2000,"00")))</f>
        <v/>
      </c>
      <c r="J414" s="13" t="n">
        <v>54000</v>
      </c>
      <c r="K414" s="14">
        <f>IFERROR($L414/$J414,"")</f>
        <v/>
      </c>
      <c r="L414" s="13" t="n">
        <v>54000</v>
      </c>
      <c r="M414" s="13">
        <f>IFERROR($L414/$H414,"")</f>
        <v/>
      </c>
      <c r="N414" s="11" t="n">
        <v>45590</v>
      </c>
      <c r="O414" s="10">
        <f>IF($N414="","No","Yes")</f>
        <v/>
      </c>
      <c r="P414" s="12">
        <f>IF(OR($F414="",$G414=""),0,IF(AND($F414&lt;=README!$B$4,README!$B$4&lt;=$G414),1,0))</f>
        <v/>
      </c>
      <c r="Q414" s="12">
        <f>IF(OR($F414="",$G414=""),0,IF(AND($F414&lt;=DATE(README!$B$5,12,31),$G414&gt;=DATE(README!$B$5,1,1)),1,0))</f>
        <v/>
      </c>
      <c r="R414" s="10" t="inlineStr">
        <is>
          <t>GUP-VEH0009</t>
        </is>
      </c>
      <c r="S414" s="11" t="n">
        <v>45475</v>
      </c>
      <c r="T414" s="10" t="inlineStr">
        <is>
          <t>546</t>
        </is>
      </c>
      <c r="U414" s="10" t="inlineStr">
        <is>
          <t>VEHICLE</t>
        </is>
      </c>
      <c r="V414" s="10" t="inlineStr">
        <is>
          <t>T</t>
        </is>
      </c>
      <c r="W414" s="10" t="inlineStr">
        <is>
          <t>VIVEK B</t>
        </is>
      </c>
    </row>
    <row r="415">
      <c r="A415" s="10" t="inlineStr">
        <is>
          <t>TN57CA3636</t>
        </is>
      </c>
      <c r="B415" s="10" t="inlineStr">
        <is>
          <t>SOCKS</t>
        </is>
      </c>
      <c r="C415" s="10" t="inlineStr">
        <is>
          <t>ROAD TAX</t>
        </is>
      </c>
      <c r="D415" s="10" t="inlineStr">
        <is>
          <t>ROAD TAX</t>
        </is>
      </c>
      <c r="E415" s="10" t="inlineStr">
        <is>
          <t>YEARLY</t>
        </is>
      </c>
      <c r="F415" s="11" t="n">
        <v>45383</v>
      </c>
      <c r="G415" s="11" t="n">
        <v>45747</v>
      </c>
      <c r="H415" s="12">
        <f>IF(OR($F415="",$G415=""),"",$G415-$F415+1)</f>
        <v/>
      </c>
      <c r="I415" s="10">
        <f>IF($F415="","",IF(MONTH($F415)&gt;=4,YEAR($F415)&amp;"-"&amp;TEXT(YEAR($F415)+1-2000,"00"),YEAR($F415)-1&amp;"-"&amp;TEXT(YEAR($F415)-2000,"00")))</f>
        <v/>
      </c>
      <c r="J415" s="13" t="n">
        <v>29694</v>
      </c>
      <c r="K415" s="14">
        <f>IFERROR($L415/$J415,"")</f>
        <v/>
      </c>
      <c r="L415" s="13" t="n">
        <v>29694</v>
      </c>
      <c r="M415" s="13">
        <f>IFERROR($L415/$H415,"")</f>
        <v/>
      </c>
      <c r="N415" s="11" t="n">
        <v>45569</v>
      </c>
      <c r="O415" s="10">
        <f>IF($N415="","No","Yes")</f>
        <v/>
      </c>
      <c r="P415" s="12">
        <f>IF(OR($F415="",$G415=""),0,IF(AND($F415&lt;=README!$B$4,README!$B$4&lt;=$G415),1,0))</f>
        <v/>
      </c>
      <c r="Q415" s="12">
        <f>IF(OR($F415="",$G415=""),0,IF(AND($F415&lt;=DATE(README!$B$5,12,31),$G415&gt;=DATE(README!$B$5,1,1)),1,0))</f>
        <v/>
      </c>
      <c r="R415" s="10" t="inlineStr">
        <is>
          <t>GUP-VEH0011</t>
        </is>
      </c>
      <c r="S415" s="11" t="n">
        <v>45477</v>
      </c>
      <c r="T415" s="10" t="inlineStr">
        <is>
          <t>548</t>
        </is>
      </c>
      <c r="U415" s="10" t="inlineStr">
        <is>
          <t>VEHICLE</t>
        </is>
      </c>
      <c r="V415" s="10" t="inlineStr">
        <is>
          <t>T</t>
        </is>
      </c>
      <c r="W415" s="10" t="inlineStr">
        <is>
          <t>VIVEK B</t>
        </is>
      </c>
    </row>
    <row r="416">
      <c r="A416" s="10" t="inlineStr">
        <is>
          <t>TN57CA3636</t>
        </is>
      </c>
      <c r="B416" s="10" t="inlineStr">
        <is>
          <t>SOCKS</t>
        </is>
      </c>
      <c r="C416" s="10" t="inlineStr">
        <is>
          <t>ROAD TAX</t>
        </is>
      </c>
      <c r="D416" s="10" t="inlineStr">
        <is>
          <t>ROAD TAX</t>
        </is>
      </c>
      <c r="E416" s="10" t="inlineStr">
        <is>
          <t>YEARLY</t>
        </is>
      </c>
      <c r="F416" s="11" t="n">
        <v>45383</v>
      </c>
      <c r="G416" s="11" t="n">
        <v>45747</v>
      </c>
      <c r="H416" s="12">
        <f>IF(OR($F416="",$G416=""),"",$G416-$F416+1)</f>
        <v/>
      </c>
      <c r="I416" s="10">
        <f>IF($F416="","",IF(MONTH($F416)&gt;=4,YEAR($F416)&amp;"-"&amp;TEXT(YEAR($F416)+1-2000,"00"),YEAR($F416)-1&amp;"-"&amp;TEXT(YEAR($F416)-2000,"00")))</f>
        <v/>
      </c>
      <c r="J416" s="13" t="n">
        <v>29694</v>
      </c>
      <c r="K416" s="14">
        <f>IFERROR($L416/$J416,"")</f>
        <v/>
      </c>
      <c r="L416" s="13" t="n">
        <v>29694</v>
      </c>
      <c r="M416" s="13">
        <f>IFERROR($L416/$H416,"")</f>
        <v/>
      </c>
      <c r="N416" s="11" t="n">
        <v>45481</v>
      </c>
      <c r="O416" s="10">
        <f>IF($N416="","No","Yes")</f>
        <v/>
      </c>
      <c r="P416" s="12">
        <f>IF(OR($F416="",$G416=""),0,IF(AND($F416&lt;=README!$B$4,README!$B$4&lt;=$G416),1,0))</f>
        <v/>
      </c>
      <c r="Q416" s="12">
        <f>IF(OR($F416="",$G416=""),0,IF(AND($F416&lt;=DATE(README!$B$5,12,31),$G416&gt;=DATE(README!$B$5,1,1)),1,0))</f>
        <v/>
      </c>
      <c r="R416" s="10" t="inlineStr">
        <is>
          <t>GUP-VEH0011</t>
        </is>
      </c>
      <c r="S416" s="11" t="n">
        <v>45477</v>
      </c>
      <c r="T416" s="10" t="inlineStr">
        <is>
          <t>548</t>
        </is>
      </c>
      <c r="U416" s="10" t="inlineStr">
        <is>
          <t>VEHICLE</t>
        </is>
      </c>
      <c r="V416" s="10" t="inlineStr">
        <is>
          <t>T</t>
        </is>
      </c>
      <c r="W416" s="10" t="inlineStr">
        <is>
          <t>VIVEK B</t>
        </is>
      </c>
    </row>
    <row r="417">
      <c r="A417" s="10" t="inlineStr">
        <is>
          <t>TN57CA3636</t>
        </is>
      </c>
      <c r="B417" s="10" t="inlineStr">
        <is>
          <t>SOCKS</t>
        </is>
      </c>
      <c r="C417" s="10" t="inlineStr">
        <is>
          <t>ROAD TAX</t>
        </is>
      </c>
      <c r="D417" s="10" t="inlineStr">
        <is>
          <t>ROAD TAX</t>
        </is>
      </c>
      <c r="E417" s="10" t="inlineStr">
        <is>
          <t>YEARLY</t>
        </is>
      </c>
      <c r="F417" s="11" t="n">
        <v>45383</v>
      </c>
      <c r="G417" s="11" t="n">
        <v>45747</v>
      </c>
      <c r="H417" s="12">
        <f>IF(OR($F417="",$G417=""),"",$G417-$F417+1)</f>
        <v/>
      </c>
      <c r="I417" s="10">
        <f>IF($F417="","",IF(MONTH($F417)&gt;=4,YEAR($F417)&amp;"-"&amp;TEXT(YEAR($F417)+1-2000,"00"),YEAR($F417)-1&amp;"-"&amp;TEXT(YEAR($F417)-2000,"00")))</f>
        <v/>
      </c>
      <c r="J417" s="13" t="n">
        <v>29694</v>
      </c>
      <c r="K417" s="14">
        <f>IFERROR($L417/$J417,"")</f>
        <v/>
      </c>
      <c r="L417" s="13" t="n">
        <v>29694</v>
      </c>
      <c r="M417" s="13">
        <f>IFERROR($L417/$H417,"")</f>
        <v/>
      </c>
      <c r="N417" s="11" t="n">
        <v>45649</v>
      </c>
      <c r="O417" s="10">
        <f>IF($N417="","No","Yes")</f>
        <v/>
      </c>
      <c r="P417" s="12">
        <f>IF(OR($F417="",$G417=""),0,IF(AND($F417&lt;=README!$B$4,README!$B$4&lt;=$G417),1,0))</f>
        <v/>
      </c>
      <c r="Q417" s="12">
        <f>IF(OR($F417="",$G417=""),0,IF(AND($F417&lt;=DATE(README!$B$5,12,31),$G417&gt;=DATE(README!$B$5,1,1)),1,0))</f>
        <v/>
      </c>
      <c r="R417" s="10" t="inlineStr">
        <is>
          <t>GUP-VEH0011</t>
        </is>
      </c>
      <c r="S417" s="11" t="n">
        <v>45477</v>
      </c>
      <c r="T417" s="10" t="inlineStr">
        <is>
          <t>548</t>
        </is>
      </c>
      <c r="U417" s="10" t="inlineStr">
        <is>
          <t>VEHICLE</t>
        </is>
      </c>
      <c r="V417" s="10" t="inlineStr">
        <is>
          <t>T</t>
        </is>
      </c>
      <c r="W417" s="10" t="inlineStr">
        <is>
          <t>VIVEK B</t>
        </is>
      </c>
    </row>
    <row r="418">
      <c r="A418" s="10" t="inlineStr">
        <is>
          <t>TN57CA3636</t>
        </is>
      </c>
      <c r="B418" s="10" t="inlineStr">
        <is>
          <t>SOCKS</t>
        </is>
      </c>
      <c r="C418" s="10" t="inlineStr">
        <is>
          <t>RTO EXPENSE</t>
        </is>
      </c>
      <c r="D418" s="10" t="inlineStr">
        <is>
          <t>RTO EXPENSE</t>
        </is>
      </c>
      <c r="E418" s="10" t="inlineStr">
        <is>
          <t>YEARLY</t>
        </is>
      </c>
      <c r="F418" s="11" t="n">
        <v>45383</v>
      </c>
      <c r="G418" s="11" t="n">
        <v>45747</v>
      </c>
      <c r="H418" s="12">
        <f>IF(OR($F418="",$G418=""),"",$G418-$F418+1)</f>
        <v/>
      </c>
      <c r="I418" s="10">
        <f>IF($F418="","",IF(MONTH($F418)&gt;=4,YEAR($F418)&amp;"-"&amp;TEXT(YEAR($F418)+1-2000,"00"),YEAR($F418)-1&amp;"-"&amp;TEXT(YEAR($F418)-2000,"00")))</f>
        <v/>
      </c>
      <c r="J418" s="13" t="n">
        <v>7500</v>
      </c>
      <c r="K418" s="14">
        <f>IFERROR($L418/$J418,"")</f>
        <v/>
      </c>
      <c r="L418" s="13" t="n">
        <v>7500</v>
      </c>
      <c r="M418" s="13">
        <f>IFERROR($L418/$H418,"")</f>
        <v/>
      </c>
      <c r="N418" s="11" t="n">
        <v>45573</v>
      </c>
      <c r="O418" s="10">
        <f>IF($N418="","No","Yes")</f>
        <v/>
      </c>
      <c r="P418" s="12">
        <f>IF(OR($F418="",$G418=""),0,IF(AND($F418&lt;=README!$B$4,README!$B$4&lt;=$G418),1,0))</f>
        <v/>
      </c>
      <c r="Q418" s="12">
        <f>IF(OR($F418="",$G418=""),0,IF(AND($F418&lt;=DATE(README!$B$5,12,31),$G418&gt;=DATE(README!$B$5,1,1)),1,0))</f>
        <v/>
      </c>
      <c r="R418" s="10" t="inlineStr">
        <is>
          <t>GUP-VEH0010</t>
        </is>
      </c>
      <c r="S418" s="11" t="n">
        <v>45475</v>
      </c>
      <c r="T418" s="10" t="inlineStr">
        <is>
          <t>547</t>
        </is>
      </c>
      <c r="U418" s="10" t="inlineStr">
        <is>
          <t>VEHICLE</t>
        </is>
      </c>
      <c r="V418" s="10" t="inlineStr">
        <is>
          <t>T</t>
        </is>
      </c>
      <c r="W418" s="10" t="inlineStr">
        <is>
          <t>VIVEK B</t>
        </is>
      </c>
    </row>
    <row r="419">
      <c r="A419" s="10" t="inlineStr">
        <is>
          <t>TN57CA3636</t>
        </is>
      </c>
      <c r="B419" s="10" t="inlineStr">
        <is>
          <t>SOCKS</t>
        </is>
      </c>
      <c r="C419" s="10" t="inlineStr">
        <is>
          <t>TYRE</t>
        </is>
      </c>
      <c r="D419" s="10" t="inlineStr">
        <is>
          <t>TYRE</t>
        </is>
      </c>
      <c r="E419" s="10" t="inlineStr">
        <is>
          <t>YEARLY</t>
        </is>
      </c>
      <c r="F419" s="11" t="n">
        <v>45383</v>
      </c>
      <c r="G419" s="11" t="n">
        <v>45747</v>
      </c>
      <c r="H419" s="12">
        <f>IF(OR($F419="",$G419=""),"",$G419-$F419+1)</f>
        <v/>
      </c>
      <c r="I419" s="10">
        <f>IF($F419="","",IF(MONTH($F419)&gt;=4,YEAR($F419)&amp;"-"&amp;TEXT(YEAR($F419)+1-2000,"00"),YEAR($F419)-1&amp;"-"&amp;TEXT(YEAR($F419)-2000,"00")))</f>
        <v/>
      </c>
      <c r="J419" s="13" t="n">
        <v>30700</v>
      </c>
      <c r="K419" s="14">
        <f>IFERROR($L419/$J419,"")</f>
        <v/>
      </c>
      <c r="L419" s="13" t="n">
        <v>0</v>
      </c>
      <c r="M419" s="13">
        <f>IFERROR($L419/$H419,"")</f>
        <v/>
      </c>
      <c r="N419" s="11" t="n"/>
      <c r="O419" s="10">
        <f>IF($N419="","No","Yes")</f>
        <v/>
      </c>
      <c r="P419" s="12">
        <f>IF(OR($F419="",$G419=""),0,IF(AND($F419&lt;=README!$B$4,README!$B$4&lt;=$G419),1,0))</f>
        <v/>
      </c>
      <c r="Q419" s="12">
        <f>IF(OR($F419="",$G419=""),0,IF(AND($F419&lt;=DATE(README!$B$5,12,31),$G419&gt;=DATE(README!$B$5,1,1)),1,0))</f>
        <v/>
      </c>
      <c r="R419" s="10" t="inlineStr">
        <is>
          <t>GUP-VEH0006</t>
        </is>
      </c>
      <c r="S419" s="11" t="n">
        <v>45442</v>
      </c>
      <c r="T419" s="10" t="inlineStr">
        <is>
          <t>522</t>
        </is>
      </c>
      <c r="U419" s="10" t="inlineStr">
        <is>
          <t>VEHICLE</t>
        </is>
      </c>
      <c r="V419" s="10" t="inlineStr">
        <is>
          <t>T</t>
        </is>
      </c>
      <c r="W419" s="10" t="inlineStr">
        <is>
          <t>VIVEK B</t>
        </is>
      </c>
    </row>
    <row r="420">
      <c r="A420" s="10" t="inlineStr">
        <is>
          <t>TN57CA3636</t>
        </is>
      </c>
      <c r="B420" s="10" t="inlineStr">
        <is>
          <t>WOVEN</t>
        </is>
      </c>
      <c r="C420" s="10" t="inlineStr">
        <is>
          <t>TYRE</t>
        </is>
      </c>
      <c r="D420" s="10" t="inlineStr">
        <is>
          <t>TYRE</t>
        </is>
      </c>
      <c r="E420" s="10" t="inlineStr">
        <is>
          <t>YEARLY</t>
        </is>
      </c>
      <c r="F420" s="11" t="n">
        <v>45383</v>
      </c>
      <c r="G420" s="11" t="n">
        <v>45747</v>
      </c>
      <c r="H420" s="12">
        <f>IF(OR($F420="",$G420=""),"",$G420-$F420+1)</f>
        <v/>
      </c>
      <c r="I420" s="10">
        <f>IF($F420="","",IF(MONTH($F420)&gt;=4,YEAR($F420)&amp;"-"&amp;TEXT(YEAR($F420)+1-2000,"00"),YEAR($F420)-1&amp;"-"&amp;TEXT(YEAR($F420)-2000,"00")))</f>
        <v/>
      </c>
      <c r="J420" s="13" t="n">
        <v>30200</v>
      </c>
      <c r="K420" s="14">
        <f>IFERROR($L420/$J420,"")</f>
        <v/>
      </c>
      <c r="L420" s="13" t="n">
        <v>30200</v>
      </c>
      <c r="M420" s="13">
        <f>IFERROR($L420/$H420,"")</f>
        <v/>
      </c>
      <c r="N420" s="11" t="n">
        <v>45652</v>
      </c>
      <c r="O420" s="10">
        <f>IF($N420="","No","Yes")</f>
        <v/>
      </c>
      <c r="P420" s="12">
        <f>IF(OR($F420="",$G420=""),0,IF(AND($F420&lt;=README!$B$4,README!$B$4&lt;=$G420),1,0))</f>
        <v/>
      </c>
      <c r="Q420" s="12">
        <f>IF(OR($F420="",$G420=""),0,IF(AND($F420&lt;=DATE(README!$B$5,12,31),$G420&gt;=DATE(README!$B$5,1,1)),1,0))</f>
        <v/>
      </c>
      <c r="R420" s="10" t="inlineStr">
        <is>
          <t>GUT-VEH0006</t>
        </is>
      </c>
      <c r="S420" s="11" t="n">
        <v>45437</v>
      </c>
      <c r="T420" s="10" t="inlineStr">
        <is>
          <t>3</t>
        </is>
      </c>
      <c r="U420" s="10" t="inlineStr">
        <is>
          <t>VEHICLE</t>
        </is>
      </c>
      <c r="V420" s="10" t="inlineStr">
        <is>
          <t>T</t>
        </is>
      </c>
      <c r="W420" s="10" t="inlineStr">
        <is>
          <t>VIVEK B</t>
        </is>
      </c>
    </row>
    <row r="421">
      <c r="A421" s="10" t="inlineStr">
        <is>
          <t>TN57CA3636</t>
        </is>
      </c>
      <c r="B421" s="10" t="inlineStr">
        <is>
          <t>SOCKS</t>
        </is>
      </c>
      <c r="C421" s="10" t="inlineStr">
        <is>
          <t>VEHICLE INSURANCE</t>
        </is>
      </c>
      <c r="D421" s="10" t="inlineStr">
        <is>
          <t>VEHICLE INSURANCE</t>
        </is>
      </c>
      <c r="E421" s="10" t="inlineStr">
        <is>
          <t>YEARLY</t>
        </is>
      </c>
      <c r="F421" s="11" t="n">
        <v>45383</v>
      </c>
      <c r="G421" s="11" t="n">
        <v>45747</v>
      </c>
      <c r="H421" s="12">
        <f>IF(OR($F421="",$G421=""),"",$G421-$F421+1)</f>
        <v/>
      </c>
      <c r="I421" s="10">
        <f>IF($F421="","",IF(MONTH($F421)&gt;=4,YEAR($F421)&amp;"-"&amp;TEXT(YEAR($F421)+1-2000,"00"),YEAR($F421)-1&amp;"-"&amp;TEXT(YEAR($F421)-2000,"00")))</f>
        <v/>
      </c>
      <c r="J421" s="13" t="n">
        <v>67828</v>
      </c>
      <c r="K421" s="14">
        <f>IFERROR($L421/$J421,"")</f>
        <v/>
      </c>
      <c r="L421" s="13" t="n">
        <v>0</v>
      </c>
      <c r="M421" s="13">
        <f>IFERROR($L421/$H421,"")</f>
        <v/>
      </c>
      <c r="N421" s="11" t="n"/>
      <c r="O421" s="10">
        <f>IF($N421="","No","Yes")</f>
        <v/>
      </c>
      <c r="P421" s="12">
        <f>IF(OR($F421="",$G421=""),0,IF(AND($F421&lt;=README!$B$4,README!$B$4&lt;=$G421),1,0))</f>
        <v/>
      </c>
      <c r="Q421" s="12">
        <f>IF(OR($F421="",$G421=""),0,IF(AND($F421&lt;=DATE(README!$B$5,12,31),$G421&gt;=DATE(README!$B$5,1,1)),1,0))</f>
        <v/>
      </c>
      <c r="R421" s="10" t="inlineStr">
        <is>
          <t>GUP-VEH0013</t>
        </is>
      </c>
      <c r="S421" s="11" t="n">
        <v>45478</v>
      </c>
      <c r="T421" s="10" t="inlineStr">
        <is>
          <t>550</t>
        </is>
      </c>
      <c r="U421" s="10" t="inlineStr">
        <is>
          <t>VEHICLE</t>
        </is>
      </c>
      <c r="V421" s="10" t="inlineStr">
        <is>
          <t>T</t>
        </is>
      </c>
      <c r="W421" s="10" t="inlineStr">
        <is>
          <t>VIVEK B</t>
        </is>
      </c>
    </row>
    <row r="422">
      <c r="A422" s="10" t="inlineStr">
        <is>
          <t>TN57CA3636</t>
        </is>
      </c>
      <c r="B422" s="10" t="inlineStr">
        <is>
          <t>SOCKS</t>
        </is>
      </c>
      <c r="C422" s="10" t="inlineStr">
        <is>
          <t>VEHICLE OUTSIDE SERVICES</t>
        </is>
      </c>
      <c r="D422" s="10" t="inlineStr">
        <is>
          <t xml:space="preserve">MAINTENANCE SERVICE </t>
        </is>
      </c>
      <c r="E422" s="10" t="inlineStr">
        <is>
          <t>YEARLY</t>
        </is>
      </c>
      <c r="F422" s="11" t="n">
        <v>45383</v>
      </c>
      <c r="G422" s="11" t="n">
        <v>45747</v>
      </c>
      <c r="H422" s="12">
        <f>IF(OR($F422="",$G422=""),"",$G422-$F422+1)</f>
        <v/>
      </c>
      <c r="I422" s="10">
        <f>IF($F422="","",IF(MONTH($F422)&gt;=4,YEAR($F422)&amp;"-"&amp;TEXT(YEAR($F422)+1-2000,"00"),YEAR($F422)-1&amp;"-"&amp;TEXT(YEAR($F422)-2000,"00")))</f>
        <v/>
      </c>
      <c r="J422" s="13" t="n">
        <v>9115</v>
      </c>
      <c r="K422" s="14">
        <f>IFERROR($L422/$J422,"")</f>
        <v/>
      </c>
      <c r="L422" s="13" t="n">
        <v>9115</v>
      </c>
      <c r="M422" s="13">
        <f>IFERROR($L422/$H422,"")</f>
        <v/>
      </c>
      <c r="N422" s="11" t="n">
        <v>45555</v>
      </c>
      <c r="O422" s="10">
        <f>IF($N422="","No","Yes")</f>
        <v/>
      </c>
      <c r="P422" s="12">
        <f>IF(OR($F422="",$G422=""),0,IF(AND($F422&lt;=README!$B$4,README!$B$4&lt;=$G422),1,0))</f>
        <v/>
      </c>
      <c r="Q422" s="12">
        <f>IF(OR($F422="",$G422=""),0,IF(AND($F422&lt;=DATE(README!$B$5,12,31),$G422&gt;=DATE(README!$B$5,1,1)),1,0))</f>
        <v/>
      </c>
      <c r="R422" s="10" t="inlineStr">
        <is>
          <t>GUP-VEH0012</t>
        </is>
      </c>
      <c r="S422" s="11" t="n">
        <v>45477</v>
      </c>
      <c r="T422" s="10" t="inlineStr">
        <is>
          <t>549</t>
        </is>
      </c>
      <c r="U422" s="10" t="inlineStr">
        <is>
          <t>VEHICLE</t>
        </is>
      </c>
      <c r="V422" s="10" t="inlineStr">
        <is>
          <t>T</t>
        </is>
      </c>
      <c r="W422" s="10" t="inlineStr">
        <is>
          <t>VIVEK B</t>
        </is>
      </c>
    </row>
    <row r="423">
      <c r="A423" s="10" t="inlineStr">
        <is>
          <t>TN57CA3636</t>
        </is>
      </c>
      <c r="B423" s="10" t="inlineStr">
        <is>
          <t>SOCKS</t>
        </is>
      </c>
      <c r="C423" s="10" t="inlineStr">
        <is>
          <t>VEHICLE OUTSIDE SERVICES</t>
        </is>
      </c>
      <c r="D423" s="10" t="inlineStr">
        <is>
          <t>MAINTENANCE SERVICE - 2</t>
        </is>
      </c>
      <c r="E423" s="10" t="inlineStr">
        <is>
          <t>YEARLY</t>
        </is>
      </c>
      <c r="F423" s="11" t="n">
        <v>45383</v>
      </c>
      <c r="G423" s="11" t="n">
        <v>45747</v>
      </c>
      <c r="H423" s="12">
        <f>IF(OR($F423="",$G423=""),"",$G423-$F423+1)</f>
        <v/>
      </c>
      <c r="I423" s="10">
        <f>IF($F423="","",IF(MONTH($F423)&gt;=4,YEAR($F423)&amp;"-"&amp;TEXT(YEAR($F423)+1-2000,"00"),YEAR($F423)-1&amp;"-"&amp;TEXT(YEAR($F423)-2000,"00")))</f>
        <v/>
      </c>
      <c r="J423" s="13" t="n">
        <v>7871</v>
      </c>
      <c r="K423" s="14">
        <f>IFERROR($L423/$J423,"")</f>
        <v/>
      </c>
      <c r="L423" s="13" t="n">
        <v>7871</v>
      </c>
      <c r="M423" s="13">
        <f>IFERROR($L423/$H423,"")</f>
        <v/>
      </c>
      <c r="N423" s="11" t="n">
        <v>45756</v>
      </c>
      <c r="O423" s="10">
        <f>IF($N423="","No","Yes")</f>
        <v/>
      </c>
      <c r="P423" s="12">
        <f>IF(OR($F423="",$G423=""),0,IF(AND($F423&lt;=README!$B$4,README!$B$4&lt;=$G423),1,0))</f>
        <v/>
      </c>
      <c r="Q423" s="12">
        <f>IF(OR($F423="",$G423=""),0,IF(AND($F423&lt;=DATE(README!$B$5,12,31),$G423&gt;=DATE(README!$B$5,1,1)),1,0))</f>
        <v/>
      </c>
      <c r="R423" s="10" t="inlineStr">
        <is>
          <t>GUP-VEH0012</t>
        </is>
      </c>
      <c r="S423" s="11" t="n">
        <v>45477</v>
      </c>
      <c r="T423" s="10" t="inlineStr">
        <is>
          <t>549</t>
        </is>
      </c>
      <c r="U423" s="10" t="inlineStr">
        <is>
          <t>VEHICLE</t>
        </is>
      </c>
      <c r="V423" s="10" t="inlineStr">
        <is>
          <t>T</t>
        </is>
      </c>
      <c r="W423" s="10" t="inlineStr">
        <is>
          <t>VIVEK B</t>
        </is>
      </c>
    </row>
    <row r="424">
      <c r="A424" s="10" t="inlineStr">
        <is>
          <t>TN57CA3636</t>
        </is>
      </c>
      <c r="B424" s="10" t="inlineStr">
        <is>
          <t>SOCKS</t>
        </is>
      </c>
      <c r="C424" s="10" t="inlineStr">
        <is>
          <t>ROAD TAX</t>
        </is>
      </c>
      <c r="D424" s="10" t="inlineStr">
        <is>
          <t>ROAD TAX</t>
        </is>
      </c>
      <c r="E424" s="10" t="inlineStr">
        <is>
          <t>QUARTER - I</t>
        </is>
      </c>
      <c r="F424" s="11" t="n">
        <v>45748</v>
      </c>
      <c r="G424" s="11" t="n">
        <v>45838</v>
      </c>
      <c r="H424" s="12">
        <f>IF(OR($F424="",$G424=""),"",$G424-$F424+1)</f>
        <v/>
      </c>
      <c r="I424" s="10">
        <f>IF($F424="","",IF(MONTH($F424)&gt;=4,YEAR($F424)&amp;"-"&amp;TEXT(YEAR($F424)+1-2000,"00"),YEAR($F424)-1&amp;"-"&amp;TEXT(YEAR($F424)-2000,"00")))</f>
        <v/>
      </c>
      <c r="J424" s="13" t="n">
        <v>29694</v>
      </c>
      <c r="K424" s="14">
        <f>IFERROR($L424/$J424,"")</f>
        <v/>
      </c>
      <c r="L424" s="13" t="n">
        <v>29694</v>
      </c>
      <c r="M424" s="13">
        <f>IFERROR($L424/$H424,"")</f>
        <v/>
      </c>
      <c r="N424" s="11" t="n">
        <v>46030</v>
      </c>
      <c r="O424" s="10">
        <f>IF($N424="","No","Yes")</f>
        <v/>
      </c>
      <c r="P424" s="12">
        <f>IF(OR($F424="",$G424=""),0,IF(AND($F424&lt;=README!$B$4,README!$B$4&lt;=$G424),1,0))</f>
        <v/>
      </c>
      <c r="Q424" s="12">
        <f>IF(OR($F424="",$G424=""),0,IF(AND($F424&lt;=DATE(README!$B$5,12,31),$G424&gt;=DATE(README!$B$5,1,1)),1,0))</f>
        <v/>
      </c>
      <c r="R424" s="10" t="inlineStr">
        <is>
          <t>GUP-VEH0014</t>
        </is>
      </c>
      <c r="S424" s="11" t="n">
        <v>45748</v>
      </c>
      <c r="T424" s="10" t="inlineStr">
        <is>
          <t>609</t>
        </is>
      </c>
      <c r="U424" s="10" t="inlineStr">
        <is>
          <t>VEHICLE</t>
        </is>
      </c>
      <c r="V424" s="10" t="inlineStr">
        <is>
          <t>T</t>
        </is>
      </c>
      <c r="W424" s="10" t="inlineStr">
        <is>
          <t>VIVEK B</t>
        </is>
      </c>
    </row>
    <row r="425">
      <c r="A425" s="10" t="inlineStr">
        <is>
          <t>TN57CA3636</t>
        </is>
      </c>
      <c r="B425" s="10" t="inlineStr">
        <is>
          <t>SOCKS</t>
        </is>
      </c>
      <c r="C425" s="10" t="inlineStr">
        <is>
          <t>RTO EXPENSE</t>
        </is>
      </c>
      <c r="D425" s="10" t="inlineStr">
        <is>
          <t>PERMIT RENEWAL 5 YEAR</t>
        </is>
      </c>
      <c r="E425" s="10" t="inlineStr">
        <is>
          <t>YEARLY</t>
        </is>
      </c>
      <c r="F425" s="11" t="n">
        <v>45748</v>
      </c>
      <c r="G425" s="11" t="n">
        <v>46112</v>
      </c>
      <c r="H425" s="12">
        <f>IF(OR($F425="",$G425=""),"",$G425-$F425+1)</f>
        <v/>
      </c>
      <c r="I425" s="10">
        <f>IF($F425="","",IF(MONTH($F425)&gt;=4,YEAR($F425)&amp;"-"&amp;TEXT(YEAR($F425)+1-2000,"00"),YEAR($F425)-1&amp;"-"&amp;TEXT(YEAR($F425)-2000,"00")))</f>
        <v/>
      </c>
      <c r="J425" s="13" t="n">
        <v>6800</v>
      </c>
      <c r="K425" s="14">
        <f>IFERROR($L425/$J425,"")</f>
        <v/>
      </c>
      <c r="L425" s="13" t="n">
        <v>6800</v>
      </c>
      <c r="M425" s="13">
        <f>IFERROR($L425/$H425,"")</f>
        <v/>
      </c>
      <c r="N425" s="11" t="n">
        <v>45901</v>
      </c>
      <c r="O425" s="10">
        <f>IF($N425="","No","Yes")</f>
        <v/>
      </c>
      <c r="P425" s="12">
        <f>IF(OR($F425="",$G425=""),0,IF(AND($F425&lt;=README!$B$4,README!$B$4&lt;=$G425),1,0))</f>
        <v/>
      </c>
      <c r="Q425" s="12">
        <f>IF(OR($F425="",$G425=""),0,IF(AND($F425&lt;=DATE(README!$B$5,12,31),$G425&gt;=DATE(README!$B$5,1,1)),1,0))</f>
        <v/>
      </c>
      <c r="R425" s="10" t="inlineStr">
        <is>
          <t>GUP-VEH0022</t>
        </is>
      </c>
      <c r="S425" s="11" t="n">
        <v>45834</v>
      </c>
      <c r="T425" s="10" t="inlineStr">
        <is>
          <t>655</t>
        </is>
      </c>
      <c r="U425" s="10" t="inlineStr">
        <is>
          <t>VEHICLE</t>
        </is>
      </c>
      <c r="V425" s="10" t="inlineStr">
        <is>
          <t>T</t>
        </is>
      </c>
      <c r="W425" s="10" t="inlineStr">
        <is>
          <t>VIVEK B</t>
        </is>
      </c>
    </row>
    <row r="426">
      <c r="A426" s="10" t="inlineStr">
        <is>
          <t>TN57CA3636</t>
        </is>
      </c>
      <c r="B426" s="10" t="inlineStr">
        <is>
          <t>SOCKS</t>
        </is>
      </c>
      <c r="C426" s="10" t="inlineStr">
        <is>
          <t>TYRE</t>
        </is>
      </c>
      <c r="D426" s="10" t="inlineStr">
        <is>
          <t>TYRE</t>
        </is>
      </c>
      <c r="E426" s="10" t="inlineStr">
        <is>
          <t>YEARLY</t>
        </is>
      </c>
      <c r="F426" s="11" t="n">
        <v>45748</v>
      </c>
      <c r="G426" s="11" t="n">
        <v>46112</v>
      </c>
      <c r="H426" s="12">
        <f>IF(OR($F426="",$G426=""),"",$G426-$F426+1)</f>
        <v/>
      </c>
      <c r="I426" s="10">
        <f>IF($F426="","",IF(MONTH($F426)&gt;=4,YEAR($F426)&amp;"-"&amp;TEXT(YEAR($F426)+1-2000,"00"),YEAR($F426)-1&amp;"-"&amp;TEXT(YEAR($F426)-2000,"00")))</f>
        <v/>
      </c>
      <c r="J426" s="13" t="n">
        <v>32300</v>
      </c>
      <c r="K426" s="14">
        <f>IFERROR($L426/$J426,"")</f>
        <v/>
      </c>
      <c r="L426" s="13" t="n">
        <v>32300</v>
      </c>
      <c r="M426" s="13">
        <f>IFERROR($L426/$H426,"")</f>
        <v/>
      </c>
      <c r="N426" s="11" t="n">
        <v>45957</v>
      </c>
      <c r="O426" s="10">
        <f>IF($N426="","No","Yes")</f>
        <v/>
      </c>
      <c r="P426" s="12">
        <f>IF(OR($F426="",$G426=""),0,IF(AND($F426&lt;=README!$B$4,README!$B$4&lt;=$G426),1,0))</f>
        <v/>
      </c>
      <c r="Q426" s="12">
        <f>IF(OR($F426="",$G426=""),0,IF(AND($F426&lt;=DATE(README!$B$5,12,31),$G426&gt;=DATE(README!$B$5,1,1)),1,0))</f>
        <v/>
      </c>
      <c r="R426" s="10" t="inlineStr">
        <is>
          <t>GUP-VEH0025</t>
        </is>
      </c>
      <c r="S426" s="11" t="n">
        <v>45957</v>
      </c>
      <c r="T426" s="10" t="inlineStr">
        <is>
          <t>726</t>
        </is>
      </c>
      <c r="U426" s="10" t="inlineStr">
        <is>
          <t>VEHICLE</t>
        </is>
      </c>
      <c r="V426" s="10" t="inlineStr">
        <is>
          <t>T</t>
        </is>
      </c>
      <c r="W426" s="10" t="inlineStr">
        <is>
          <t>VIVEK B</t>
        </is>
      </c>
    </row>
    <row r="427">
      <c r="A427" s="10" t="inlineStr">
        <is>
          <t>TN57CA3636</t>
        </is>
      </c>
      <c r="B427" s="10" t="inlineStr">
        <is>
          <t>SOCKS</t>
        </is>
      </c>
      <c r="C427" s="10" t="inlineStr">
        <is>
          <t>VEHICLE INSURANCE</t>
        </is>
      </c>
      <c r="D427" s="10" t="inlineStr">
        <is>
          <t>VEHICLE INSURANCE</t>
        </is>
      </c>
      <c r="E427" s="10" t="inlineStr">
        <is>
          <t>YEARLY</t>
        </is>
      </c>
      <c r="F427" s="11" t="n">
        <v>45748</v>
      </c>
      <c r="G427" s="11" t="n">
        <v>46112</v>
      </c>
      <c r="H427" s="12">
        <f>IF(OR($F427="",$G427=""),"",$G427-$F427+1)</f>
        <v/>
      </c>
      <c r="I427" s="10">
        <f>IF($F427="","",IF(MONTH($F427)&gt;=4,YEAR($F427)&amp;"-"&amp;TEXT(YEAR($F427)+1-2000,"00"),YEAR($F427)-1&amp;"-"&amp;TEXT(YEAR($F427)-2000,"00")))</f>
        <v/>
      </c>
      <c r="J427" s="13" t="n">
        <v>66749</v>
      </c>
      <c r="K427" s="14">
        <f>IFERROR($L427/$J427,"")</f>
        <v/>
      </c>
      <c r="L427" s="13" t="n">
        <v>66749</v>
      </c>
      <c r="M427" s="13">
        <f>IFERROR($L427/$H427,"")</f>
        <v/>
      </c>
      <c r="N427" s="11" t="n">
        <v>45853</v>
      </c>
      <c r="O427" s="10">
        <f>IF($N427="","No","Yes")</f>
        <v/>
      </c>
      <c r="P427" s="12">
        <f>IF(OR($F427="",$G427=""),0,IF(AND($F427&lt;=README!$B$4,README!$B$4&lt;=$G427),1,0))</f>
        <v/>
      </c>
      <c r="Q427" s="12">
        <f>IF(OR($F427="",$G427=""),0,IF(AND($F427&lt;=DATE(README!$B$5,12,31),$G427&gt;=DATE(README!$B$5,1,1)),1,0))</f>
        <v/>
      </c>
      <c r="R427" s="10" t="inlineStr">
        <is>
          <t>GUP-VEH0020</t>
        </is>
      </c>
      <c r="S427" s="11" t="n">
        <v>45799</v>
      </c>
      <c r="T427" s="10" t="inlineStr">
        <is>
          <t>645</t>
        </is>
      </c>
      <c r="U427" s="10" t="inlineStr">
        <is>
          <t>VEHICLE</t>
        </is>
      </c>
      <c r="V427" s="10" t="inlineStr">
        <is>
          <t>T</t>
        </is>
      </c>
      <c r="W427" s="10" t="inlineStr">
        <is>
          <t>VIVEK B</t>
        </is>
      </c>
    </row>
    <row r="428">
      <c r="A428" s="10" t="inlineStr">
        <is>
          <t>TN57CA3636</t>
        </is>
      </c>
      <c r="B428" s="10" t="inlineStr">
        <is>
          <t>GENERAL</t>
        </is>
      </c>
      <c r="C428" s="10" t="inlineStr">
        <is>
          <t>VEHICLE OUTSIDE SERVICES</t>
        </is>
      </c>
      <c r="D428" s="10" t="inlineStr">
        <is>
          <t xml:space="preserve">MAINTENANCE SERVICE </t>
        </is>
      </c>
      <c r="E428" s="10" t="inlineStr">
        <is>
          <t>YEARLY</t>
        </is>
      </c>
      <c r="F428" s="11" t="n">
        <v>45748</v>
      </c>
      <c r="G428" s="11" t="n">
        <v>46112</v>
      </c>
      <c r="H428" s="12">
        <f>IF(OR($F428="",$G428=""),"",$G428-$F428+1)</f>
        <v/>
      </c>
      <c r="I428" s="10">
        <f>IF($F428="","",IF(MONTH($F428)&gt;=4,YEAR($F428)&amp;"-"&amp;TEXT(YEAR($F428)+1-2000,"00"),YEAR($F428)-1&amp;"-"&amp;TEXT(YEAR($F428)-2000,"00")))</f>
        <v/>
      </c>
      <c r="J428" s="13" t="n">
        <v>6834</v>
      </c>
      <c r="K428" s="14">
        <f>IFERROR($L428/$J428,"")</f>
        <v/>
      </c>
      <c r="L428" s="13" t="n">
        <v>6834</v>
      </c>
      <c r="M428" s="13">
        <f>IFERROR($L428/$H428,"")</f>
        <v/>
      </c>
      <c r="N428" s="11" t="n">
        <v>45824</v>
      </c>
      <c r="O428" s="10">
        <f>IF($N428="","No","Yes")</f>
        <v/>
      </c>
      <c r="P428" s="12">
        <f>IF(OR($F428="",$G428=""),0,IF(AND($F428&lt;=README!$B$4,README!$B$4&lt;=$G428),1,0))</f>
        <v/>
      </c>
      <c r="Q428" s="12">
        <f>IF(OR($F428="",$G428=""),0,IF(AND($F428&lt;=DATE(README!$B$5,12,31),$G428&gt;=DATE(README!$B$5,1,1)),1,0))</f>
        <v/>
      </c>
      <c r="R428" s="10" t="inlineStr">
        <is>
          <t>GUP-VEH0019</t>
        </is>
      </c>
      <c r="S428" s="11" t="n">
        <v>45777</v>
      </c>
      <c r="T428" s="10" t="inlineStr">
        <is>
          <t>638</t>
        </is>
      </c>
      <c r="U428" s="10" t="inlineStr">
        <is>
          <t>VEHICLE</t>
        </is>
      </c>
      <c r="V428" s="10" t="inlineStr">
        <is>
          <t>T</t>
        </is>
      </c>
      <c r="W428" s="10" t="inlineStr">
        <is>
          <t>VIVEK B</t>
        </is>
      </c>
    </row>
    <row r="429">
      <c r="A429" s="10" t="inlineStr">
        <is>
          <t>TN57CA3636</t>
        </is>
      </c>
      <c r="B429" s="10" t="inlineStr">
        <is>
          <t>SOCKS</t>
        </is>
      </c>
      <c r="C429" s="10" t="inlineStr">
        <is>
          <t>ROAD TAX</t>
        </is>
      </c>
      <c r="D429" s="10" t="inlineStr">
        <is>
          <t>ROAD TAX</t>
        </is>
      </c>
      <c r="E429" s="10" t="inlineStr">
        <is>
          <t>QUARTER - II</t>
        </is>
      </c>
      <c r="F429" s="11" t="n">
        <v>45839</v>
      </c>
      <c r="G429" s="11" t="n">
        <v>45930</v>
      </c>
      <c r="H429" s="12">
        <f>IF(OR($F429="",$G429=""),"",$G429-$F429+1)</f>
        <v/>
      </c>
      <c r="I429" s="10">
        <f>IF($F429="","",IF(MONTH($F429)&gt;=4,YEAR($F429)&amp;"-"&amp;TEXT(YEAR($F429)+1-2000,"00"),YEAR($F429)-1&amp;"-"&amp;TEXT(YEAR($F429)-2000,"00")))</f>
        <v/>
      </c>
      <c r="J429" s="13" t="n">
        <v>29694</v>
      </c>
      <c r="K429" s="14">
        <f>IFERROR($L429/$J429,"")</f>
        <v/>
      </c>
      <c r="L429" s="13" t="n">
        <v>29694</v>
      </c>
      <c r="M429" s="13">
        <f>IFERROR($L429/$H429,"")</f>
        <v/>
      </c>
      <c r="N429" s="11" t="n">
        <v>46030</v>
      </c>
      <c r="O429" s="10">
        <f>IF($N429="","No","Yes")</f>
        <v/>
      </c>
      <c r="P429" s="12">
        <f>IF(OR($F429="",$G429=""),0,IF(AND($F429&lt;=README!$B$4,README!$B$4&lt;=$G429),1,0))</f>
        <v/>
      </c>
      <c r="Q429" s="12">
        <f>IF(OR($F429="",$G429=""),0,IF(AND($F429&lt;=DATE(README!$B$5,12,31),$G429&gt;=DATE(README!$B$5,1,1)),1,0))</f>
        <v/>
      </c>
      <c r="R429" s="10" t="inlineStr">
        <is>
          <t>GUP-VEH0014</t>
        </is>
      </c>
      <c r="S429" s="11" t="n">
        <v>45748</v>
      </c>
      <c r="T429" s="10" t="inlineStr">
        <is>
          <t>609</t>
        </is>
      </c>
      <c r="U429" s="10" t="inlineStr">
        <is>
          <t>VEHICLE</t>
        </is>
      </c>
      <c r="V429" s="10" t="inlineStr">
        <is>
          <t>T</t>
        </is>
      </c>
      <c r="W429" s="10" t="inlineStr">
        <is>
          <t>VIVEK B</t>
        </is>
      </c>
    </row>
    <row r="430">
      <c r="A430" s="10" t="inlineStr">
        <is>
          <t>TN57CA3636</t>
        </is>
      </c>
      <c r="B430" s="10" t="inlineStr">
        <is>
          <t>SOCKS</t>
        </is>
      </c>
      <c r="C430" s="10" t="inlineStr">
        <is>
          <t>ROAD TAX</t>
        </is>
      </c>
      <c r="D430" s="10" t="inlineStr">
        <is>
          <t>ROAD TAX</t>
        </is>
      </c>
      <c r="E430" s="10" t="inlineStr">
        <is>
          <t>QUARTER - III</t>
        </is>
      </c>
      <c r="F430" s="11" t="n">
        <v>45931</v>
      </c>
      <c r="G430" s="11" t="n">
        <v>46022</v>
      </c>
      <c r="H430" s="12">
        <f>IF(OR($F430="",$G430=""),"",$G430-$F430+1)</f>
        <v/>
      </c>
      <c r="I430" s="10">
        <f>IF($F430="","",IF(MONTH($F430)&gt;=4,YEAR($F430)&amp;"-"&amp;TEXT(YEAR($F430)+1-2000,"00"),YEAR($F430)-1&amp;"-"&amp;TEXT(YEAR($F430)-2000,"00")))</f>
        <v/>
      </c>
      <c r="J430" s="13" t="n">
        <v>29704</v>
      </c>
      <c r="K430" s="14">
        <f>IFERROR($L430/$J430,"")</f>
        <v/>
      </c>
      <c r="L430" s="13" t="n">
        <v>29704</v>
      </c>
      <c r="M430" s="13">
        <f>IFERROR($L430/$H430,"")</f>
        <v/>
      </c>
      <c r="N430" s="11" t="n">
        <v>46030</v>
      </c>
      <c r="O430" s="10">
        <f>IF($N430="","No","Yes")</f>
        <v/>
      </c>
      <c r="P430" s="12">
        <f>IF(OR($F430="",$G430=""),0,IF(AND($F430&lt;=README!$B$4,README!$B$4&lt;=$G430),1,0))</f>
        <v/>
      </c>
      <c r="Q430" s="12">
        <f>IF(OR($F430="",$G430=""),0,IF(AND($F430&lt;=DATE(README!$B$5,12,31),$G430&gt;=DATE(README!$B$5,1,1)),1,0))</f>
        <v/>
      </c>
      <c r="R430" s="10" t="inlineStr">
        <is>
          <t>GUP-VEH0014</t>
        </is>
      </c>
      <c r="S430" s="11" t="n">
        <v>45748</v>
      </c>
      <c r="T430" s="10" t="inlineStr">
        <is>
          <t>609</t>
        </is>
      </c>
      <c r="U430" s="10" t="inlineStr">
        <is>
          <t>VEHICLE</t>
        </is>
      </c>
      <c r="V430" s="10" t="inlineStr">
        <is>
          <t>T</t>
        </is>
      </c>
      <c r="W430" s="10" t="inlineStr">
        <is>
          <t>VIVEK B</t>
        </is>
      </c>
    </row>
    <row r="431">
      <c r="A431" s="10" t="inlineStr">
        <is>
          <t>TN57CA3636</t>
        </is>
      </c>
      <c r="B431" s="10" t="inlineStr">
        <is>
          <t>GENERAL</t>
        </is>
      </c>
      <c r="C431" s="10" t="inlineStr">
        <is>
          <t>VEHICLE OUTSIDE SERVICES</t>
        </is>
      </c>
      <c r="D431" s="10" t="inlineStr">
        <is>
          <t>SPRING PALTE WORK</t>
        </is>
      </c>
      <c r="E431" s="10" t="inlineStr">
        <is>
          <t>NOVEMBER</t>
        </is>
      </c>
      <c r="F431" s="11" t="n">
        <v>45962</v>
      </c>
      <c r="G431" s="11" t="n">
        <v>45991</v>
      </c>
      <c r="H431" s="12">
        <f>IF(OR($F431="",$G431=""),"",$G431-$F431+1)</f>
        <v/>
      </c>
      <c r="I431" s="10">
        <f>IF($F431="","",IF(MONTH($F431)&gt;=4,YEAR($F431)&amp;"-"&amp;TEXT(YEAR($F431)+1-2000,"00"),YEAR($F431)-1&amp;"-"&amp;TEXT(YEAR($F431)-2000,"00")))</f>
        <v/>
      </c>
      <c r="J431" s="13" t="n">
        <v>6790</v>
      </c>
      <c r="K431" s="14">
        <f>IFERROR($L431/$J431,"")</f>
        <v/>
      </c>
      <c r="L431" s="13" t="n">
        <v>6790</v>
      </c>
      <c r="M431" s="13">
        <f>IFERROR($L431/$H431,"")</f>
        <v/>
      </c>
      <c r="N431" s="11" t="n">
        <v>45975</v>
      </c>
      <c r="O431" s="10">
        <f>IF($N431="","No","Yes")</f>
        <v/>
      </c>
      <c r="P431" s="12">
        <f>IF(OR($F431="",$G431=""),0,IF(AND($F431&lt;=README!$B$4,README!$B$4&lt;=$G431),1,0))</f>
        <v/>
      </c>
      <c r="Q431" s="12">
        <f>IF(OR($F431="",$G431=""),0,IF(AND($F431&lt;=DATE(README!$B$5,12,31),$G431&gt;=DATE(README!$B$5,1,1)),1,0))</f>
        <v/>
      </c>
      <c r="R431" s="10" t="inlineStr">
        <is>
          <t>GUP-VEH0019</t>
        </is>
      </c>
      <c r="S431" s="11" t="n">
        <v>45777</v>
      </c>
      <c r="T431" s="10" t="inlineStr">
        <is>
          <t>638</t>
        </is>
      </c>
      <c r="U431" s="10" t="inlineStr">
        <is>
          <t>VEHICLE</t>
        </is>
      </c>
      <c r="V431" s="10" t="inlineStr">
        <is>
          <t>T</t>
        </is>
      </c>
      <c r="W431" s="10" t="inlineStr">
        <is>
          <t>VIVEK B</t>
        </is>
      </c>
    </row>
    <row r="432">
      <c r="A432" s="10" t="inlineStr">
        <is>
          <t>TN57CA3636</t>
        </is>
      </c>
      <c r="B432" s="10" t="inlineStr">
        <is>
          <t>SOCKS</t>
        </is>
      </c>
      <c r="C432" s="10" t="inlineStr">
        <is>
          <t>ROAD TAX</t>
        </is>
      </c>
      <c r="D432" s="10" t="inlineStr">
        <is>
          <t>ROAD TAX</t>
        </is>
      </c>
      <c r="E432" s="10" t="inlineStr">
        <is>
          <t>QUARTER - IV</t>
        </is>
      </c>
      <c r="F432" s="11" t="n">
        <v>46023</v>
      </c>
      <c r="G432" s="11" t="n">
        <v>46112</v>
      </c>
      <c r="H432" s="12">
        <f>IF(OR($F432="",$G432=""),"",$G432-$F432+1)</f>
        <v/>
      </c>
      <c r="I432" s="10">
        <f>IF($F432="","",IF(MONTH($F432)&gt;=4,YEAR($F432)&amp;"-"&amp;TEXT(YEAR($F432)+1-2000,"00"),YEAR($F432)-1&amp;"-"&amp;TEXT(YEAR($F432)-2000,"00")))</f>
        <v/>
      </c>
      <c r="J432" s="13" t="n">
        <v>29704</v>
      </c>
      <c r="K432" s="14">
        <f>IFERROR($L432/$J432,"")</f>
        <v/>
      </c>
      <c r="L432" s="13" t="n">
        <v>29704</v>
      </c>
      <c r="M432" s="13">
        <f>IFERROR($L432/$H432,"")</f>
        <v/>
      </c>
      <c r="N432" s="11" t="n">
        <v>46030</v>
      </c>
      <c r="O432" s="10">
        <f>IF($N432="","No","Yes")</f>
        <v/>
      </c>
      <c r="P432" s="12">
        <f>IF(OR($F432="",$G432=""),0,IF(AND($F432&lt;=README!$B$4,README!$B$4&lt;=$G432),1,0))</f>
        <v/>
      </c>
      <c r="Q432" s="12">
        <f>IF(OR($F432="",$G432=""),0,IF(AND($F432&lt;=DATE(README!$B$5,12,31),$G432&gt;=DATE(README!$B$5,1,1)),1,0))</f>
        <v/>
      </c>
      <c r="R432" s="10" t="inlineStr">
        <is>
          <t>GUP-VEH0014</t>
        </is>
      </c>
      <c r="S432" s="11" t="n">
        <v>45748</v>
      </c>
      <c r="T432" s="10" t="inlineStr">
        <is>
          <t>609</t>
        </is>
      </c>
      <c r="U432" s="10" t="inlineStr">
        <is>
          <t>VEHICLE</t>
        </is>
      </c>
      <c r="V432" s="10" t="inlineStr">
        <is>
          <t>T</t>
        </is>
      </c>
      <c r="W432" s="10" t="inlineStr">
        <is>
          <t>VIVEK B</t>
        </is>
      </c>
    </row>
    <row r="433">
      <c r="A433" s="10" t="inlineStr">
        <is>
          <t>TN57CA3636</t>
        </is>
      </c>
      <c r="B433" s="10" t="inlineStr">
        <is>
          <t>SOCKS</t>
        </is>
      </c>
      <c r="C433" s="10" t="inlineStr">
        <is>
          <t>ROAD TAX</t>
        </is>
      </c>
      <c r="D433" s="10" t="inlineStr">
        <is>
          <t>ROAD TAX</t>
        </is>
      </c>
      <c r="E433" s="10" t="inlineStr">
        <is>
          <t>QUARTER - I</t>
        </is>
      </c>
      <c r="F433" s="11" t="n">
        <v>46113</v>
      </c>
      <c r="G433" s="11" t="n">
        <v>46203</v>
      </c>
      <c r="H433" s="12">
        <f>IF(OR($F433="",$G433=""),"",$G433-$F433+1)</f>
        <v/>
      </c>
      <c r="I433" s="10">
        <f>IF($F433="","",IF(MONTH($F433)&gt;=4,YEAR($F433)&amp;"-"&amp;TEXT(YEAR($F433)+1-2000,"00"),YEAR($F433)-1&amp;"-"&amp;TEXT(YEAR($F433)-2000,"00")))</f>
        <v/>
      </c>
      <c r="J433" s="13" t="n">
        <v>29704</v>
      </c>
      <c r="K433" s="14">
        <f>IFERROR($L433/$J433,"")</f>
        <v/>
      </c>
      <c r="L433" s="13" t="n">
        <v>29704</v>
      </c>
      <c r="M433" s="13">
        <f>IFERROR($L433/$H433,"")</f>
        <v/>
      </c>
      <c r="N433" s="11" t="n">
        <v>46088</v>
      </c>
      <c r="O433" s="10">
        <f>IF($N433="","No","Yes")</f>
        <v/>
      </c>
      <c r="P433" s="12">
        <f>IF(OR($F433="",$G433=""),0,IF(AND($F433&lt;=README!$B$4,README!$B$4&lt;=$G433),1,0))</f>
        <v/>
      </c>
      <c r="Q433" s="12">
        <f>IF(OR($F433="",$G433=""),0,IF(AND($F433&lt;=DATE(README!$B$5,12,31),$G433&gt;=DATE(README!$B$5,1,1)),1,0))</f>
        <v/>
      </c>
      <c r="R433" s="10" t="inlineStr">
        <is>
          <t>GUP-VEH0030</t>
        </is>
      </c>
      <c r="S433" s="11" t="n">
        <v>46113</v>
      </c>
      <c r="T433" s="10" t="inlineStr">
        <is>
          <t>796</t>
        </is>
      </c>
      <c r="U433" s="10" t="inlineStr">
        <is>
          <t>VEHICLE</t>
        </is>
      </c>
      <c r="V433" s="10" t="inlineStr">
        <is>
          <t>T</t>
        </is>
      </c>
      <c r="W433" s="10" t="inlineStr">
        <is>
          <t>VIVEK B</t>
        </is>
      </c>
    </row>
    <row r="434">
      <c r="A434" s="10" t="inlineStr">
        <is>
          <t>TN57CA3636</t>
        </is>
      </c>
      <c r="B434" s="10" t="inlineStr">
        <is>
          <t>SOCKS</t>
        </is>
      </c>
      <c r="C434" s="10" t="inlineStr">
        <is>
          <t>VEHICLE INSURANCE</t>
        </is>
      </c>
      <c r="D434" s="10" t="inlineStr">
        <is>
          <t>VEHICLE INSURANCE</t>
        </is>
      </c>
      <c r="E434" s="10" t="inlineStr">
        <is>
          <t>YEARLY</t>
        </is>
      </c>
      <c r="F434" s="11" t="n">
        <v>46113</v>
      </c>
      <c r="G434" s="11" t="n">
        <v>46477</v>
      </c>
      <c r="H434" s="12">
        <f>IF(OR($F434="",$G434=""),"",$G434-$F434+1)</f>
        <v/>
      </c>
      <c r="I434" s="10">
        <f>IF($F434="","",IF(MONTH($F434)&gt;=4,YEAR($F434)&amp;"-"&amp;TEXT(YEAR($F434)+1-2000,"00"),YEAR($F434)-1&amp;"-"&amp;TEXT(YEAR($F434)-2000,"00")))</f>
        <v/>
      </c>
      <c r="J434" s="13" t="n">
        <v>66018</v>
      </c>
      <c r="K434" s="14">
        <f>IFERROR($L434/$J434,"")</f>
        <v/>
      </c>
      <c r="L434" s="13" t="n">
        <v>66018</v>
      </c>
      <c r="M434" s="13">
        <f>IFERROR($L434/$H434,"")</f>
        <v/>
      </c>
      <c r="N434" s="11" t="n">
        <v>46219</v>
      </c>
      <c r="O434" s="10">
        <f>IF($N434="","No","Yes")</f>
        <v/>
      </c>
      <c r="P434" s="12">
        <f>IF(OR($F434="",$G434=""),0,IF(AND($F434&lt;=README!$B$4,README!$B$4&lt;=$G434),1,0))</f>
        <v/>
      </c>
      <c r="Q434" s="12">
        <f>IF(OR($F434="",$G434=""),0,IF(AND($F434&lt;=DATE(README!$B$5,12,31),$G434&gt;=DATE(README!$B$5,1,1)),1,0))</f>
        <v/>
      </c>
      <c r="R434" s="10" t="inlineStr">
        <is>
          <t>GUP-VEH0038</t>
        </is>
      </c>
      <c r="S434" s="11" t="n">
        <v>46162</v>
      </c>
      <c r="T434" s="10" t="inlineStr">
        <is>
          <t>859</t>
        </is>
      </c>
      <c r="U434" s="10" t="inlineStr">
        <is>
          <t>VEHICLE</t>
        </is>
      </c>
      <c r="V434" s="10" t="inlineStr">
        <is>
          <t>T</t>
        </is>
      </c>
      <c r="W434" s="10" t="inlineStr">
        <is>
          <t>VIVEK B</t>
        </is>
      </c>
    </row>
    <row r="435">
      <c r="A435" s="10" t="inlineStr">
        <is>
          <t>TN57CA3636</t>
        </is>
      </c>
      <c r="B435" s="10" t="inlineStr">
        <is>
          <t>SOCKS</t>
        </is>
      </c>
      <c r="C435" s="10" t="inlineStr">
        <is>
          <t>VEHICLE OUTSIDE SERVICES</t>
        </is>
      </c>
      <c r="D435" s="10" t="inlineStr">
        <is>
          <t xml:space="preserve">MAINTENANCE SERVICE </t>
        </is>
      </c>
      <c r="E435" s="10" t="inlineStr">
        <is>
          <t>JUNE</t>
        </is>
      </c>
      <c r="F435" s="11" t="n">
        <v>46174</v>
      </c>
      <c r="G435" s="11" t="n">
        <v>46203</v>
      </c>
      <c r="H435" s="12">
        <f>IF(OR($F435="",$G435=""),"",$G435-$F435+1)</f>
        <v/>
      </c>
      <c r="I435" s="10">
        <f>IF($F435="","",IF(MONTH($F435)&gt;=4,YEAR($F435)&amp;"-"&amp;TEXT(YEAR($F435)+1-2000,"00"),YEAR($F435)-1&amp;"-"&amp;TEXT(YEAR($F435)-2000,"00")))</f>
        <v/>
      </c>
      <c r="J435" s="13" t="n">
        <v>7000</v>
      </c>
      <c r="K435" s="14">
        <f>IFERROR($L435/$J435,"")</f>
        <v/>
      </c>
      <c r="L435" s="13" t="n">
        <v>7000</v>
      </c>
      <c r="M435" s="13">
        <f>IFERROR($L435/$H435,"")</f>
        <v/>
      </c>
      <c r="N435" s="11" t="n">
        <v>46200</v>
      </c>
      <c r="O435" s="10">
        <f>IF($N435="","No","Yes")</f>
        <v/>
      </c>
      <c r="P435" s="12">
        <f>IF(OR($F435="",$G435=""),0,IF(AND($F435&lt;=README!$B$4,README!$B$4&lt;=$G435),1,0))</f>
        <v/>
      </c>
      <c r="Q435" s="12">
        <f>IF(OR($F435="",$G435=""),0,IF(AND($F435&lt;=DATE(README!$B$5,12,31),$G435&gt;=DATE(README!$B$5,1,1)),1,0))</f>
        <v/>
      </c>
      <c r="R435" s="10" t="inlineStr">
        <is>
          <t>GUP-VEH0031</t>
        </is>
      </c>
      <c r="S435" s="11" t="n">
        <v>46114</v>
      </c>
      <c r="T435" s="10" t="inlineStr">
        <is>
          <t>810</t>
        </is>
      </c>
      <c r="U435" s="10" t="inlineStr">
        <is>
          <t>VEHICLE</t>
        </is>
      </c>
      <c r="V435" s="10" t="inlineStr">
        <is>
          <t>T</t>
        </is>
      </c>
      <c r="W435" s="10" t="inlineStr">
        <is>
          <t>VIVEK B</t>
        </is>
      </c>
    </row>
    <row r="436">
      <c r="A436" s="10" t="inlineStr">
        <is>
          <t>TN57CA3636</t>
        </is>
      </c>
      <c r="B436" s="10" t="inlineStr">
        <is>
          <t>SOCKS</t>
        </is>
      </c>
      <c r="C436" s="10" t="inlineStr">
        <is>
          <t>ROAD TAX</t>
        </is>
      </c>
      <c r="D436" s="10" t="inlineStr">
        <is>
          <t>ROAD TAX</t>
        </is>
      </c>
      <c r="E436" s="10" t="inlineStr">
        <is>
          <t>QUARTER - II</t>
        </is>
      </c>
      <c r="F436" s="11" t="n">
        <v>46204</v>
      </c>
      <c r="G436" s="11" t="n">
        <v>46295</v>
      </c>
      <c r="H436" s="12">
        <f>IF(OR($F436="",$G436=""),"",$G436-$F436+1)</f>
        <v/>
      </c>
      <c r="I436" s="10">
        <f>IF($F436="","",IF(MONTH($F436)&gt;=4,YEAR($F436)&amp;"-"&amp;TEXT(YEAR($F436)+1-2000,"00"),YEAR($F436)-1&amp;"-"&amp;TEXT(YEAR($F436)-2000,"00")))</f>
        <v/>
      </c>
      <c r="J436" s="13" t="n">
        <v>29704</v>
      </c>
      <c r="K436" s="14">
        <f>IFERROR($L436/$J436,"")</f>
        <v/>
      </c>
      <c r="L436" s="13" t="n">
        <v>29704</v>
      </c>
      <c r="M436" s="13">
        <f>IFERROR($L436/$H436,"")</f>
        <v/>
      </c>
      <c r="N436" s="11" t="n">
        <v>46196</v>
      </c>
      <c r="O436" s="10">
        <f>IF($N436="","No","Yes")</f>
        <v/>
      </c>
      <c r="P436" s="12">
        <f>IF(OR($F436="",$G436=""),0,IF(AND($F436&lt;=README!$B$4,README!$B$4&lt;=$G436),1,0))</f>
        <v/>
      </c>
      <c r="Q436" s="12">
        <f>IF(OR($F436="",$G436=""),0,IF(AND($F436&lt;=DATE(README!$B$5,12,31),$G436&gt;=DATE(README!$B$5,1,1)),1,0))</f>
        <v/>
      </c>
      <c r="R436" s="10" t="inlineStr">
        <is>
          <t>GUP-VEH0030</t>
        </is>
      </c>
      <c r="S436" s="11" t="n">
        <v>46113</v>
      </c>
      <c r="T436" s="10" t="inlineStr">
        <is>
          <t>796</t>
        </is>
      </c>
      <c r="U436" s="10" t="inlineStr">
        <is>
          <t>VEHICLE</t>
        </is>
      </c>
      <c r="V436" s="10" t="inlineStr">
        <is>
          <t>T</t>
        </is>
      </c>
      <c r="W436" s="10" t="inlineStr">
        <is>
          <t>VIVEK B</t>
        </is>
      </c>
    </row>
    <row r="437">
      <c r="A437" s="10" t="inlineStr">
        <is>
          <t>TN57CB3434</t>
        </is>
      </c>
      <c r="B437" s="10" t="inlineStr">
        <is>
          <t>WOVEN</t>
        </is>
      </c>
      <c r="C437" s="10" t="inlineStr">
        <is>
          <t>ADBLU</t>
        </is>
      </c>
      <c r="D437" s="10" t="inlineStr">
        <is>
          <t>ADBLU</t>
        </is>
      </c>
      <c r="E437" s="10" t="inlineStr">
        <is>
          <t>YEARLY</t>
        </is>
      </c>
      <c r="F437" s="11" t="n">
        <v>45383</v>
      </c>
      <c r="G437" s="11" t="n">
        <v>45747</v>
      </c>
      <c r="H437" s="12">
        <f>IF(OR($F437="",$G437=""),"",$G437-$F437+1)</f>
        <v/>
      </c>
      <c r="I437" s="10">
        <f>IF($F437="","",IF(MONTH($F437)&gt;=4,YEAR($F437)&amp;"-"&amp;TEXT(YEAR($F437)+1-2000,"00"),YEAR($F437)-1&amp;"-"&amp;TEXT(YEAR($F437)-2000,"00")))</f>
        <v/>
      </c>
      <c r="J437" s="13" t="n">
        <v>61</v>
      </c>
      <c r="K437" s="14">
        <f>IFERROR($L437/$J437,"")</f>
        <v/>
      </c>
      <c r="L437" s="13" t="n">
        <v>3111</v>
      </c>
      <c r="M437" s="13">
        <f>IFERROR($L437/$H437,"")</f>
        <v/>
      </c>
      <c r="N437" s="11" t="n">
        <v>45602</v>
      </c>
      <c r="O437" s="10">
        <f>IF($N437="","No","Yes")</f>
        <v/>
      </c>
      <c r="P437" s="12">
        <f>IF(OR($F437="",$G437=""),0,IF(AND($F437&lt;=README!$B$4,README!$B$4&lt;=$G437),1,0))</f>
        <v/>
      </c>
      <c r="Q437" s="12">
        <f>IF(OR($F437="",$G437=""),0,IF(AND($F437&lt;=DATE(README!$B$5,12,31),$G437&gt;=DATE(README!$B$5,1,1)),1,0))</f>
        <v/>
      </c>
      <c r="R437" s="10" t="inlineStr">
        <is>
          <t>GUT-VEH0008</t>
        </is>
      </c>
      <c r="S437" s="11" t="n">
        <v>45475</v>
      </c>
      <c r="T437" s="10" t="inlineStr">
        <is>
          <t>3</t>
        </is>
      </c>
      <c r="U437" s="10" t="inlineStr">
        <is>
          <t>VEHICLE</t>
        </is>
      </c>
      <c r="V437" s="10" t="inlineStr">
        <is>
          <t>T</t>
        </is>
      </c>
      <c r="W437" s="10" t="inlineStr">
        <is>
          <t>VIVEK B</t>
        </is>
      </c>
    </row>
    <row r="438">
      <c r="A438" s="10" t="inlineStr">
        <is>
          <t>TN57CB3434</t>
        </is>
      </c>
      <c r="B438" s="10" t="inlineStr">
        <is>
          <t>WOVEN</t>
        </is>
      </c>
      <c r="C438" s="10" t="inlineStr">
        <is>
          <t>ADBLU</t>
        </is>
      </c>
      <c r="D438" s="10" t="inlineStr">
        <is>
          <t>ADBLU</t>
        </is>
      </c>
      <c r="E438" s="10" t="inlineStr">
        <is>
          <t>YEARLY</t>
        </is>
      </c>
      <c r="F438" s="11" t="n">
        <v>45383</v>
      </c>
      <c r="G438" s="11" t="n">
        <v>45747</v>
      </c>
      <c r="H438" s="12">
        <f>IF(OR($F438="",$G438=""),"",$G438-$F438+1)</f>
        <v/>
      </c>
      <c r="I438" s="10">
        <f>IF($F438="","",IF(MONTH($F438)&gt;=4,YEAR($F438)&amp;"-"&amp;TEXT(YEAR($F438)+1-2000,"00"),YEAR($F438)-1&amp;"-"&amp;TEXT(YEAR($F438)-2000,"00")))</f>
        <v/>
      </c>
      <c r="J438" s="13" t="n">
        <v>61</v>
      </c>
      <c r="K438" s="14">
        <f>IFERROR($L438/$J438,"")</f>
        <v/>
      </c>
      <c r="L438" s="13" t="n">
        <v>4880</v>
      </c>
      <c r="M438" s="13">
        <f>IFERROR($L438/$H438,"")</f>
        <v/>
      </c>
      <c r="N438" s="11" t="n">
        <v>45623</v>
      </c>
      <c r="O438" s="10">
        <f>IF($N438="","No","Yes")</f>
        <v/>
      </c>
      <c r="P438" s="12">
        <f>IF(OR($F438="",$G438=""),0,IF(AND($F438&lt;=README!$B$4,README!$B$4&lt;=$G438),1,0))</f>
        <v/>
      </c>
      <c r="Q438" s="12">
        <f>IF(OR($F438="",$G438=""),0,IF(AND($F438&lt;=DATE(README!$B$5,12,31),$G438&gt;=DATE(README!$B$5,1,1)),1,0))</f>
        <v/>
      </c>
      <c r="R438" s="10" t="inlineStr">
        <is>
          <t>GUT-VEH0008</t>
        </is>
      </c>
      <c r="S438" s="11" t="n">
        <v>45475</v>
      </c>
      <c r="T438" s="10" t="inlineStr">
        <is>
          <t>3</t>
        </is>
      </c>
      <c r="U438" s="10" t="inlineStr">
        <is>
          <t>VEHICLE</t>
        </is>
      </c>
      <c r="V438" s="10" t="inlineStr">
        <is>
          <t>T</t>
        </is>
      </c>
      <c r="W438" s="10" t="inlineStr">
        <is>
          <t>VIVEK B</t>
        </is>
      </c>
    </row>
    <row r="439">
      <c r="A439" s="10" t="inlineStr">
        <is>
          <t>TN57CB3434</t>
        </is>
      </c>
      <c r="B439" s="10" t="inlineStr">
        <is>
          <t>WOVEN</t>
        </is>
      </c>
      <c r="C439" s="10" t="inlineStr">
        <is>
          <t>ADBLU</t>
        </is>
      </c>
      <c r="D439" s="10" t="inlineStr">
        <is>
          <t>ADBLU</t>
        </is>
      </c>
      <c r="E439" s="10" t="inlineStr">
        <is>
          <t>YEARLY</t>
        </is>
      </c>
      <c r="F439" s="11" t="n">
        <v>45383</v>
      </c>
      <c r="G439" s="11" t="n">
        <v>45747</v>
      </c>
      <c r="H439" s="12">
        <f>IF(OR($F439="",$G439=""),"",$G439-$F439+1)</f>
        <v/>
      </c>
      <c r="I439" s="10">
        <f>IF($F439="","",IF(MONTH($F439)&gt;=4,YEAR($F439)&amp;"-"&amp;TEXT(YEAR($F439)+1-2000,"00"),YEAR($F439)-1&amp;"-"&amp;TEXT(YEAR($F439)-2000,"00")))</f>
        <v/>
      </c>
      <c r="J439" s="13" t="n">
        <v>61</v>
      </c>
      <c r="K439" s="14">
        <f>IFERROR($L439/$J439,"")</f>
        <v/>
      </c>
      <c r="L439" s="13" t="n">
        <v>3111</v>
      </c>
      <c r="M439" s="13">
        <f>IFERROR($L439/$H439,"")</f>
        <v/>
      </c>
      <c r="N439" s="11" t="n">
        <v>45479</v>
      </c>
      <c r="O439" s="10">
        <f>IF($N439="","No","Yes")</f>
        <v/>
      </c>
      <c r="P439" s="12">
        <f>IF(OR($F439="",$G439=""),0,IF(AND($F439&lt;=README!$B$4,README!$B$4&lt;=$G439),1,0))</f>
        <v/>
      </c>
      <c r="Q439" s="12">
        <f>IF(OR($F439="",$G439=""),0,IF(AND($F439&lt;=DATE(README!$B$5,12,31),$G439&gt;=DATE(README!$B$5,1,1)),1,0))</f>
        <v/>
      </c>
      <c r="R439" s="10" t="inlineStr">
        <is>
          <t>GUT-VEH0008</t>
        </is>
      </c>
      <c r="S439" s="11" t="n">
        <v>45475</v>
      </c>
      <c r="T439" s="10" t="inlineStr">
        <is>
          <t>3</t>
        </is>
      </c>
      <c r="U439" s="10" t="inlineStr">
        <is>
          <t>VEHICLE</t>
        </is>
      </c>
      <c r="V439" s="10" t="inlineStr">
        <is>
          <t>T</t>
        </is>
      </c>
      <c r="W439" s="10" t="inlineStr">
        <is>
          <t>VIVEK B</t>
        </is>
      </c>
    </row>
    <row r="440">
      <c r="A440" s="10" t="inlineStr">
        <is>
          <t>TN57CB3434</t>
        </is>
      </c>
      <c r="B440" s="10" t="inlineStr">
        <is>
          <t>WOVEN</t>
        </is>
      </c>
      <c r="C440" s="10" t="inlineStr">
        <is>
          <t>ADBLU</t>
        </is>
      </c>
      <c r="D440" s="10" t="inlineStr">
        <is>
          <t>ADBLU</t>
        </is>
      </c>
      <c r="E440" s="10" t="inlineStr">
        <is>
          <t>YEARLY</t>
        </is>
      </c>
      <c r="F440" s="11" t="n">
        <v>45383</v>
      </c>
      <c r="G440" s="11" t="n">
        <v>45747</v>
      </c>
      <c r="H440" s="12">
        <f>IF(OR($F440="",$G440=""),"",$G440-$F440+1)</f>
        <v/>
      </c>
      <c r="I440" s="10">
        <f>IF($F440="","",IF(MONTH($F440)&gt;=4,YEAR($F440)&amp;"-"&amp;TEXT(YEAR($F440)+1-2000,"00"),YEAR($F440)-1&amp;"-"&amp;TEXT(YEAR($F440)-2000,"00")))</f>
        <v/>
      </c>
      <c r="J440" s="13" t="n">
        <v>61</v>
      </c>
      <c r="K440" s="14">
        <f>IFERROR($L440/$J440,"")</f>
        <v/>
      </c>
      <c r="L440" s="13" t="n">
        <v>6710</v>
      </c>
      <c r="M440" s="13">
        <f>IFERROR($L440/$H440,"")</f>
        <v/>
      </c>
      <c r="N440" s="11" t="n">
        <v>45700</v>
      </c>
      <c r="O440" s="10">
        <f>IF($N440="","No","Yes")</f>
        <v/>
      </c>
      <c r="P440" s="12">
        <f>IF(OR($F440="",$G440=""),0,IF(AND($F440&lt;=README!$B$4,README!$B$4&lt;=$G440),1,0))</f>
        <v/>
      </c>
      <c r="Q440" s="12">
        <f>IF(OR($F440="",$G440=""),0,IF(AND($F440&lt;=DATE(README!$B$5,12,31),$G440&gt;=DATE(README!$B$5,1,1)),1,0))</f>
        <v/>
      </c>
      <c r="R440" s="10" t="inlineStr">
        <is>
          <t>GUT-VEH0008</t>
        </is>
      </c>
      <c r="S440" s="11" t="n">
        <v>45475</v>
      </c>
      <c r="T440" s="10" t="inlineStr">
        <is>
          <t>3</t>
        </is>
      </c>
      <c r="U440" s="10" t="inlineStr">
        <is>
          <t>VEHICLE</t>
        </is>
      </c>
      <c r="V440" s="10" t="inlineStr">
        <is>
          <t>T</t>
        </is>
      </c>
      <c r="W440" s="10" t="inlineStr">
        <is>
          <t>VIVEK B</t>
        </is>
      </c>
    </row>
    <row r="441">
      <c r="A441" s="10" t="inlineStr">
        <is>
          <t>TN57CB3434</t>
        </is>
      </c>
      <c r="B441" s="10" t="inlineStr">
        <is>
          <t>WOVEN</t>
        </is>
      </c>
      <c r="C441" s="10" t="inlineStr">
        <is>
          <t>ADBLU</t>
        </is>
      </c>
      <c r="D441" s="10" t="inlineStr">
        <is>
          <t>ADBLU</t>
        </is>
      </c>
      <c r="E441" s="10" t="inlineStr">
        <is>
          <t>YEARLY</t>
        </is>
      </c>
      <c r="F441" s="11" t="n">
        <v>45383</v>
      </c>
      <c r="G441" s="11" t="n">
        <v>45747</v>
      </c>
      <c r="H441" s="12">
        <f>IF(OR($F441="",$G441=""),"",$G441-$F441+1)</f>
        <v/>
      </c>
      <c r="I441" s="10">
        <f>IF($F441="","",IF(MONTH($F441)&gt;=4,YEAR($F441)&amp;"-"&amp;TEXT(YEAR($F441)+1-2000,"00"),YEAR($F441)-1&amp;"-"&amp;TEXT(YEAR($F441)-2000,"00")))</f>
        <v/>
      </c>
      <c r="J441" s="13" t="n">
        <v>61</v>
      </c>
      <c r="K441" s="14">
        <f>IFERROR($L441/$J441,"")</f>
        <v/>
      </c>
      <c r="L441" s="13" t="n">
        <v>6710</v>
      </c>
      <c r="M441" s="13">
        <f>IFERROR($L441/$H441,"")</f>
        <v/>
      </c>
      <c r="N441" s="11" t="n">
        <v>45700</v>
      </c>
      <c r="O441" s="10">
        <f>IF($N441="","No","Yes")</f>
        <v/>
      </c>
      <c r="P441" s="12">
        <f>IF(OR($F441="",$G441=""),0,IF(AND($F441&lt;=README!$B$4,README!$B$4&lt;=$G441),1,0))</f>
        <v/>
      </c>
      <c r="Q441" s="12">
        <f>IF(OR($F441="",$G441=""),0,IF(AND($F441&lt;=DATE(README!$B$5,12,31),$G441&gt;=DATE(README!$B$5,1,1)),1,0))</f>
        <v/>
      </c>
      <c r="R441" s="10" t="inlineStr">
        <is>
          <t>GUT-VEH0008</t>
        </is>
      </c>
      <c r="S441" s="11" t="n">
        <v>45475</v>
      </c>
      <c r="T441" s="10" t="inlineStr">
        <is>
          <t>3</t>
        </is>
      </c>
      <c r="U441" s="10" t="inlineStr">
        <is>
          <t>VEHICLE</t>
        </is>
      </c>
      <c r="V441" s="10" t="inlineStr">
        <is>
          <t>T</t>
        </is>
      </c>
      <c r="W441" s="10" t="inlineStr">
        <is>
          <t>VIVEK B</t>
        </is>
      </c>
    </row>
    <row r="442">
      <c r="A442" s="10" t="inlineStr">
        <is>
          <t>TN57CB3434</t>
        </is>
      </c>
      <c r="B442" s="10" t="inlineStr">
        <is>
          <t>WOVEN</t>
        </is>
      </c>
      <c r="C442" s="10" t="inlineStr">
        <is>
          <t>ROAD TAX</t>
        </is>
      </c>
      <c r="D442" s="10" t="inlineStr">
        <is>
          <t>ROAD TAX</t>
        </is>
      </c>
      <c r="E442" s="10" t="inlineStr">
        <is>
          <t>YEARLY</t>
        </is>
      </c>
      <c r="F442" s="11" t="n">
        <v>45383</v>
      </c>
      <c r="G442" s="11" t="n">
        <v>45747</v>
      </c>
      <c r="H442" s="12">
        <f>IF(OR($F442="",$G442=""),"",$G442-$F442+1)</f>
        <v/>
      </c>
      <c r="I442" s="10">
        <f>IF($F442="","",IF(MONTH($F442)&gt;=4,YEAR($F442)&amp;"-"&amp;TEXT(YEAR($F442)+1-2000,"00"),YEAR($F442)-1&amp;"-"&amp;TEXT(YEAR($F442)-2000,"00")))</f>
        <v/>
      </c>
      <c r="J442" s="13" t="n">
        <v>32734</v>
      </c>
      <c r="K442" s="14">
        <f>IFERROR($L442/$J442,"")</f>
        <v/>
      </c>
      <c r="L442" s="13" t="n">
        <v>32734</v>
      </c>
      <c r="M442" s="13">
        <f>IFERROR($L442/$H442,"")</f>
        <v/>
      </c>
      <c r="N442" s="11" t="n">
        <v>45910</v>
      </c>
      <c r="O442" s="10">
        <f>IF($N442="","No","Yes")</f>
        <v/>
      </c>
      <c r="P442" s="12">
        <f>IF(OR($F442="",$G442=""),0,IF(AND($F442&lt;=README!$B$4,README!$B$4&lt;=$G442),1,0))</f>
        <v/>
      </c>
      <c r="Q442" s="12">
        <f>IF(OR($F442="",$G442=""),0,IF(AND($F442&lt;=DATE(README!$B$5,12,31),$G442&gt;=DATE(README!$B$5,1,1)),1,0))</f>
        <v/>
      </c>
      <c r="R442" s="10" t="inlineStr">
        <is>
          <t>GUT-VEH0016</t>
        </is>
      </c>
      <c r="S442" s="11" t="n">
        <v>46023</v>
      </c>
      <c r="T442" s="10" t="inlineStr">
        <is>
          <t>5</t>
        </is>
      </c>
      <c r="U442" s="10" t="inlineStr">
        <is>
          <t>VEHICLE</t>
        </is>
      </c>
      <c r="V442" s="10" t="inlineStr">
        <is>
          <t>T</t>
        </is>
      </c>
      <c r="W442" s="10" t="inlineStr">
        <is>
          <t>VIVEK B</t>
        </is>
      </c>
    </row>
    <row r="443">
      <c r="A443" s="10" t="inlineStr">
        <is>
          <t>TN57CB3434</t>
        </is>
      </c>
      <c r="B443" s="10" t="inlineStr">
        <is>
          <t>WOVEN</t>
        </is>
      </c>
      <c r="C443" s="10" t="inlineStr">
        <is>
          <t>ROAD TAX</t>
        </is>
      </c>
      <c r="D443" s="10" t="inlineStr">
        <is>
          <t>ROAD TAX</t>
        </is>
      </c>
      <c r="E443" s="10" t="inlineStr">
        <is>
          <t>YEARLY</t>
        </is>
      </c>
      <c r="F443" s="11" t="n">
        <v>45383</v>
      </c>
      <c r="G443" s="11" t="n">
        <v>45747</v>
      </c>
      <c r="H443" s="12">
        <f>IF(OR($F443="",$G443=""),"",$G443-$F443+1)</f>
        <v/>
      </c>
      <c r="I443" s="10">
        <f>IF($F443="","",IF(MONTH($F443)&gt;=4,YEAR($F443)&amp;"-"&amp;TEXT(YEAR($F443)+1-2000,"00"),YEAR($F443)-1&amp;"-"&amp;TEXT(YEAR($F443)-2000,"00")))</f>
        <v/>
      </c>
      <c r="J443" s="13" t="n">
        <v>32724</v>
      </c>
      <c r="K443" s="14">
        <f>IFERROR($L443/$J443,"")</f>
        <v/>
      </c>
      <c r="L443" s="13" t="n">
        <v>32724</v>
      </c>
      <c r="M443" s="13">
        <f>IFERROR($L443/$H443,"")</f>
        <v/>
      </c>
      <c r="N443" s="11" t="n">
        <v>45840</v>
      </c>
      <c r="O443" s="10">
        <f>IF($N443="","No","Yes")</f>
        <v/>
      </c>
      <c r="P443" s="12">
        <f>IF(OR($F443="",$G443=""),0,IF(AND($F443&lt;=README!$B$4,README!$B$4&lt;=$G443),1,0))</f>
        <v/>
      </c>
      <c r="Q443" s="12">
        <f>IF(OR($F443="",$G443=""),0,IF(AND($F443&lt;=DATE(README!$B$5,12,31),$G443&gt;=DATE(README!$B$5,1,1)),1,0))</f>
        <v/>
      </c>
      <c r="R443" s="10" t="inlineStr">
        <is>
          <t>GUT-VEH0016</t>
        </is>
      </c>
      <c r="S443" s="11" t="n">
        <v>46023</v>
      </c>
      <c r="T443" s="10" t="inlineStr">
        <is>
          <t>5</t>
        </is>
      </c>
      <c r="U443" s="10" t="inlineStr">
        <is>
          <t>VEHICLE</t>
        </is>
      </c>
      <c r="V443" s="10" t="inlineStr">
        <is>
          <t>T</t>
        </is>
      </c>
      <c r="W443" s="10" t="inlineStr">
        <is>
          <t>VIVEK B</t>
        </is>
      </c>
    </row>
    <row r="444">
      <c r="A444" s="10" t="inlineStr">
        <is>
          <t>TN57CB3434</t>
        </is>
      </c>
      <c r="B444" s="10" t="inlineStr">
        <is>
          <t>WOVEN</t>
        </is>
      </c>
      <c r="C444" s="10" t="inlineStr">
        <is>
          <t>ROAD TAX</t>
        </is>
      </c>
      <c r="D444" s="10" t="inlineStr">
        <is>
          <t>ROAD TAX</t>
        </is>
      </c>
      <c r="E444" s="10" t="inlineStr">
        <is>
          <t>YEARLY</t>
        </is>
      </c>
      <c r="F444" s="11" t="n">
        <v>45383</v>
      </c>
      <c r="G444" s="11" t="n">
        <v>45747</v>
      </c>
      <c r="H444" s="12">
        <f>IF(OR($F444="",$G444=""),"",$G444-$F444+1)</f>
        <v/>
      </c>
      <c r="I444" s="10">
        <f>IF($F444="","",IF(MONTH($F444)&gt;=4,YEAR($F444)&amp;"-"&amp;TEXT(YEAR($F444)+1-2000,"00"),YEAR($F444)-1&amp;"-"&amp;TEXT(YEAR($F444)-2000,"00")))</f>
        <v/>
      </c>
      <c r="J444" s="13" t="n">
        <v>32724</v>
      </c>
      <c r="K444" s="14">
        <f>IFERROR($L444/$J444,"")</f>
        <v/>
      </c>
      <c r="L444" s="13" t="n">
        <v>32724</v>
      </c>
      <c r="M444" s="13">
        <f>IFERROR($L444/$H444,"")</f>
        <v/>
      </c>
      <c r="N444" s="11" t="n">
        <v>45727</v>
      </c>
      <c r="O444" s="10">
        <f>IF($N444="","No","Yes")</f>
        <v/>
      </c>
      <c r="P444" s="12">
        <f>IF(OR($F444="",$G444=""),0,IF(AND($F444&lt;=README!$B$4,README!$B$4&lt;=$G444),1,0))</f>
        <v/>
      </c>
      <c r="Q444" s="12">
        <f>IF(OR($F444="",$G444=""),0,IF(AND($F444&lt;=DATE(README!$B$5,12,31),$G444&gt;=DATE(README!$B$5,1,1)),1,0))</f>
        <v/>
      </c>
      <c r="R444" s="10" t="inlineStr">
        <is>
          <t>GUT-VEH0016</t>
        </is>
      </c>
      <c r="S444" s="11" t="n">
        <v>46023</v>
      </c>
      <c r="T444" s="10" t="inlineStr">
        <is>
          <t>5</t>
        </is>
      </c>
      <c r="U444" s="10" t="inlineStr">
        <is>
          <t>VEHICLE</t>
        </is>
      </c>
      <c r="V444" s="10" t="inlineStr">
        <is>
          <t>T</t>
        </is>
      </c>
      <c r="W444" s="10" t="inlineStr">
        <is>
          <t>VIVEK B</t>
        </is>
      </c>
    </row>
    <row r="445">
      <c r="A445" s="10" t="inlineStr">
        <is>
          <t>TN57CB3434</t>
        </is>
      </c>
      <c r="B445" s="10" t="inlineStr">
        <is>
          <t>WOVEN</t>
        </is>
      </c>
      <c r="C445" s="10" t="inlineStr">
        <is>
          <t>ROAD TAX</t>
        </is>
      </c>
      <c r="D445" s="10" t="inlineStr">
        <is>
          <t>ROAD TAX</t>
        </is>
      </c>
      <c r="E445" s="10" t="inlineStr">
        <is>
          <t>YEARLY</t>
        </is>
      </c>
      <c r="F445" s="11" t="n">
        <v>45383</v>
      </c>
      <c r="G445" s="11" t="n">
        <v>45747</v>
      </c>
      <c r="H445" s="12">
        <f>IF(OR($F445="",$G445=""),"",$G445-$F445+1)</f>
        <v/>
      </c>
      <c r="I445" s="10">
        <f>IF($F445="","",IF(MONTH($F445)&gt;=4,YEAR($F445)&amp;"-"&amp;TEXT(YEAR($F445)+1-2000,"00"),YEAR($F445)-1&amp;"-"&amp;TEXT(YEAR($F445)-2000,"00")))</f>
        <v/>
      </c>
      <c r="J445" s="13" t="n">
        <v>32724</v>
      </c>
      <c r="K445" s="14">
        <f>IFERROR($L445/$J445,"")</f>
        <v/>
      </c>
      <c r="L445" s="13" t="n">
        <v>32724</v>
      </c>
      <c r="M445" s="13">
        <f>IFERROR($L445/$H445,"")</f>
        <v/>
      </c>
      <c r="N445" s="11" t="n">
        <v>45481</v>
      </c>
      <c r="O445" s="10">
        <f>IF($N445="","No","Yes")</f>
        <v/>
      </c>
      <c r="P445" s="12">
        <f>IF(OR($F445="",$G445=""),0,IF(AND($F445&lt;=README!$B$4,README!$B$4&lt;=$G445),1,0))</f>
        <v/>
      </c>
      <c r="Q445" s="12">
        <f>IF(OR($F445="",$G445=""),0,IF(AND($F445&lt;=DATE(README!$B$5,12,31),$G445&gt;=DATE(README!$B$5,1,1)),1,0))</f>
        <v/>
      </c>
      <c r="R445" s="10" t="inlineStr">
        <is>
          <t>GUT-VEH0011</t>
        </is>
      </c>
      <c r="S445" s="11" t="n">
        <v>45475</v>
      </c>
      <c r="T445" s="10" t="inlineStr">
        <is>
          <t>3</t>
        </is>
      </c>
      <c r="U445" s="10" t="inlineStr">
        <is>
          <t>VEHICLE</t>
        </is>
      </c>
      <c r="V445" s="10" t="inlineStr">
        <is>
          <t>T</t>
        </is>
      </c>
      <c r="W445" s="10" t="inlineStr">
        <is>
          <t>VIVEK B</t>
        </is>
      </c>
    </row>
    <row r="446">
      <c r="A446" s="10" t="inlineStr">
        <is>
          <t>TN57CB3434</t>
        </is>
      </c>
      <c r="B446" s="10" t="inlineStr">
        <is>
          <t>WOVEN</t>
        </is>
      </c>
      <c r="C446" s="10" t="inlineStr">
        <is>
          <t>ROAD TAX</t>
        </is>
      </c>
      <c r="D446" s="10" t="inlineStr">
        <is>
          <t>ROAD TAX</t>
        </is>
      </c>
      <c r="E446" s="10" t="inlineStr">
        <is>
          <t>YEARLY</t>
        </is>
      </c>
      <c r="F446" s="11" t="n">
        <v>45383</v>
      </c>
      <c r="G446" s="11" t="n">
        <v>45747</v>
      </c>
      <c r="H446" s="12">
        <f>IF(OR($F446="",$G446=""),"",$G446-$F446+1)</f>
        <v/>
      </c>
      <c r="I446" s="10">
        <f>IF($F446="","",IF(MONTH($F446)&gt;=4,YEAR($F446)&amp;"-"&amp;TEXT(YEAR($F446)+1-2000,"00"),YEAR($F446)-1&amp;"-"&amp;TEXT(YEAR($F446)-2000,"00")))</f>
        <v/>
      </c>
      <c r="J446" s="13" t="n">
        <v>32724</v>
      </c>
      <c r="K446" s="14">
        <f>IFERROR($L446/$J446,"")</f>
        <v/>
      </c>
      <c r="L446" s="13" t="n">
        <v>32724</v>
      </c>
      <c r="M446" s="13">
        <f>IFERROR($L446/$H446,"")</f>
        <v/>
      </c>
      <c r="N446" s="11" t="n">
        <v>45569</v>
      </c>
      <c r="O446" s="10">
        <f>IF($N446="","No","Yes")</f>
        <v/>
      </c>
      <c r="P446" s="12">
        <f>IF(OR($F446="",$G446=""),0,IF(AND($F446&lt;=README!$B$4,README!$B$4&lt;=$G446),1,0))</f>
        <v/>
      </c>
      <c r="Q446" s="12">
        <f>IF(OR($F446="",$G446=""),0,IF(AND($F446&lt;=DATE(README!$B$5,12,31),$G446&gt;=DATE(README!$B$5,1,1)),1,0))</f>
        <v/>
      </c>
      <c r="R446" s="10" t="inlineStr">
        <is>
          <t>GUT-VEH0011</t>
        </is>
      </c>
      <c r="S446" s="11" t="n">
        <v>45475</v>
      </c>
      <c r="T446" s="10" t="inlineStr">
        <is>
          <t>3</t>
        </is>
      </c>
      <c r="U446" s="10" t="inlineStr">
        <is>
          <t>VEHICLE</t>
        </is>
      </c>
      <c r="V446" s="10" t="inlineStr">
        <is>
          <t>T</t>
        </is>
      </c>
      <c r="W446" s="10" t="inlineStr">
        <is>
          <t>VIVEK B</t>
        </is>
      </c>
    </row>
    <row r="447">
      <c r="A447" s="10" t="inlineStr">
        <is>
          <t>TN57CB3434</t>
        </is>
      </c>
      <c r="B447" s="10" t="inlineStr">
        <is>
          <t>WOVEN</t>
        </is>
      </c>
      <c r="C447" s="10" t="inlineStr">
        <is>
          <t>ROAD TAX</t>
        </is>
      </c>
      <c r="D447" s="10" t="inlineStr">
        <is>
          <t>ROAD TAX</t>
        </is>
      </c>
      <c r="E447" s="10" t="inlineStr">
        <is>
          <t>YEARLY</t>
        </is>
      </c>
      <c r="F447" s="11" t="n">
        <v>45383</v>
      </c>
      <c r="G447" s="11" t="n">
        <v>45747</v>
      </c>
      <c r="H447" s="12">
        <f>IF(OR($F447="",$G447=""),"",$G447-$F447+1)</f>
        <v/>
      </c>
      <c r="I447" s="10">
        <f>IF($F447="","",IF(MONTH($F447)&gt;=4,YEAR($F447)&amp;"-"&amp;TEXT(YEAR($F447)+1-2000,"00"),YEAR($F447)-1&amp;"-"&amp;TEXT(YEAR($F447)-2000,"00")))</f>
        <v/>
      </c>
      <c r="J447" s="13" t="n">
        <v>32724</v>
      </c>
      <c r="K447" s="14">
        <f>IFERROR($L447/$J447,"")</f>
        <v/>
      </c>
      <c r="L447" s="13" t="n">
        <v>32724</v>
      </c>
      <c r="M447" s="13">
        <f>IFERROR($L447/$H447,"")</f>
        <v/>
      </c>
      <c r="N447" s="11" t="n">
        <v>45649</v>
      </c>
      <c r="O447" s="10">
        <f>IF($N447="","No","Yes")</f>
        <v/>
      </c>
      <c r="P447" s="12">
        <f>IF(OR($F447="",$G447=""),0,IF(AND($F447&lt;=README!$B$4,README!$B$4&lt;=$G447),1,0))</f>
        <v/>
      </c>
      <c r="Q447" s="12">
        <f>IF(OR($F447="",$G447=""),0,IF(AND($F447&lt;=DATE(README!$B$5,12,31),$G447&gt;=DATE(README!$B$5,1,1)),1,0))</f>
        <v/>
      </c>
      <c r="R447" s="10" t="inlineStr">
        <is>
          <t>GUT-VEH0011</t>
        </is>
      </c>
      <c r="S447" s="11" t="n">
        <v>45475</v>
      </c>
      <c r="T447" s="10" t="inlineStr">
        <is>
          <t>3</t>
        </is>
      </c>
      <c r="U447" s="10" t="inlineStr">
        <is>
          <t>VEHICLE</t>
        </is>
      </c>
      <c r="V447" s="10" t="inlineStr">
        <is>
          <t>T</t>
        </is>
      </c>
      <c r="W447" s="10" t="inlineStr">
        <is>
          <t>VIVEK B</t>
        </is>
      </c>
    </row>
    <row r="448">
      <c r="A448" s="10" t="inlineStr">
        <is>
          <t>TN57CB3434</t>
        </is>
      </c>
      <c r="B448" s="10" t="inlineStr">
        <is>
          <t>WOVEN</t>
        </is>
      </c>
      <c r="C448" s="10" t="inlineStr">
        <is>
          <t>TYRE</t>
        </is>
      </c>
      <c r="D448" s="10" t="inlineStr">
        <is>
          <t>TYRE</t>
        </is>
      </c>
      <c r="E448" s="10" t="inlineStr">
        <is>
          <t>YEARLY</t>
        </is>
      </c>
      <c r="F448" s="11" t="n">
        <v>45383</v>
      </c>
      <c r="G448" s="11" t="n">
        <v>45747</v>
      </c>
      <c r="H448" s="12">
        <f>IF(OR($F448="",$G448=""),"",$G448-$F448+1)</f>
        <v/>
      </c>
      <c r="I448" s="10">
        <f>IF($F448="","",IF(MONTH($F448)&gt;=4,YEAR($F448)&amp;"-"&amp;TEXT(YEAR($F448)+1-2000,"00"),YEAR($F448)-1&amp;"-"&amp;TEXT(YEAR($F448)-2000,"00")))</f>
        <v/>
      </c>
      <c r="J448" s="13" t="n">
        <v>30200</v>
      </c>
      <c r="K448" s="14">
        <f>IFERROR($L448/$J448,"")</f>
        <v/>
      </c>
      <c r="L448" s="13" t="n">
        <v>60400</v>
      </c>
      <c r="M448" s="13">
        <f>IFERROR($L448/$H448,"")</f>
        <v/>
      </c>
      <c r="N448" s="11" t="n">
        <v>45652</v>
      </c>
      <c r="O448" s="10">
        <f>IF($N448="","No","Yes")</f>
        <v/>
      </c>
      <c r="P448" s="12">
        <f>IF(OR($F448="",$G448=""),0,IF(AND($F448&lt;=README!$B$4,README!$B$4&lt;=$G448),1,0))</f>
        <v/>
      </c>
      <c r="Q448" s="12">
        <f>IF(OR($F448="",$G448=""),0,IF(AND($F448&lt;=DATE(README!$B$5,12,31),$G448&gt;=DATE(README!$B$5,1,1)),1,0))</f>
        <v/>
      </c>
      <c r="R448" s="10" t="inlineStr">
        <is>
          <t>GUT-VEH0006</t>
        </is>
      </c>
      <c r="S448" s="11" t="n">
        <v>45437</v>
      </c>
      <c r="T448" s="10" t="inlineStr">
        <is>
          <t>3</t>
        </is>
      </c>
      <c r="U448" s="10" t="inlineStr">
        <is>
          <t>VEHICLE</t>
        </is>
      </c>
      <c r="V448" s="10" t="inlineStr">
        <is>
          <t>T</t>
        </is>
      </c>
      <c r="W448" s="10" t="inlineStr">
        <is>
          <t>VIVEK B</t>
        </is>
      </c>
    </row>
    <row r="449">
      <c r="A449" s="10" t="inlineStr">
        <is>
          <t>TN57CB3434</t>
        </is>
      </c>
      <c r="B449" s="10" t="inlineStr">
        <is>
          <t>WOVEN</t>
        </is>
      </c>
      <c r="C449" s="10" t="inlineStr">
        <is>
          <t>VEHICLE INSURANCE</t>
        </is>
      </c>
      <c r="D449" s="10" t="inlineStr">
        <is>
          <t>VEHICLE INSURANCE</t>
        </is>
      </c>
      <c r="E449" s="10" t="inlineStr">
        <is>
          <t>YEARLY</t>
        </is>
      </c>
      <c r="F449" s="11" t="n">
        <v>45383</v>
      </c>
      <c r="G449" s="11" t="n">
        <v>45747</v>
      </c>
      <c r="H449" s="12">
        <f>IF(OR($F449="",$G449=""),"",$G449-$F449+1)</f>
        <v/>
      </c>
      <c r="I449" s="10">
        <f>IF($F449="","",IF(MONTH($F449)&gt;=4,YEAR($F449)&amp;"-"&amp;TEXT(YEAR($F449)+1-2000,"00"),YEAR($F449)-1&amp;"-"&amp;TEXT(YEAR($F449)-2000,"00")))</f>
        <v/>
      </c>
      <c r="J449" s="13" t="n">
        <v>82408</v>
      </c>
      <c r="K449" s="14">
        <f>IFERROR($L449/$J449,"")</f>
        <v/>
      </c>
      <c r="L449" s="13" t="n">
        <v>0</v>
      </c>
      <c r="M449" s="13">
        <f>IFERROR($L449/$H449,"")</f>
        <v/>
      </c>
      <c r="N449" s="11" t="n"/>
      <c r="O449" s="10">
        <f>IF($N449="","No","Yes")</f>
        <v/>
      </c>
      <c r="P449" s="12">
        <f>IF(OR($F449="",$G449=""),0,IF(AND($F449&lt;=README!$B$4,README!$B$4&lt;=$G449),1,0))</f>
        <v/>
      </c>
      <c r="Q449" s="12">
        <f>IF(OR($F449="",$G449=""),0,IF(AND($F449&lt;=DATE(README!$B$5,12,31),$G449&gt;=DATE(README!$B$5,1,1)),1,0))</f>
        <v/>
      </c>
      <c r="R449" s="10" t="inlineStr">
        <is>
          <t>GUT-VEH0012</t>
        </is>
      </c>
      <c r="S449" s="11" t="n">
        <v>45478</v>
      </c>
      <c r="T449" s="10" t="inlineStr">
        <is>
          <t>3</t>
        </is>
      </c>
      <c r="U449" s="10" t="inlineStr">
        <is>
          <t>VEHICLE</t>
        </is>
      </c>
      <c r="V449" s="10" t="inlineStr">
        <is>
          <t>T</t>
        </is>
      </c>
      <c r="W449" s="10" t="inlineStr">
        <is>
          <t>VIVEK B</t>
        </is>
      </c>
    </row>
    <row r="450">
      <c r="A450" s="10" t="inlineStr">
        <is>
          <t>TN57CB3434</t>
        </is>
      </c>
      <c r="B450" s="10" t="inlineStr">
        <is>
          <t>WOVEN</t>
        </is>
      </c>
      <c r="C450" s="10" t="inlineStr">
        <is>
          <t>VEHICLE OUTSIDE SERVICES</t>
        </is>
      </c>
      <c r="D450" s="10" t="inlineStr">
        <is>
          <t xml:space="preserve">MAINTENANCE SERVICE </t>
        </is>
      </c>
      <c r="E450" s="10" t="inlineStr">
        <is>
          <t>YEARLY</t>
        </is>
      </c>
      <c r="F450" s="11" t="n">
        <v>45383</v>
      </c>
      <c r="G450" s="11" t="n">
        <v>45747</v>
      </c>
      <c r="H450" s="12">
        <f>IF(OR($F450="",$G450=""),"",$G450-$F450+1)</f>
        <v/>
      </c>
      <c r="I450" s="10">
        <f>IF($F450="","",IF(MONTH($F450)&gt;=4,YEAR($F450)&amp;"-"&amp;TEXT(YEAR($F450)+1-2000,"00"),YEAR($F450)-1&amp;"-"&amp;TEXT(YEAR($F450)-2000,"00")))</f>
        <v/>
      </c>
      <c r="J450" s="13" t="n">
        <v>27205.28</v>
      </c>
      <c r="K450" s="14">
        <f>IFERROR($L450/$J450,"")</f>
        <v/>
      </c>
      <c r="L450" s="13" t="n">
        <v>27205.28</v>
      </c>
      <c r="M450" s="13">
        <f>IFERROR($L450/$H450,"")</f>
        <v/>
      </c>
      <c r="N450" s="11" t="n">
        <v>45744</v>
      </c>
      <c r="O450" s="10">
        <f>IF($N450="","No","Yes")</f>
        <v/>
      </c>
      <c r="P450" s="12">
        <f>IF(OR($F450="",$G450=""),0,IF(AND($F450&lt;=README!$B$4,README!$B$4&lt;=$G450),1,0))</f>
        <v/>
      </c>
      <c r="Q450" s="12">
        <f>IF(OR($F450="",$G450=""),0,IF(AND($F450&lt;=DATE(README!$B$5,12,31),$G450&gt;=DATE(README!$B$5,1,1)),1,0))</f>
        <v/>
      </c>
      <c r="R450" s="10" t="inlineStr">
        <is>
          <t>GUT-VEH0013</t>
        </is>
      </c>
      <c r="S450" s="11" t="n">
        <v>45527</v>
      </c>
      <c r="T450" s="10" t="inlineStr">
        <is>
          <t>3</t>
        </is>
      </c>
      <c r="U450" s="10" t="inlineStr">
        <is>
          <t>VEHICLE</t>
        </is>
      </c>
      <c r="V450" s="10" t="inlineStr">
        <is>
          <t>T</t>
        </is>
      </c>
      <c r="W450" s="10" t="inlineStr">
        <is>
          <t>VIVEK B</t>
        </is>
      </c>
    </row>
    <row r="451">
      <c r="A451" s="10" t="inlineStr">
        <is>
          <t>TN57CB3434</t>
        </is>
      </c>
      <c r="B451" s="10" t="inlineStr">
        <is>
          <t>WOVEN</t>
        </is>
      </c>
      <c r="C451" s="10" t="inlineStr">
        <is>
          <t>VEHICLE OUTSIDE SERVICES</t>
        </is>
      </c>
      <c r="D451" s="10" t="inlineStr">
        <is>
          <t>GENERAL SERVICE</t>
        </is>
      </c>
      <c r="E451" s="10" t="inlineStr">
        <is>
          <t>YEARLY</t>
        </is>
      </c>
      <c r="F451" s="11" t="n">
        <v>45383</v>
      </c>
      <c r="G451" s="11" t="n">
        <v>45747</v>
      </c>
      <c r="H451" s="12">
        <f>IF(OR($F451="",$G451=""),"",$G451-$F451+1)</f>
        <v/>
      </c>
      <c r="I451" s="10">
        <f>IF($F451="","",IF(MONTH($F451)&gt;=4,YEAR($F451)&amp;"-"&amp;TEXT(YEAR($F451)+1-2000,"00"),YEAR($F451)-1&amp;"-"&amp;TEXT(YEAR($F451)-2000,"00")))</f>
        <v/>
      </c>
      <c r="J451" s="13" t="n">
        <v>10789.95</v>
      </c>
      <c r="K451" s="14">
        <f>IFERROR($L451/$J451,"")</f>
        <v/>
      </c>
      <c r="L451" s="13" t="n">
        <v>10789.95</v>
      </c>
      <c r="M451" s="13">
        <f>IFERROR($L451/$H451,"")</f>
        <v/>
      </c>
      <c r="N451" s="11" t="n">
        <v>45555</v>
      </c>
      <c r="O451" s="10">
        <f>IF($N451="","No","Yes")</f>
        <v/>
      </c>
      <c r="P451" s="12">
        <f>IF(OR($F451="",$G451=""),0,IF(AND($F451&lt;=README!$B$4,README!$B$4&lt;=$G451),1,0))</f>
        <v/>
      </c>
      <c r="Q451" s="12">
        <f>IF(OR($F451="",$G451=""),0,IF(AND($F451&lt;=DATE(README!$B$5,12,31),$G451&gt;=DATE(README!$B$5,1,1)),1,0))</f>
        <v/>
      </c>
      <c r="R451" s="10" t="inlineStr">
        <is>
          <t>GUT-VEH0013</t>
        </is>
      </c>
      <c r="S451" s="11" t="n">
        <v>45527</v>
      </c>
      <c r="T451" s="10" t="inlineStr">
        <is>
          <t>3</t>
        </is>
      </c>
      <c r="U451" s="10" t="inlineStr">
        <is>
          <t>VEHICLE</t>
        </is>
      </c>
      <c r="V451" s="10" t="inlineStr">
        <is>
          <t>T</t>
        </is>
      </c>
      <c r="W451" s="10" t="inlineStr">
        <is>
          <t>VIVEK B</t>
        </is>
      </c>
    </row>
    <row r="452">
      <c r="A452" s="10" t="inlineStr">
        <is>
          <t>TN57CB3434</t>
        </is>
      </c>
      <c r="B452" s="10" t="inlineStr">
        <is>
          <t>WOVEN</t>
        </is>
      </c>
      <c r="C452" s="10" t="inlineStr">
        <is>
          <t>FC WORK</t>
        </is>
      </c>
      <c r="D452" s="10" t="inlineStr">
        <is>
          <t>FC WORK</t>
        </is>
      </c>
      <c r="E452" s="10" t="inlineStr">
        <is>
          <t>YEARLY</t>
        </is>
      </c>
      <c r="F452" s="11" t="n">
        <v>45748</v>
      </c>
      <c r="G452" s="11" t="n">
        <v>46112</v>
      </c>
      <c r="H452" s="12">
        <f>IF(OR($F452="",$G452=""),"",$G452-$F452+1)</f>
        <v/>
      </c>
      <c r="I452" s="10">
        <f>IF($F452="","",IF(MONTH($F452)&gt;=4,YEAR($F452)&amp;"-"&amp;TEXT(YEAR($F452)+1-2000,"00"),YEAR($F452)-1&amp;"-"&amp;TEXT(YEAR($F452)-2000,"00")))</f>
        <v/>
      </c>
      <c r="J452" s="13" t="n">
        <v>41000</v>
      </c>
      <c r="K452" s="14">
        <f>IFERROR($L452/$J452,"")</f>
        <v/>
      </c>
      <c r="L452" s="13" t="n">
        <v>41000</v>
      </c>
      <c r="M452" s="13">
        <f>IFERROR($L452/$H452,"")</f>
        <v/>
      </c>
      <c r="N452" s="11" t="n">
        <v>45941</v>
      </c>
      <c r="O452" s="10">
        <f>IF($N452="","No","Yes")</f>
        <v/>
      </c>
      <c r="P452" s="12">
        <f>IF(OR($F452="",$G452=""),0,IF(AND($F452&lt;=README!$B$4,README!$B$4&lt;=$G452),1,0))</f>
        <v/>
      </c>
      <c r="Q452" s="12">
        <f>IF(OR($F452="",$G452=""),0,IF(AND($F452&lt;=DATE(README!$B$5,12,31),$G452&gt;=DATE(README!$B$5,1,1)),1,0))</f>
        <v/>
      </c>
      <c r="R452" s="10" t="inlineStr">
        <is>
          <t>GUT-VEH0025</t>
        </is>
      </c>
      <c r="S452" s="11" t="n">
        <v>45941</v>
      </c>
      <c r="T452" s="10" t="inlineStr">
        <is>
          <t>5</t>
        </is>
      </c>
      <c r="U452" s="10" t="inlineStr">
        <is>
          <t>VEHICLE</t>
        </is>
      </c>
      <c r="V452" s="10" t="inlineStr">
        <is>
          <t>T</t>
        </is>
      </c>
      <c r="W452" s="10" t="inlineStr">
        <is>
          <t>VIVEK B</t>
        </is>
      </c>
    </row>
    <row r="453">
      <c r="A453" s="10" t="inlineStr">
        <is>
          <t>TN57CB3434</t>
        </is>
      </c>
      <c r="B453" s="10" t="inlineStr">
        <is>
          <t>WOVEN</t>
        </is>
      </c>
      <c r="C453" s="10" t="inlineStr">
        <is>
          <t>RTO EXPENSE</t>
        </is>
      </c>
      <c r="D453" s="10" t="inlineStr">
        <is>
          <t>RTO EXPENSE</t>
        </is>
      </c>
      <c r="E453" s="10" t="inlineStr">
        <is>
          <t>YEARLY</t>
        </is>
      </c>
      <c r="F453" s="11" t="n">
        <v>45748</v>
      </c>
      <c r="G453" s="11" t="n">
        <v>46112</v>
      </c>
      <c r="H453" s="12">
        <f>IF(OR($F453="",$G453=""),"",$G453-$F453+1)</f>
        <v/>
      </c>
      <c r="I453" s="10">
        <f>IF($F453="","",IF(MONTH($F453)&gt;=4,YEAR($F453)&amp;"-"&amp;TEXT(YEAR($F453)+1-2000,"00"),YEAR($F453)-1&amp;"-"&amp;TEXT(YEAR($F453)-2000,"00")))</f>
        <v/>
      </c>
      <c r="J453" s="13" t="n">
        <v>10400</v>
      </c>
      <c r="K453" s="14">
        <f>IFERROR($L453/$J453,"")</f>
        <v/>
      </c>
      <c r="L453" s="13" t="n">
        <v>10400</v>
      </c>
      <c r="M453" s="13">
        <f>IFERROR($L453/$H453,"")</f>
        <v/>
      </c>
      <c r="N453" s="11" t="n">
        <v>45941</v>
      </c>
      <c r="O453" s="10">
        <f>IF($N453="","No","Yes")</f>
        <v/>
      </c>
      <c r="P453" s="12">
        <f>IF(OR($F453="",$G453=""),0,IF(AND($F453&lt;=README!$B$4,README!$B$4&lt;=$G453),1,0))</f>
        <v/>
      </c>
      <c r="Q453" s="12">
        <f>IF(OR($F453="",$G453=""),0,IF(AND($F453&lt;=DATE(README!$B$5,12,31),$G453&gt;=DATE(README!$B$5,1,1)),1,0))</f>
        <v/>
      </c>
      <c r="R453" s="10" t="inlineStr">
        <is>
          <t>GUT-VEH0024</t>
        </is>
      </c>
      <c r="S453" s="11" t="n">
        <v>45939</v>
      </c>
      <c r="T453" s="10" t="inlineStr">
        <is>
          <t>5</t>
        </is>
      </c>
      <c r="U453" s="10" t="inlineStr">
        <is>
          <t>VEHICLE</t>
        </is>
      </c>
      <c r="V453" s="10" t="inlineStr">
        <is>
          <t>T</t>
        </is>
      </c>
      <c r="W453" s="10" t="inlineStr">
        <is>
          <t>VIVEK B</t>
        </is>
      </c>
    </row>
    <row r="454">
      <c r="A454" s="10" t="inlineStr">
        <is>
          <t>TN57CB3434</t>
        </is>
      </c>
      <c r="B454" s="10" t="inlineStr">
        <is>
          <t>WOVEN</t>
        </is>
      </c>
      <c r="C454" s="10" t="inlineStr">
        <is>
          <t>TYRE</t>
        </is>
      </c>
      <c r="D454" s="10" t="inlineStr">
        <is>
          <t>TYRE</t>
        </is>
      </c>
      <c r="E454" s="10" t="inlineStr">
        <is>
          <t>YEARLY</t>
        </is>
      </c>
      <c r="F454" s="11" t="n">
        <v>45748</v>
      </c>
      <c r="G454" s="11" t="n">
        <v>46112</v>
      </c>
      <c r="H454" s="12">
        <f>IF(OR($F454="",$G454=""),"",$G454-$F454+1)</f>
        <v/>
      </c>
      <c r="I454" s="10">
        <f>IF($F454="","",IF(MONTH($F454)&gt;=4,YEAR($F454)&amp;"-"&amp;TEXT(YEAR($F454)+1-2000,"00"),YEAR($F454)-1&amp;"-"&amp;TEXT(YEAR($F454)-2000,"00")))</f>
        <v/>
      </c>
      <c r="J454" s="13" t="n">
        <v>30700</v>
      </c>
      <c r="K454" s="14">
        <f>IFERROR($L454/$J454,"")</f>
        <v/>
      </c>
      <c r="L454" s="13" t="n">
        <v>30700</v>
      </c>
      <c r="M454" s="13">
        <f>IFERROR($L454/$H454,"")</f>
        <v/>
      </c>
      <c r="N454" s="11" t="n">
        <v>45957</v>
      </c>
      <c r="O454" s="10">
        <f>IF($N454="","No","Yes")</f>
        <v/>
      </c>
      <c r="P454" s="12">
        <f>IF(OR($F454="",$G454=""),0,IF(AND($F454&lt;=README!$B$4,README!$B$4&lt;=$G454),1,0))</f>
        <v/>
      </c>
      <c r="Q454" s="12">
        <f>IF(OR($F454="",$G454=""),0,IF(AND($F454&lt;=DATE(README!$B$5,12,31),$G454&gt;=DATE(README!$B$5,1,1)),1,0))</f>
        <v/>
      </c>
      <c r="R454" s="10" t="inlineStr">
        <is>
          <t>GUT-VEH0026</t>
        </is>
      </c>
      <c r="S454" s="11" t="n">
        <v>45957</v>
      </c>
      <c r="T454" s="10" t="inlineStr">
        <is>
          <t>5</t>
        </is>
      </c>
      <c r="U454" s="10" t="inlineStr">
        <is>
          <t>VEHICLE</t>
        </is>
      </c>
      <c r="V454" s="10" t="inlineStr">
        <is>
          <t>T</t>
        </is>
      </c>
      <c r="W454" s="10" t="inlineStr">
        <is>
          <t>VIVEK B</t>
        </is>
      </c>
    </row>
    <row r="455">
      <c r="A455" s="10" t="inlineStr">
        <is>
          <t>TN57CB3434</t>
        </is>
      </c>
      <c r="B455" s="10" t="inlineStr">
        <is>
          <t>WOVEN</t>
        </is>
      </c>
      <c r="C455" s="10" t="inlineStr">
        <is>
          <t>VEHICLE INSURANCE</t>
        </is>
      </c>
      <c r="D455" s="10" t="inlineStr">
        <is>
          <t>VEHICLE INSURANCE</t>
        </is>
      </c>
      <c r="E455" s="10" t="inlineStr">
        <is>
          <t>YEARLY</t>
        </is>
      </c>
      <c r="F455" s="11" t="n">
        <v>45748</v>
      </c>
      <c r="G455" s="11" t="n">
        <v>46112</v>
      </c>
      <c r="H455" s="12">
        <f>IF(OR($F455="",$G455=""),"",$G455-$F455+1)</f>
        <v/>
      </c>
      <c r="I455" s="10">
        <f>IF($F455="","",IF(MONTH($F455)&gt;=4,YEAR($F455)&amp;"-"&amp;TEXT(YEAR($F455)+1-2000,"00"),YEAR($F455)-1&amp;"-"&amp;TEXT(YEAR($F455)-2000,"00")))</f>
        <v/>
      </c>
      <c r="J455" s="13" t="n">
        <v>78244</v>
      </c>
      <c r="K455" s="14">
        <f>IFERROR($L455/$J455,"")</f>
        <v/>
      </c>
      <c r="L455" s="13" t="n">
        <v>78244</v>
      </c>
      <c r="M455" s="13">
        <f>IFERROR($L455/$H455,"")</f>
        <v/>
      </c>
      <c r="N455" s="11" t="n">
        <v>45826</v>
      </c>
      <c r="O455" s="10">
        <f>IF($N455="","No","Yes")</f>
        <v/>
      </c>
      <c r="P455" s="12">
        <f>IF(OR($F455="",$G455=""),0,IF(AND($F455&lt;=README!$B$4,README!$B$4&lt;=$G455),1,0))</f>
        <v/>
      </c>
      <c r="Q455" s="12">
        <f>IF(OR($F455="",$G455=""),0,IF(AND($F455&lt;=DATE(README!$B$5,12,31),$G455&gt;=DATE(README!$B$5,1,1)),1,0))</f>
        <v/>
      </c>
      <c r="R455" s="10" t="inlineStr">
        <is>
          <t>GUT-VEH0019</t>
        </is>
      </c>
      <c r="S455" s="11" t="n">
        <v>45799</v>
      </c>
      <c r="T455" s="10" t="inlineStr">
        <is>
          <t>5</t>
        </is>
      </c>
      <c r="U455" s="10" t="inlineStr">
        <is>
          <t>VEHICLE</t>
        </is>
      </c>
      <c r="V455" s="10" t="inlineStr">
        <is>
          <t>T</t>
        </is>
      </c>
      <c r="W455" s="10" t="inlineStr">
        <is>
          <t>VIVEK B</t>
        </is>
      </c>
    </row>
    <row r="456">
      <c r="A456" s="10" t="inlineStr">
        <is>
          <t>TN57CB3434</t>
        </is>
      </c>
      <c r="B456" s="10" t="inlineStr">
        <is>
          <t>WOVEN</t>
        </is>
      </c>
      <c r="C456" s="10" t="inlineStr">
        <is>
          <t>ROAD TAX</t>
        </is>
      </c>
      <c r="D456" s="10" t="inlineStr">
        <is>
          <t>ROAD TAX</t>
        </is>
      </c>
      <c r="E456" s="10" t="inlineStr">
        <is>
          <t>QUARTER - IV</t>
        </is>
      </c>
      <c r="F456" s="11" t="n">
        <v>46023</v>
      </c>
      <c r="G456" s="11" t="n">
        <v>46112</v>
      </c>
      <c r="H456" s="12">
        <f>IF(OR($F456="",$G456=""),"",$G456-$F456+1)</f>
        <v/>
      </c>
      <c r="I456" s="10">
        <f>IF($F456="","",IF(MONTH($F456)&gt;=4,YEAR($F456)&amp;"-"&amp;TEXT(YEAR($F456)+1-2000,"00"),YEAR($F456)-1&amp;"-"&amp;TEXT(YEAR($F456)-2000,"00")))</f>
        <v/>
      </c>
      <c r="J456" s="13" t="n">
        <v>32734</v>
      </c>
      <c r="K456" s="14">
        <f>IFERROR($L456/$J456,"")</f>
        <v/>
      </c>
      <c r="L456" s="13" t="n">
        <v>32734</v>
      </c>
      <c r="M456" s="13">
        <f>IFERROR($L456/$H456,"")</f>
        <v/>
      </c>
      <c r="N456" s="11" t="n">
        <v>46065</v>
      </c>
      <c r="O456" s="10">
        <f>IF($N456="","No","Yes")</f>
        <v/>
      </c>
      <c r="P456" s="12">
        <f>IF(OR($F456="",$G456=""),0,IF(AND($F456&lt;=README!$B$4,README!$B$4&lt;=$G456),1,0))</f>
        <v/>
      </c>
      <c r="Q456" s="12">
        <f>IF(OR($F456="",$G456=""),0,IF(AND($F456&lt;=DATE(README!$B$5,12,31),$G456&gt;=DATE(README!$B$5,1,1)),1,0))</f>
        <v/>
      </c>
      <c r="R456" s="10" t="inlineStr">
        <is>
          <t>GUT-VEH0016</t>
        </is>
      </c>
      <c r="S456" s="11" t="n">
        <v>46023</v>
      </c>
      <c r="T456" s="10" t="inlineStr">
        <is>
          <t>5</t>
        </is>
      </c>
      <c r="U456" s="10" t="inlineStr">
        <is>
          <t>VEHICLE</t>
        </is>
      </c>
      <c r="V456" s="10" t="inlineStr">
        <is>
          <t>T</t>
        </is>
      </c>
      <c r="W456" s="10" t="inlineStr">
        <is>
          <t>VIVEK B</t>
        </is>
      </c>
    </row>
    <row r="457">
      <c r="A457" s="10" t="inlineStr">
        <is>
          <t>TN57CB3434</t>
        </is>
      </c>
      <c r="B457" s="10" t="inlineStr"/>
      <c r="C457" s="10" t="inlineStr">
        <is>
          <t>VEHICLE OUTSIDE SERVICES</t>
        </is>
      </c>
      <c r="D457" s="10" t="inlineStr">
        <is>
          <t>MAINTENANCE SERVICE - 2</t>
        </is>
      </c>
      <c r="E457" s="10" t="inlineStr">
        <is>
          <t>MARCH</t>
        </is>
      </c>
      <c r="F457" s="11" t="n">
        <v>46082</v>
      </c>
      <c r="G457" s="11" t="n">
        <v>46112</v>
      </c>
      <c r="H457" s="12">
        <f>IF(OR($F457="",$G457=""),"",$G457-$F457+1)</f>
        <v/>
      </c>
      <c r="I457" s="10">
        <f>IF($F457="","",IF(MONTH($F457)&gt;=4,YEAR($F457)&amp;"-"&amp;TEXT(YEAR($F457)+1-2000,"00"),YEAR($F457)-1&amp;"-"&amp;TEXT(YEAR($F457)-2000,"00")))</f>
        <v/>
      </c>
      <c r="J457" s="13" t="n">
        <v>24928.97</v>
      </c>
      <c r="K457" s="14">
        <f>IFERROR($L457/$J457,"")</f>
        <v/>
      </c>
      <c r="L457" s="13" t="n">
        <v>24928.97</v>
      </c>
      <c r="M457" s="13">
        <f>IFERROR($L457/$H457,"")</f>
        <v/>
      </c>
      <c r="N457" s="11" t="n">
        <v>46083</v>
      </c>
      <c r="O457" s="10">
        <f>IF($N457="","No","Yes")</f>
        <v/>
      </c>
      <c r="P457" s="12">
        <f>IF(OR($F457="",$G457=""),0,IF(AND($F457&lt;=README!$B$4,README!$B$4&lt;=$G457),1,0))</f>
        <v/>
      </c>
      <c r="Q457" s="12">
        <f>IF(OR($F457="",$G457=""),0,IF(AND($F457&lt;=DATE(README!$B$5,12,31),$G457&gt;=DATE(README!$B$5,1,1)),1,0))</f>
        <v/>
      </c>
      <c r="R457" s="10" t="inlineStr">
        <is>
          <t>GUT-VEH0021</t>
        </is>
      </c>
      <c r="S457" s="11" t="n">
        <v>45812</v>
      </c>
      <c r="T457" s="10" t="inlineStr">
        <is>
          <t>5</t>
        </is>
      </c>
      <c r="U457" s="10" t="inlineStr">
        <is>
          <t>VEHICLE</t>
        </is>
      </c>
      <c r="V457" s="10" t="inlineStr">
        <is>
          <t>T</t>
        </is>
      </c>
      <c r="W457" s="10" t="inlineStr">
        <is>
          <t>VIVEK B</t>
        </is>
      </c>
    </row>
    <row r="458">
      <c r="A458" s="10" t="inlineStr">
        <is>
          <t>TN57CB3434</t>
        </is>
      </c>
      <c r="B458" s="10" t="inlineStr">
        <is>
          <t>WOVEN</t>
        </is>
      </c>
      <c r="C458" s="10" t="inlineStr">
        <is>
          <t>ROAD TAX</t>
        </is>
      </c>
      <c r="D458" s="10" t="inlineStr">
        <is>
          <t>ROAD TAX</t>
        </is>
      </c>
      <c r="E458" s="10" t="inlineStr">
        <is>
          <t>QUARTER - I</t>
        </is>
      </c>
      <c r="F458" s="11" t="n">
        <v>46113</v>
      </c>
      <c r="G458" s="11" t="n">
        <v>46203</v>
      </c>
      <c r="H458" s="12">
        <f>IF(OR($F458="",$G458=""),"",$G458-$F458+1)</f>
        <v/>
      </c>
      <c r="I458" s="10">
        <f>IF($F458="","",IF(MONTH($F458)&gt;=4,YEAR($F458)&amp;"-"&amp;TEXT(YEAR($F458)+1-2000,"00"),YEAR($F458)-1&amp;"-"&amp;TEXT(YEAR($F458)-2000,"00")))</f>
        <v/>
      </c>
      <c r="J458" s="13" t="n">
        <v>32734</v>
      </c>
      <c r="K458" s="14">
        <f>IFERROR($L458/$J458,"")</f>
        <v/>
      </c>
      <c r="L458" s="13" t="n">
        <v>32734</v>
      </c>
      <c r="M458" s="13">
        <f>IFERROR($L458/$H458,"")</f>
        <v/>
      </c>
      <c r="N458" s="11" t="n">
        <v>46088</v>
      </c>
      <c r="O458" s="10">
        <f>IF($N458="","No","Yes")</f>
        <v/>
      </c>
      <c r="P458" s="12">
        <f>IF(OR($F458="",$G458=""),0,IF(AND($F458&lt;=README!$B$4,README!$B$4&lt;=$G458),1,0))</f>
        <v/>
      </c>
      <c r="Q458" s="12">
        <f>IF(OR($F458="",$G458=""),0,IF(AND($F458&lt;=DATE(README!$B$5,12,31),$G458&gt;=DATE(README!$B$5,1,1)),1,0))</f>
        <v/>
      </c>
      <c r="R458" s="10" t="inlineStr">
        <is>
          <t>GUT-VEH0029</t>
        </is>
      </c>
      <c r="S458" s="11" t="n">
        <v>46087</v>
      </c>
      <c r="T458" s="10" t="inlineStr">
        <is>
          <t>5</t>
        </is>
      </c>
      <c r="U458" s="10" t="inlineStr">
        <is>
          <t>VEHICLE</t>
        </is>
      </c>
      <c r="V458" s="10" t="inlineStr">
        <is>
          <t>T</t>
        </is>
      </c>
      <c r="W458" s="10" t="inlineStr">
        <is>
          <t>VIVEK B</t>
        </is>
      </c>
    </row>
    <row r="459">
      <c r="A459" s="10" t="inlineStr">
        <is>
          <t>TN57CB3434</t>
        </is>
      </c>
      <c r="B459" s="10" t="inlineStr">
        <is>
          <t>WOVEN</t>
        </is>
      </c>
      <c r="C459" s="10" t="inlineStr">
        <is>
          <t>VEHICLE INSURANCE</t>
        </is>
      </c>
      <c r="D459" s="10" t="inlineStr">
        <is>
          <t>VEHICLE INSURANCE</t>
        </is>
      </c>
      <c r="E459" s="10" t="inlineStr">
        <is>
          <t>YEARLY</t>
        </is>
      </c>
      <c r="F459" s="11" t="n">
        <v>46113</v>
      </c>
      <c r="G459" s="11" t="n">
        <v>46477</v>
      </c>
      <c r="H459" s="12">
        <f>IF(OR($F459="",$G459=""),"",$G459-$F459+1)</f>
        <v/>
      </c>
      <c r="I459" s="10">
        <f>IF($F459="","",IF(MONTH($F459)&gt;=4,YEAR($F459)&amp;"-"&amp;TEXT(YEAR($F459)+1-2000,"00"),YEAR($F459)-1&amp;"-"&amp;TEXT(YEAR($F459)-2000,"00")))</f>
        <v/>
      </c>
      <c r="J459" s="13" t="n">
        <v>78142</v>
      </c>
      <c r="K459" s="14">
        <f>IFERROR($L459/$J459,"")</f>
        <v/>
      </c>
      <c r="L459" s="13" t="n">
        <v>78142</v>
      </c>
      <c r="M459" s="13">
        <f>IFERROR($L459/$H459,"")</f>
        <v/>
      </c>
      <c r="N459" s="11" t="n">
        <v>46167</v>
      </c>
      <c r="O459" s="10">
        <f>IF($N459="","No","Yes")</f>
        <v/>
      </c>
      <c r="P459" s="12">
        <f>IF(OR($F459="",$G459=""),0,IF(AND($F459&lt;=README!$B$4,README!$B$4&lt;=$G459),1,0))</f>
        <v/>
      </c>
      <c r="Q459" s="12">
        <f>IF(OR($F459="",$G459=""),0,IF(AND($F459&lt;=DATE(README!$B$5,12,31),$G459&gt;=DATE(README!$B$5,1,1)),1,0))</f>
        <v/>
      </c>
      <c r="R459" s="10" t="inlineStr">
        <is>
          <t>GUT-VEH0035</t>
        </is>
      </c>
      <c r="S459" s="11" t="n">
        <v>46162</v>
      </c>
      <c r="T459" s="10" t="inlineStr">
        <is>
          <t>5</t>
        </is>
      </c>
      <c r="U459" s="10" t="inlineStr">
        <is>
          <t>VEHICLE</t>
        </is>
      </c>
      <c r="V459" s="10" t="inlineStr">
        <is>
          <t>T</t>
        </is>
      </c>
      <c r="W459" s="10" t="inlineStr">
        <is>
          <t>VIVEK B</t>
        </is>
      </c>
    </row>
    <row r="460">
      <c r="A460" s="10" t="inlineStr">
        <is>
          <t>TN57CB3434</t>
        </is>
      </c>
      <c r="B460" s="10" t="inlineStr">
        <is>
          <t>WOVEN</t>
        </is>
      </c>
      <c r="C460" s="10" t="inlineStr">
        <is>
          <t>VEHICLE OUTSIDE SERVICES</t>
        </is>
      </c>
      <c r="D460" s="10" t="inlineStr">
        <is>
          <t>GLASS STICKERS</t>
        </is>
      </c>
      <c r="E460" s="10" t="inlineStr">
        <is>
          <t>MAY</t>
        </is>
      </c>
      <c r="F460" s="11" t="n">
        <v>46143</v>
      </c>
      <c r="G460" s="11" t="n">
        <v>46173</v>
      </c>
      <c r="H460" s="12">
        <f>IF(OR($F460="",$G460=""),"",$G460-$F460+1)</f>
        <v/>
      </c>
      <c r="I460" s="10">
        <f>IF($F460="","",IF(MONTH($F460)&gt;=4,YEAR($F460)&amp;"-"&amp;TEXT(YEAR($F460)+1-2000,"00"),YEAR($F460)-1&amp;"-"&amp;TEXT(YEAR($F460)-2000,"00")))</f>
        <v/>
      </c>
      <c r="J460" s="13" t="n">
        <v>2100</v>
      </c>
      <c r="K460" s="14">
        <f>IFERROR($L460/$J460,"")</f>
        <v/>
      </c>
      <c r="L460" s="13" t="n">
        <v>2100</v>
      </c>
      <c r="M460" s="13">
        <f>IFERROR($L460/$H460,"")</f>
        <v/>
      </c>
      <c r="N460" s="11" t="n">
        <v>46150</v>
      </c>
      <c r="O460" s="10">
        <f>IF($N460="","No","Yes")</f>
        <v/>
      </c>
      <c r="P460" s="12">
        <f>IF(OR($F460="",$G460=""),0,IF(AND($F460&lt;=README!$B$4,README!$B$4&lt;=$G460),1,0))</f>
        <v/>
      </c>
      <c r="Q460" s="12">
        <f>IF(OR($F460="",$G460=""),0,IF(AND($F460&lt;=DATE(README!$B$5,12,31),$G460&gt;=DATE(README!$B$5,1,1)),1,0))</f>
        <v/>
      </c>
      <c r="R460" s="10" t="inlineStr">
        <is>
          <t>GUT-VEH0032</t>
        </is>
      </c>
      <c r="S460" s="11" t="n">
        <v>46137</v>
      </c>
      <c r="T460" s="10" t="inlineStr">
        <is>
          <t>5</t>
        </is>
      </c>
      <c r="U460" s="10" t="inlineStr">
        <is>
          <t>VEHICLE</t>
        </is>
      </c>
      <c r="V460" s="10" t="inlineStr">
        <is>
          <t>T</t>
        </is>
      </c>
      <c r="W460" s="10" t="inlineStr">
        <is>
          <t>VIVEK B</t>
        </is>
      </c>
    </row>
    <row r="461">
      <c r="A461" s="10" t="inlineStr">
        <is>
          <t>TN57CB3434</t>
        </is>
      </c>
      <c r="B461" s="10" t="inlineStr">
        <is>
          <t>WOVEN</t>
        </is>
      </c>
      <c r="C461" s="10" t="inlineStr">
        <is>
          <t>VEHICLE OUTSIDE SERVICES</t>
        </is>
      </c>
      <c r="D461" s="10" t="inlineStr">
        <is>
          <t xml:space="preserve">MAINTENANCE SERVICE </t>
        </is>
      </c>
      <c r="E461" s="10" t="inlineStr">
        <is>
          <t>MAY</t>
        </is>
      </c>
      <c r="F461" s="11" t="n">
        <v>46143</v>
      </c>
      <c r="G461" s="11" t="n">
        <v>46173</v>
      </c>
      <c r="H461" s="12">
        <f>IF(OR($F461="",$G461=""),"",$G461-$F461+1)</f>
        <v/>
      </c>
      <c r="I461" s="10">
        <f>IF($F461="","",IF(MONTH($F461)&gt;=4,YEAR($F461)&amp;"-"&amp;TEXT(YEAR($F461)+1-2000,"00"),YEAR($F461)-1&amp;"-"&amp;TEXT(YEAR($F461)-2000,"00")))</f>
        <v/>
      </c>
      <c r="J461" s="13" t="n">
        <v>4068.39</v>
      </c>
      <c r="K461" s="14">
        <f>IFERROR($L461/$J461,"")</f>
        <v/>
      </c>
      <c r="L461" s="13" t="n">
        <v>4068.39</v>
      </c>
      <c r="M461" s="13">
        <f>IFERROR($L461/$H461,"")</f>
        <v/>
      </c>
      <c r="N461" s="11" t="n">
        <v>46150</v>
      </c>
      <c r="O461" s="10">
        <f>IF($N461="","No","Yes")</f>
        <v/>
      </c>
      <c r="P461" s="12">
        <f>IF(OR($F461="",$G461=""),0,IF(AND($F461&lt;=README!$B$4,README!$B$4&lt;=$G461),1,0))</f>
        <v/>
      </c>
      <c r="Q461" s="12">
        <f>IF(OR($F461="",$G461=""),0,IF(AND($F461&lt;=DATE(README!$B$5,12,31),$G461&gt;=DATE(README!$B$5,1,1)),1,0))</f>
        <v/>
      </c>
      <c r="R461" s="10" t="inlineStr">
        <is>
          <t>GUT-VEH0032</t>
        </is>
      </c>
      <c r="S461" s="11" t="n">
        <v>46137</v>
      </c>
      <c r="T461" s="10" t="inlineStr">
        <is>
          <t>5</t>
        </is>
      </c>
      <c r="U461" s="10" t="inlineStr">
        <is>
          <t>VEHICLE</t>
        </is>
      </c>
      <c r="V461" s="10" t="inlineStr">
        <is>
          <t>T</t>
        </is>
      </c>
      <c r="W461" s="10" t="inlineStr">
        <is>
          <t>VIVEK B</t>
        </is>
      </c>
    </row>
    <row r="462">
      <c r="A462" s="10" t="inlineStr">
        <is>
          <t>TN57CB3434</t>
        </is>
      </c>
      <c r="B462" s="10" t="inlineStr">
        <is>
          <t>WOVEN</t>
        </is>
      </c>
      <c r="C462" s="10" t="inlineStr">
        <is>
          <t>ROAD TAX</t>
        </is>
      </c>
      <c r="D462" s="10" t="inlineStr">
        <is>
          <t>ROAD TAX</t>
        </is>
      </c>
      <c r="E462" s="10" t="inlineStr">
        <is>
          <t>QUARTER - II</t>
        </is>
      </c>
      <c r="F462" s="11" t="n">
        <v>46204</v>
      </c>
      <c r="G462" s="11" t="n">
        <v>46295</v>
      </c>
      <c r="H462" s="12">
        <f>IF(OR($F462="",$G462=""),"",$G462-$F462+1)</f>
        <v/>
      </c>
      <c r="I462" s="10">
        <f>IF($F462="","",IF(MONTH($F462)&gt;=4,YEAR($F462)&amp;"-"&amp;TEXT(YEAR($F462)+1-2000,"00"),YEAR($F462)-1&amp;"-"&amp;TEXT(YEAR($F462)-2000,"00")))</f>
        <v/>
      </c>
      <c r="J462" s="13" t="n">
        <v>32734</v>
      </c>
      <c r="K462" s="14">
        <f>IFERROR($L462/$J462,"")</f>
        <v/>
      </c>
      <c r="L462" s="13" t="n">
        <v>32734</v>
      </c>
      <c r="M462" s="13">
        <f>IFERROR($L462/$H462,"")</f>
        <v/>
      </c>
      <c r="N462" s="11" t="n">
        <v>46196</v>
      </c>
      <c r="O462" s="10">
        <f>IF($N462="","No","Yes")</f>
        <v/>
      </c>
      <c r="P462" s="12">
        <f>IF(OR($F462="",$G462=""),0,IF(AND($F462&lt;=README!$B$4,README!$B$4&lt;=$G462),1,0))</f>
        <v/>
      </c>
      <c r="Q462" s="12">
        <f>IF(OR($F462="",$G462=""),0,IF(AND($F462&lt;=DATE(README!$B$5,12,31),$G462&gt;=DATE(README!$B$5,1,1)),1,0))</f>
        <v/>
      </c>
      <c r="R462" s="10" t="inlineStr">
        <is>
          <t>GUT-VEH0038</t>
        </is>
      </c>
      <c r="S462" s="11" t="n">
        <v>46193</v>
      </c>
      <c r="T462" s="10" t="inlineStr">
        <is>
          <t>5</t>
        </is>
      </c>
      <c r="U462" s="10" t="inlineStr">
        <is>
          <t>VEHICLE</t>
        </is>
      </c>
      <c r="V462" s="10" t="inlineStr">
        <is>
          <t>T</t>
        </is>
      </c>
      <c r="W462" s="10" t="inlineStr">
        <is>
          <t>VIVEK B</t>
        </is>
      </c>
    </row>
    <row r="463">
      <c r="A463" s="10" t="inlineStr">
        <is>
          <t>TN57CB3636</t>
        </is>
      </c>
      <c r="B463" s="10" t="inlineStr">
        <is>
          <t>SOCKS</t>
        </is>
      </c>
      <c r="C463" s="10" t="inlineStr">
        <is>
          <t>ADBLU</t>
        </is>
      </c>
      <c r="D463" s="10" t="inlineStr">
        <is>
          <t>ADBLU</t>
        </is>
      </c>
      <c r="E463" s="10" t="inlineStr">
        <is>
          <t>YEARLY</t>
        </is>
      </c>
      <c r="F463" s="11" t="n">
        <v>45383</v>
      </c>
      <c r="G463" s="11" t="n">
        <v>45747</v>
      </c>
      <c r="H463" s="12">
        <f>IF(OR($F463="",$G463=""),"",$G463-$F463+1)</f>
        <v/>
      </c>
      <c r="I463" s="10">
        <f>IF($F463="","",IF(MONTH($F463)&gt;=4,YEAR($F463)&amp;"-"&amp;TEXT(YEAR($F463)+1-2000,"00"),YEAR($F463)-1&amp;"-"&amp;TEXT(YEAR($F463)-2000,"00")))</f>
        <v/>
      </c>
      <c r="J463" s="13" t="n">
        <v>60</v>
      </c>
      <c r="K463" s="14">
        <f>IFERROR($L463/$J463,"")</f>
        <v/>
      </c>
      <c r="L463" s="13" t="n">
        <v>24600</v>
      </c>
      <c r="M463" s="13">
        <f>IFERROR($L463/$H463,"")</f>
        <v/>
      </c>
      <c r="N463" s="11" t="n">
        <v>45461</v>
      </c>
      <c r="O463" s="10">
        <f>IF($N463="","No","Yes")</f>
        <v/>
      </c>
      <c r="P463" s="12">
        <f>IF(OR($F463="",$G463=""),0,IF(AND($F463&lt;=README!$B$4,README!$B$4&lt;=$G463),1,0))</f>
        <v/>
      </c>
      <c r="Q463" s="12">
        <f>IF(OR($F463="",$G463=""),0,IF(AND($F463&lt;=DATE(README!$B$5,12,31),$G463&gt;=DATE(README!$B$5,1,1)),1,0))</f>
        <v/>
      </c>
      <c r="R463" s="10" t="inlineStr">
        <is>
          <t>GUP-VEH0008</t>
        </is>
      </c>
      <c r="S463" s="11" t="n">
        <v>45461</v>
      </c>
      <c r="T463" s="10" t="inlineStr">
        <is>
          <t>541</t>
        </is>
      </c>
      <c r="U463" s="10" t="inlineStr">
        <is>
          <t>VEHICLE</t>
        </is>
      </c>
      <c r="V463" s="10" t="inlineStr">
        <is>
          <t>T</t>
        </is>
      </c>
      <c r="W463" s="10" t="inlineStr">
        <is>
          <t>VIVEK B</t>
        </is>
      </c>
    </row>
    <row r="464">
      <c r="A464" s="10" t="inlineStr">
        <is>
          <t>TN57CB3636</t>
        </is>
      </c>
      <c r="B464" s="10" t="inlineStr">
        <is>
          <t>SOCKS</t>
        </is>
      </c>
      <c r="C464" s="10" t="inlineStr">
        <is>
          <t>FC WORK</t>
        </is>
      </c>
      <c r="D464" s="10" t="inlineStr">
        <is>
          <t>FC WORK</t>
        </is>
      </c>
      <c r="E464" s="10" t="inlineStr">
        <is>
          <t>YEARLY</t>
        </is>
      </c>
      <c r="F464" s="11" t="n">
        <v>45383</v>
      </c>
      <c r="G464" s="11" t="n">
        <v>45747</v>
      </c>
      <c r="H464" s="12">
        <f>IF(OR($F464="",$G464=""),"",$G464-$F464+1)</f>
        <v/>
      </c>
      <c r="I464" s="10">
        <f>IF($F464="","",IF(MONTH($F464)&gt;=4,YEAR($F464)&amp;"-"&amp;TEXT(YEAR($F464)+1-2000,"00"),YEAR($F464)-1&amp;"-"&amp;TEXT(YEAR($F464)-2000,"00")))</f>
        <v/>
      </c>
      <c r="J464" s="13" t="n">
        <v>48000</v>
      </c>
      <c r="K464" s="14">
        <f>IFERROR($L464/$J464,"")</f>
        <v/>
      </c>
      <c r="L464" s="13" t="n">
        <v>48000</v>
      </c>
      <c r="M464" s="13">
        <f>IFERROR($L464/$H464,"")</f>
        <v/>
      </c>
      <c r="N464" s="11" t="n">
        <v>45590</v>
      </c>
      <c r="O464" s="10">
        <f>IF($N464="","No","Yes")</f>
        <v/>
      </c>
      <c r="P464" s="12">
        <f>IF(OR($F464="",$G464=""),0,IF(AND($F464&lt;=README!$B$4,README!$B$4&lt;=$G464),1,0))</f>
        <v/>
      </c>
      <c r="Q464" s="12">
        <f>IF(OR($F464="",$G464=""),0,IF(AND($F464&lt;=DATE(README!$B$5,12,31),$G464&gt;=DATE(README!$B$5,1,1)),1,0))</f>
        <v/>
      </c>
      <c r="R464" s="10" t="inlineStr">
        <is>
          <t>GUP-VEH0009</t>
        </is>
      </c>
      <c r="S464" s="11" t="n">
        <v>45475</v>
      </c>
      <c r="T464" s="10" t="inlineStr">
        <is>
          <t>546</t>
        </is>
      </c>
      <c r="U464" s="10" t="inlineStr">
        <is>
          <t>VEHICLE</t>
        </is>
      </c>
      <c r="V464" s="10" t="inlineStr">
        <is>
          <t>T</t>
        </is>
      </c>
      <c r="W464" s="10" t="inlineStr">
        <is>
          <t>VIVEK B</t>
        </is>
      </c>
    </row>
    <row r="465">
      <c r="A465" s="10" t="inlineStr">
        <is>
          <t>TN57CB3636</t>
        </is>
      </c>
      <c r="B465" s="10" t="inlineStr">
        <is>
          <t>SOCKS</t>
        </is>
      </c>
      <c r="C465" s="10" t="inlineStr">
        <is>
          <t>ROAD TAX</t>
        </is>
      </c>
      <c r="D465" s="10" t="inlineStr">
        <is>
          <t>ROAD TAX</t>
        </is>
      </c>
      <c r="E465" s="10" t="inlineStr">
        <is>
          <t>YEARLY</t>
        </is>
      </c>
      <c r="F465" s="11" t="n">
        <v>45383</v>
      </c>
      <c r="G465" s="11" t="n">
        <v>45747</v>
      </c>
      <c r="H465" s="12">
        <f>IF(OR($F465="",$G465=""),"",$G465-$F465+1)</f>
        <v/>
      </c>
      <c r="I465" s="10">
        <f>IF($F465="","",IF(MONTH($F465)&gt;=4,YEAR($F465)&amp;"-"&amp;TEXT(YEAR($F465)+1-2000,"00"),YEAR($F465)-1&amp;"-"&amp;TEXT(YEAR($F465)-2000,"00")))</f>
        <v/>
      </c>
      <c r="J465" s="13" t="n">
        <v>29694</v>
      </c>
      <c r="K465" s="14">
        <f>IFERROR($L465/$J465,"")</f>
        <v/>
      </c>
      <c r="L465" s="13" t="n">
        <v>29694</v>
      </c>
      <c r="M465" s="13">
        <f>IFERROR($L465/$H465,"")</f>
        <v/>
      </c>
      <c r="N465" s="11" t="n">
        <v>45569</v>
      </c>
      <c r="O465" s="10">
        <f>IF($N465="","No","Yes")</f>
        <v/>
      </c>
      <c r="P465" s="12">
        <f>IF(OR($F465="",$G465=""),0,IF(AND($F465&lt;=README!$B$4,README!$B$4&lt;=$G465),1,0))</f>
        <v/>
      </c>
      <c r="Q465" s="12">
        <f>IF(OR($F465="",$G465=""),0,IF(AND($F465&lt;=DATE(README!$B$5,12,31),$G465&gt;=DATE(README!$B$5,1,1)),1,0))</f>
        <v/>
      </c>
      <c r="R465" s="10" t="inlineStr">
        <is>
          <t>GUP-VEH0011</t>
        </is>
      </c>
      <c r="S465" s="11" t="n">
        <v>45477</v>
      </c>
      <c r="T465" s="10" t="inlineStr">
        <is>
          <t>548</t>
        </is>
      </c>
      <c r="U465" s="10" t="inlineStr">
        <is>
          <t>VEHICLE</t>
        </is>
      </c>
      <c r="V465" s="10" t="inlineStr">
        <is>
          <t>T</t>
        </is>
      </c>
      <c r="W465" s="10" t="inlineStr">
        <is>
          <t>VIVEK B</t>
        </is>
      </c>
    </row>
    <row r="466">
      <c r="A466" s="10" t="inlineStr">
        <is>
          <t>TN57CB3636</t>
        </is>
      </c>
      <c r="B466" s="10" t="inlineStr">
        <is>
          <t>SOCKS</t>
        </is>
      </c>
      <c r="C466" s="10" t="inlineStr">
        <is>
          <t>ROAD TAX</t>
        </is>
      </c>
      <c r="D466" s="10" t="inlineStr">
        <is>
          <t>ROAD TAX</t>
        </is>
      </c>
      <c r="E466" s="10" t="inlineStr">
        <is>
          <t>YEARLY</t>
        </is>
      </c>
      <c r="F466" s="11" t="n">
        <v>45383</v>
      </c>
      <c r="G466" s="11" t="n">
        <v>45747</v>
      </c>
      <c r="H466" s="12">
        <f>IF(OR($F466="",$G466=""),"",$G466-$F466+1)</f>
        <v/>
      </c>
      <c r="I466" s="10">
        <f>IF($F466="","",IF(MONTH($F466)&gt;=4,YEAR($F466)&amp;"-"&amp;TEXT(YEAR($F466)+1-2000,"00"),YEAR($F466)-1&amp;"-"&amp;TEXT(YEAR($F466)-2000,"00")))</f>
        <v/>
      </c>
      <c r="J466" s="13" t="n">
        <v>29694</v>
      </c>
      <c r="K466" s="14">
        <f>IFERROR($L466/$J466,"")</f>
        <v/>
      </c>
      <c r="L466" s="13" t="n">
        <v>29694</v>
      </c>
      <c r="M466" s="13">
        <f>IFERROR($L466/$H466,"")</f>
        <v/>
      </c>
      <c r="N466" s="11" t="n">
        <v>45481</v>
      </c>
      <c r="O466" s="10">
        <f>IF($N466="","No","Yes")</f>
        <v/>
      </c>
      <c r="P466" s="12">
        <f>IF(OR($F466="",$G466=""),0,IF(AND($F466&lt;=README!$B$4,README!$B$4&lt;=$G466),1,0))</f>
        <v/>
      </c>
      <c r="Q466" s="12">
        <f>IF(OR($F466="",$G466=""),0,IF(AND($F466&lt;=DATE(README!$B$5,12,31),$G466&gt;=DATE(README!$B$5,1,1)),1,0))</f>
        <v/>
      </c>
      <c r="R466" s="10" t="inlineStr">
        <is>
          <t>GUP-VEH0011</t>
        </is>
      </c>
      <c r="S466" s="11" t="n">
        <v>45477</v>
      </c>
      <c r="T466" s="10" t="inlineStr">
        <is>
          <t>548</t>
        </is>
      </c>
      <c r="U466" s="10" t="inlineStr">
        <is>
          <t>VEHICLE</t>
        </is>
      </c>
      <c r="V466" s="10" t="inlineStr">
        <is>
          <t>T</t>
        </is>
      </c>
      <c r="W466" s="10" t="inlineStr">
        <is>
          <t>VIVEK B</t>
        </is>
      </c>
    </row>
    <row r="467">
      <c r="A467" s="10" t="inlineStr">
        <is>
          <t>TN57CB3636</t>
        </is>
      </c>
      <c r="B467" s="10" t="inlineStr">
        <is>
          <t>SOCKS</t>
        </is>
      </c>
      <c r="C467" s="10" t="inlineStr">
        <is>
          <t>ROAD TAX</t>
        </is>
      </c>
      <c r="D467" s="10" t="inlineStr">
        <is>
          <t>ROAD TAX</t>
        </is>
      </c>
      <c r="E467" s="10" t="inlineStr">
        <is>
          <t>YEARLY</t>
        </is>
      </c>
      <c r="F467" s="11" t="n">
        <v>45383</v>
      </c>
      <c r="G467" s="11" t="n">
        <v>45747</v>
      </c>
      <c r="H467" s="12">
        <f>IF(OR($F467="",$G467=""),"",$G467-$F467+1)</f>
        <v/>
      </c>
      <c r="I467" s="10">
        <f>IF($F467="","",IF(MONTH($F467)&gt;=4,YEAR($F467)&amp;"-"&amp;TEXT(YEAR($F467)+1-2000,"00"),YEAR($F467)-1&amp;"-"&amp;TEXT(YEAR($F467)-2000,"00")))</f>
        <v/>
      </c>
      <c r="J467" s="13" t="n">
        <v>29694</v>
      </c>
      <c r="K467" s="14">
        <f>IFERROR($L467/$J467,"")</f>
        <v/>
      </c>
      <c r="L467" s="13" t="n">
        <v>29694</v>
      </c>
      <c r="M467" s="13">
        <f>IFERROR($L467/$H467,"")</f>
        <v/>
      </c>
      <c r="N467" s="11" t="n">
        <v>45649</v>
      </c>
      <c r="O467" s="10">
        <f>IF($N467="","No","Yes")</f>
        <v/>
      </c>
      <c r="P467" s="12">
        <f>IF(OR($F467="",$G467=""),0,IF(AND($F467&lt;=README!$B$4,README!$B$4&lt;=$G467),1,0))</f>
        <v/>
      </c>
      <c r="Q467" s="12">
        <f>IF(OR($F467="",$G467=""),0,IF(AND($F467&lt;=DATE(README!$B$5,12,31),$G467&gt;=DATE(README!$B$5,1,1)),1,0))</f>
        <v/>
      </c>
      <c r="R467" s="10" t="inlineStr">
        <is>
          <t>GUP-VEH0011</t>
        </is>
      </c>
      <c r="S467" s="11" t="n">
        <v>45477</v>
      </c>
      <c r="T467" s="10" t="inlineStr">
        <is>
          <t>548</t>
        </is>
      </c>
      <c r="U467" s="10" t="inlineStr">
        <is>
          <t>VEHICLE</t>
        </is>
      </c>
      <c r="V467" s="10" t="inlineStr">
        <is>
          <t>T</t>
        </is>
      </c>
      <c r="W467" s="10" t="inlineStr">
        <is>
          <t>VIVEK B</t>
        </is>
      </c>
    </row>
    <row r="468">
      <c r="A468" s="10" t="inlineStr">
        <is>
          <t>TN57CB3636</t>
        </is>
      </c>
      <c r="B468" s="10" t="inlineStr">
        <is>
          <t>SOCKS</t>
        </is>
      </c>
      <c r="C468" s="10" t="inlineStr">
        <is>
          <t>RTO EXPENSE</t>
        </is>
      </c>
      <c r="D468" s="10" t="inlineStr">
        <is>
          <t>RTO EXPENSE</t>
        </is>
      </c>
      <c r="E468" s="10" t="inlineStr">
        <is>
          <t>YEARLY</t>
        </is>
      </c>
      <c r="F468" s="11" t="n">
        <v>45383</v>
      </c>
      <c r="G468" s="11" t="n">
        <v>45747</v>
      </c>
      <c r="H468" s="12">
        <f>IF(OR($F468="",$G468=""),"",$G468-$F468+1)</f>
        <v/>
      </c>
      <c r="I468" s="10">
        <f>IF($F468="","",IF(MONTH($F468)&gt;=4,YEAR($F468)&amp;"-"&amp;TEXT(YEAR($F468)+1-2000,"00"),YEAR($F468)-1&amp;"-"&amp;TEXT(YEAR($F468)-2000,"00")))</f>
        <v/>
      </c>
      <c r="J468" s="13" t="n">
        <v>7500</v>
      </c>
      <c r="K468" s="14">
        <f>IFERROR($L468/$J468,"")</f>
        <v/>
      </c>
      <c r="L468" s="13" t="n">
        <v>7500</v>
      </c>
      <c r="M468" s="13">
        <f>IFERROR($L468/$H468,"")</f>
        <v/>
      </c>
      <c r="N468" s="11" t="n">
        <v>45573</v>
      </c>
      <c r="O468" s="10">
        <f>IF($N468="","No","Yes")</f>
        <v/>
      </c>
      <c r="P468" s="12">
        <f>IF(OR($F468="",$G468=""),0,IF(AND($F468&lt;=README!$B$4,README!$B$4&lt;=$G468),1,0))</f>
        <v/>
      </c>
      <c r="Q468" s="12">
        <f>IF(OR($F468="",$G468=""),0,IF(AND($F468&lt;=DATE(README!$B$5,12,31),$G468&gt;=DATE(README!$B$5,1,1)),1,0))</f>
        <v/>
      </c>
      <c r="R468" s="10" t="inlineStr">
        <is>
          <t>GUP-VEH0010</t>
        </is>
      </c>
      <c r="S468" s="11" t="n">
        <v>45475</v>
      </c>
      <c r="T468" s="10" t="inlineStr">
        <is>
          <t>547</t>
        </is>
      </c>
      <c r="U468" s="10" t="inlineStr">
        <is>
          <t>VEHICLE</t>
        </is>
      </c>
      <c r="V468" s="10" t="inlineStr">
        <is>
          <t>T</t>
        </is>
      </c>
      <c r="W468" s="10" t="inlineStr">
        <is>
          <t>VIVEK B</t>
        </is>
      </c>
    </row>
    <row r="469">
      <c r="A469" s="10" t="inlineStr">
        <is>
          <t>TN57CB3636</t>
        </is>
      </c>
      <c r="B469" s="10" t="inlineStr">
        <is>
          <t>SOCKS</t>
        </is>
      </c>
      <c r="C469" s="10" t="inlineStr">
        <is>
          <t>TYRE</t>
        </is>
      </c>
      <c r="D469" s="10" t="inlineStr">
        <is>
          <t>TYRE</t>
        </is>
      </c>
      <c r="E469" s="10" t="inlineStr">
        <is>
          <t>YEARLY</t>
        </is>
      </c>
      <c r="F469" s="11" t="n">
        <v>45383</v>
      </c>
      <c r="G469" s="11" t="n">
        <v>45747</v>
      </c>
      <c r="H469" s="12">
        <f>IF(OR($F469="",$G469=""),"",$G469-$F469+1)</f>
        <v/>
      </c>
      <c r="I469" s="10">
        <f>IF($F469="","",IF(MONTH($F469)&gt;=4,YEAR($F469)&amp;"-"&amp;TEXT(YEAR($F469)+1-2000,"00"),YEAR($F469)-1&amp;"-"&amp;TEXT(YEAR($F469)-2000,"00")))</f>
        <v/>
      </c>
      <c r="J469" s="13" t="n">
        <v>30700</v>
      </c>
      <c r="K469" s="14">
        <f>IFERROR($L469/$J469,"")</f>
        <v/>
      </c>
      <c r="L469" s="13" t="n">
        <v>0</v>
      </c>
      <c r="M469" s="13">
        <f>IFERROR($L469/$H469,"")</f>
        <v/>
      </c>
      <c r="N469" s="11" t="n"/>
      <c r="O469" s="10">
        <f>IF($N469="","No","Yes")</f>
        <v/>
      </c>
      <c r="P469" s="12">
        <f>IF(OR($F469="",$G469=""),0,IF(AND($F469&lt;=README!$B$4,README!$B$4&lt;=$G469),1,0))</f>
        <v/>
      </c>
      <c r="Q469" s="12">
        <f>IF(OR($F469="",$G469=""),0,IF(AND($F469&lt;=DATE(README!$B$5,12,31),$G469&gt;=DATE(README!$B$5,1,1)),1,0))</f>
        <v/>
      </c>
      <c r="R469" s="10" t="inlineStr">
        <is>
          <t>GUP-VEH0006</t>
        </is>
      </c>
      <c r="S469" s="11" t="n">
        <v>45442</v>
      </c>
      <c r="T469" s="10" t="inlineStr">
        <is>
          <t>522</t>
        </is>
      </c>
      <c r="U469" s="10" t="inlineStr">
        <is>
          <t>VEHICLE</t>
        </is>
      </c>
      <c r="V469" s="10" t="inlineStr">
        <is>
          <t>T</t>
        </is>
      </c>
      <c r="W469" s="10" t="inlineStr">
        <is>
          <t>VIVEK B</t>
        </is>
      </c>
    </row>
    <row r="470">
      <c r="A470" s="10" t="inlineStr">
        <is>
          <t>TN57CB3636</t>
        </is>
      </c>
      <c r="B470" s="10" t="inlineStr">
        <is>
          <t>SOCKS</t>
        </is>
      </c>
      <c r="C470" s="10" t="inlineStr">
        <is>
          <t>VEHICLE INSURANCE</t>
        </is>
      </c>
      <c r="D470" s="10" t="inlineStr">
        <is>
          <t>VEHICLE INSURANCE</t>
        </is>
      </c>
      <c r="E470" s="10" t="inlineStr">
        <is>
          <t>YEARLY</t>
        </is>
      </c>
      <c r="F470" s="11" t="n">
        <v>45383</v>
      </c>
      <c r="G470" s="11" t="n">
        <v>45747</v>
      </c>
      <c r="H470" s="12">
        <f>IF(OR($F470="",$G470=""),"",$G470-$F470+1)</f>
        <v/>
      </c>
      <c r="I470" s="10">
        <f>IF($F470="","",IF(MONTH($F470)&gt;=4,YEAR($F470)&amp;"-"&amp;TEXT(YEAR($F470)+1-2000,"00"),YEAR($F470)-1&amp;"-"&amp;TEXT(YEAR($F470)-2000,"00")))</f>
        <v/>
      </c>
      <c r="J470" s="13" t="n">
        <v>67939</v>
      </c>
      <c r="K470" s="14">
        <f>IFERROR($L470/$J470,"")</f>
        <v/>
      </c>
      <c r="L470" s="13" t="n">
        <v>0</v>
      </c>
      <c r="M470" s="13">
        <f>IFERROR($L470/$H470,"")</f>
        <v/>
      </c>
      <c r="N470" s="11" t="n"/>
      <c r="O470" s="10">
        <f>IF($N470="","No","Yes")</f>
        <v/>
      </c>
      <c r="P470" s="12">
        <f>IF(OR($F470="",$G470=""),0,IF(AND($F470&lt;=README!$B$4,README!$B$4&lt;=$G470),1,0))</f>
        <v/>
      </c>
      <c r="Q470" s="12">
        <f>IF(OR($F470="",$G470=""),0,IF(AND($F470&lt;=DATE(README!$B$5,12,31),$G470&gt;=DATE(README!$B$5,1,1)),1,0))</f>
        <v/>
      </c>
      <c r="R470" s="10" t="inlineStr">
        <is>
          <t>GUP-VEH0013</t>
        </is>
      </c>
      <c r="S470" s="11" t="n">
        <v>45478</v>
      </c>
      <c r="T470" s="10" t="inlineStr">
        <is>
          <t>550</t>
        </is>
      </c>
      <c r="U470" s="10" t="inlineStr">
        <is>
          <t>VEHICLE</t>
        </is>
      </c>
      <c r="V470" s="10" t="inlineStr">
        <is>
          <t>T</t>
        </is>
      </c>
      <c r="W470" s="10" t="inlineStr">
        <is>
          <t>VIVEK B</t>
        </is>
      </c>
    </row>
    <row r="471">
      <c r="A471" s="10" t="inlineStr">
        <is>
          <t>TN57CB3636</t>
        </is>
      </c>
      <c r="B471" s="10" t="inlineStr">
        <is>
          <t>SOCKS</t>
        </is>
      </c>
      <c r="C471" s="10" t="inlineStr">
        <is>
          <t>ROAD TAX</t>
        </is>
      </c>
      <c r="D471" s="10" t="inlineStr">
        <is>
          <t>ROAD TAX</t>
        </is>
      </c>
      <c r="E471" s="10" t="inlineStr">
        <is>
          <t>QUARTER - I</t>
        </is>
      </c>
      <c r="F471" s="11" t="n">
        <v>45748</v>
      </c>
      <c r="G471" s="11" t="n">
        <v>45838</v>
      </c>
      <c r="H471" s="12">
        <f>IF(OR($F471="",$G471=""),"",$G471-$F471+1)</f>
        <v/>
      </c>
      <c r="I471" s="10">
        <f>IF($F471="","",IF(MONTH($F471)&gt;=4,YEAR($F471)&amp;"-"&amp;TEXT(YEAR($F471)+1-2000,"00"),YEAR($F471)-1&amp;"-"&amp;TEXT(YEAR($F471)-2000,"00")))</f>
        <v/>
      </c>
      <c r="J471" s="13" t="n">
        <v>29694</v>
      </c>
      <c r="K471" s="14">
        <f>IFERROR($L471/$J471,"")</f>
        <v/>
      </c>
      <c r="L471" s="13" t="n">
        <v>29694</v>
      </c>
      <c r="M471" s="13">
        <f>IFERROR($L471/$H471,"")</f>
        <v/>
      </c>
      <c r="N471" s="11" t="n">
        <v>46030</v>
      </c>
      <c r="O471" s="10">
        <f>IF($N471="","No","Yes")</f>
        <v/>
      </c>
      <c r="P471" s="12">
        <f>IF(OR($F471="",$G471=""),0,IF(AND($F471&lt;=README!$B$4,README!$B$4&lt;=$G471),1,0))</f>
        <v/>
      </c>
      <c r="Q471" s="12">
        <f>IF(OR($F471="",$G471=""),0,IF(AND($F471&lt;=DATE(README!$B$5,12,31),$G471&gt;=DATE(README!$B$5,1,1)),1,0))</f>
        <v/>
      </c>
      <c r="R471" s="10" t="inlineStr">
        <is>
          <t>GUP-VEH0014</t>
        </is>
      </c>
      <c r="S471" s="11" t="n">
        <v>45748</v>
      </c>
      <c r="T471" s="10" t="inlineStr">
        <is>
          <t>609</t>
        </is>
      </c>
      <c r="U471" s="10" t="inlineStr">
        <is>
          <t>VEHICLE</t>
        </is>
      </c>
      <c r="V471" s="10" t="inlineStr">
        <is>
          <t>T</t>
        </is>
      </c>
      <c r="W471" s="10" t="inlineStr">
        <is>
          <t>VIVEK B</t>
        </is>
      </c>
    </row>
    <row r="472">
      <c r="A472" s="10" t="inlineStr">
        <is>
          <t>TN57CB3636</t>
        </is>
      </c>
      <c r="B472" s="10" t="inlineStr">
        <is>
          <t>SOCKS</t>
        </is>
      </c>
      <c r="C472" s="10" t="inlineStr">
        <is>
          <t>RTO EXPENSE</t>
        </is>
      </c>
      <c r="D472" s="10" t="inlineStr">
        <is>
          <t>PERMIT RENEWAL 5 YEAR</t>
        </is>
      </c>
      <c r="E472" s="10" t="inlineStr">
        <is>
          <t>YEARLY</t>
        </is>
      </c>
      <c r="F472" s="11" t="n">
        <v>45748</v>
      </c>
      <c r="G472" s="11" t="n">
        <v>46112</v>
      </c>
      <c r="H472" s="12">
        <f>IF(OR($F472="",$G472=""),"",$G472-$F472+1)</f>
        <v/>
      </c>
      <c r="I472" s="10">
        <f>IF($F472="","",IF(MONTH($F472)&gt;=4,YEAR($F472)&amp;"-"&amp;TEXT(YEAR($F472)+1-2000,"00"),YEAR($F472)-1&amp;"-"&amp;TEXT(YEAR($F472)-2000,"00")))</f>
        <v/>
      </c>
      <c r="J472" s="13" t="n">
        <v>6800</v>
      </c>
      <c r="K472" s="14">
        <f>IFERROR($L472/$J472,"")</f>
        <v/>
      </c>
      <c r="L472" s="13" t="n">
        <v>6800</v>
      </c>
      <c r="M472" s="13">
        <f>IFERROR($L472/$H472,"")</f>
        <v/>
      </c>
      <c r="N472" s="11" t="n">
        <v>45901</v>
      </c>
      <c r="O472" s="10">
        <f>IF($N472="","No","Yes")</f>
        <v/>
      </c>
      <c r="P472" s="12">
        <f>IF(OR($F472="",$G472=""),0,IF(AND($F472&lt;=README!$B$4,README!$B$4&lt;=$G472),1,0))</f>
        <v/>
      </c>
      <c r="Q472" s="12">
        <f>IF(OR($F472="",$G472=""),0,IF(AND($F472&lt;=DATE(README!$B$5,12,31),$G472&gt;=DATE(README!$B$5,1,1)),1,0))</f>
        <v/>
      </c>
      <c r="R472" s="10" t="inlineStr">
        <is>
          <t>GUP-VEH0022</t>
        </is>
      </c>
      <c r="S472" s="11" t="n">
        <v>45834</v>
      </c>
      <c r="T472" s="10" t="inlineStr">
        <is>
          <t>655</t>
        </is>
      </c>
      <c r="U472" s="10" t="inlineStr">
        <is>
          <t>VEHICLE</t>
        </is>
      </c>
      <c r="V472" s="10" t="inlineStr">
        <is>
          <t>T</t>
        </is>
      </c>
      <c r="W472" s="10" t="inlineStr">
        <is>
          <t>VIVEK B</t>
        </is>
      </c>
    </row>
    <row r="473">
      <c r="A473" s="10" t="inlineStr">
        <is>
          <t>TN57CB3636</t>
        </is>
      </c>
      <c r="B473" s="10" t="inlineStr">
        <is>
          <t>SOCKS</t>
        </is>
      </c>
      <c r="C473" s="10" t="inlineStr">
        <is>
          <t>TYRE</t>
        </is>
      </c>
      <c r="D473" s="10" t="inlineStr">
        <is>
          <t>TYRE</t>
        </is>
      </c>
      <c r="E473" s="10" t="inlineStr">
        <is>
          <t>YEARLY</t>
        </is>
      </c>
      <c r="F473" s="11" t="n">
        <v>45748</v>
      </c>
      <c r="G473" s="11" t="n">
        <v>46112</v>
      </c>
      <c r="H473" s="12">
        <f>IF(OR($F473="",$G473=""),"",$G473-$F473+1)</f>
        <v/>
      </c>
      <c r="I473" s="10">
        <f>IF($F473="","",IF(MONTH($F473)&gt;=4,YEAR($F473)&amp;"-"&amp;TEXT(YEAR($F473)+1-2000,"00"),YEAR($F473)-1&amp;"-"&amp;TEXT(YEAR($F473)-2000,"00")))</f>
        <v/>
      </c>
      <c r="J473" s="13" t="n">
        <v>32300</v>
      </c>
      <c r="K473" s="14">
        <f>IFERROR($L473/$J473,"")</f>
        <v/>
      </c>
      <c r="L473" s="13" t="n">
        <v>32300</v>
      </c>
      <c r="M473" s="13">
        <f>IFERROR($L473/$H473,"")</f>
        <v/>
      </c>
      <c r="N473" s="11" t="n">
        <v>45986</v>
      </c>
      <c r="O473" s="10">
        <f>IF($N473="","No","Yes")</f>
        <v/>
      </c>
      <c r="P473" s="12">
        <f>IF(OR($F473="",$G473=""),0,IF(AND($F473&lt;=README!$B$4,README!$B$4&lt;=$G473),1,0))</f>
        <v/>
      </c>
      <c r="Q473" s="12">
        <f>IF(OR($F473="",$G473=""),0,IF(AND($F473&lt;=DATE(README!$B$5,12,31),$G473&gt;=DATE(README!$B$5,1,1)),1,0))</f>
        <v/>
      </c>
      <c r="R473" s="10" t="inlineStr">
        <is>
          <t>GUP-VEH0025</t>
        </is>
      </c>
      <c r="S473" s="11" t="n">
        <v>45957</v>
      </c>
      <c r="T473" s="10" t="inlineStr">
        <is>
          <t>726</t>
        </is>
      </c>
      <c r="U473" s="10" t="inlineStr">
        <is>
          <t>VEHICLE</t>
        </is>
      </c>
      <c r="V473" s="10" t="inlineStr">
        <is>
          <t>T</t>
        </is>
      </c>
      <c r="W473" s="10" t="inlineStr">
        <is>
          <t>VIVEK B</t>
        </is>
      </c>
    </row>
    <row r="474">
      <c r="A474" s="10" t="inlineStr">
        <is>
          <t>TN57CB3636</t>
        </is>
      </c>
      <c r="B474" s="10" t="inlineStr">
        <is>
          <t>SOCKS</t>
        </is>
      </c>
      <c r="C474" s="10" t="inlineStr">
        <is>
          <t>VEHICLE INSURANCE</t>
        </is>
      </c>
      <c r="D474" s="10" t="inlineStr">
        <is>
          <t>VEHICLE INSURANCE</t>
        </is>
      </c>
      <c r="E474" s="10" t="inlineStr">
        <is>
          <t>YEARLY</t>
        </is>
      </c>
      <c r="F474" s="11" t="n">
        <v>45748</v>
      </c>
      <c r="G474" s="11" t="n">
        <v>46112</v>
      </c>
      <c r="H474" s="12">
        <f>IF(OR($F474="",$G474=""),"",$G474-$F474+1)</f>
        <v/>
      </c>
      <c r="I474" s="10">
        <f>IF($F474="","",IF(MONTH($F474)&gt;=4,YEAR($F474)&amp;"-"&amp;TEXT(YEAR($F474)+1-2000,"00"),YEAR($F474)-1&amp;"-"&amp;TEXT(YEAR($F474)-2000,"00")))</f>
        <v/>
      </c>
      <c r="J474" s="13" t="n">
        <v>66749</v>
      </c>
      <c r="K474" s="14">
        <f>IFERROR($L474/$J474,"")</f>
        <v/>
      </c>
      <c r="L474" s="13" t="n">
        <v>66749</v>
      </c>
      <c r="M474" s="13">
        <f>IFERROR($L474/$H474,"")</f>
        <v/>
      </c>
      <c r="N474" s="11" t="n">
        <v>45853</v>
      </c>
      <c r="O474" s="10">
        <f>IF($N474="","No","Yes")</f>
        <v/>
      </c>
      <c r="P474" s="12">
        <f>IF(OR($F474="",$G474=""),0,IF(AND($F474&lt;=README!$B$4,README!$B$4&lt;=$G474),1,0))</f>
        <v/>
      </c>
      <c r="Q474" s="12">
        <f>IF(OR($F474="",$G474=""),0,IF(AND($F474&lt;=DATE(README!$B$5,12,31),$G474&gt;=DATE(README!$B$5,1,1)),1,0))</f>
        <v/>
      </c>
      <c r="R474" s="10" t="inlineStr">
        <is>
          <t>GUP-VEH0020</t>
        </is>
      </c>
      <c r="S474" s="11" t="n">
        <v>45799</v>
      </c>
      <c r="T474" s="10" t="inlineStr">
        <is>
          <t>645</t>
        </is>
      </c>
      <c r="U474" s="10" t="inlineStr">
        <is>
          <t>VEHICLE</t>
        </is>
      </c>
      <c r="V474" s="10" t="inlineStr">
        <is>
          <t>T</t>
        </is>
      </c>
      <c r="W474" s="10" t="inlineStr">
        <is>
          <t>VIVEK B</t>
        </is>
      </c>
    </row>
    <row r="475">
      <c r="A475" s="10" t="inlineStr">
        <is>
          <t>TN57CB3636</t>
        </is>
      </c>
      <c r="B475" s="10" t="inlineStr">
        <is>
          <t>GENERAL</t>
        </is>
      </c>
      <c r="C475" s="10" t="inlineStr">
        <is>
          <t>VEHICLE OUTSIDE SERVICES</t>
        </is>
      </c>
      <c r="D475" s="10" t="inlineStr">
        <is>
          <t>MAINTENANCE SERVICE - 2</t>
        </is>
      </c>
      <c r="E475" s="10" t="inlineStr">
        <is>
          <t>YEARLY</t>
        </is>
      </c>
      <c r="F475" s="11" t="n">
        <v>45748</v>
      </c>
      <c r="G475" s="11" t="n">
        <v>46112</v>
      </c>
      <c r="H475" s="12">
        <f>IF(OR($F475="",$G475=""),"",$G475-$F475+1)</f>
        <v/>
      </c>
      <c r="I475" s="10">
        <f>IF($F475="","",IF(MONTH($F475)&gt;=4,YEAR($F475)&amp;"-"&amp;TEXT(YEAR($F475)+1-2000,"00"),YEAR($F475)-1&amp;"-"&amp;TEXT(YEAR($F475)-2000,"00")))</f>
        <v/>
      </c>
      <c r="J475" s="13" t="n">
        <v>10665</v>
      </c>
      <c r="K475" s="14">
        <f>IFERROR($L475/$J475,"")</f>
        <v/>
      </c>
      <c r="L475" s="13" t="n">
        <v>10665</v>
      </c>
      <c r="M475" s="13">
        <f>IFERROR($L475/$H475,"")</f>
        <v/>
      </c>
      <c r="N475" s="11" t="n">
        <v>45939</v>
      </c>
      <c r="O475" s="10">
        <f>IF($N475="","No","Yes")</f>
        <v/>
      </c>
      <c r="P475" s="12">
        <f>IF(OR($F475="",$G475=""),0,IF(AND($F475&lt;=README!$B$4,README!$B$4&lt;=$G475),1,0))</f>
        <v/>
      </c>
      <c r="Q475" s="12">
        <f>IF(OR($F475="",$G475=""),0,IF(AND($F475&lt;=DATE(README!$B$5,12,31),$G475&gt;=DATE(README!$B$5,1,1)),1,0))</f>
        <v/>
      </c>
      <c r="R475" s="10" t="inlineStr">
        <is>
          <t>GUP-VEH0019</t>
        </is>
      </c>
      <c r="S475" s="11" t="n">
        <v>45777</v>
      </c>
      <c r="T475" s="10" t="inlineStr">
        <is>
          <t>638</t>
        </is>
      </c>
      <c r="U475" s="10" t="inlineStr">
        <is>
          <t>VEHICLE</t>
        </is>
      </c>
      <c r="V475" s="10" t="inlineStr">
        <is>
          <t>T</t>
        </is>
      </c>
      <c r="W475" s="10" t="inlineStr">
        <is>
          <t>VIVEK B</t>
        </is>
      </c>
    </row>
    <row r="476">
      <c r="A476" s="10" t="inlineStr">
        <is>
          <t>TN57CB3636</t>
        </is>
      </c>
      <c r="B476" s="10" t="inlineStr">
        <is>
          <t>GENERAL</t>
        </is>
      </c>
      <c r="C476" s="10" t="inlineStr">
        <is>
          <t>VEHICLE OUTSIDE SERVICES</t>
        </is>
      </c>
      <c r="D476" s="10" t="inlineStr">
        <is>
          <t xml:space="preserve">MAINTENANCE SERVICE </t>
        </is>
      </c>
      <c r="E476" s="10" t="inlineStr">
        <is>
          <t>YEARLY</t>
        </is>
      </c>
      <c r="F476" s="11" t="n">
        <v>45748</v>
      </c>
      <c r="G476" s="11" t="n">
        <v>46112</v>
      </c>
      <c r="H476" s="12">
        <f>IF(OR($F476="",$G476=""),"",$G476-$F476+1)</f>
        <v/>
      </c>
      <c r="I476" s="10">
        <f>IF($F476="","",IF(MONTH($F476)&gt;=4,YEAR($F476)&amp;"-"&amp;TEXT(YEAR($F476)+1-2000,"00"),YEAR($F476)-1&amp;"-"&amp;TEXT(YEAR($F476)-2000,"00")))</f>
        <v/>
      </c>
      <c r="J476" s="13" t="n">
        <v>7000</v>
      </c>
      <c r="K476" s="14">
        <f>IFERROR($L476/$J476,"")</f>
        <v/>
      </c>
      <c r="L476" s="13" t="n">
        <v>7000</v>
      </c>
      <c r="M476" s="13">
        <f>IFERROR($L476/$H476,"")</f>
        <v/>
      </c>
      <c r="N476" s="11" t="n">
        <v>45824</v>
      </c>
      <c r="O476" s="10">
        <f>IF($N476="","No","Yes")</f>
        <v/>
      </c>
      <c r="P476" s="12">
        <f>IF(OR($F476="",$G476=""),0,IF(AND($F476&lt;=README!$B$4,README!$B$4&lt;=$G476),1,0))</f>
        <v/>
      </c>
      <c r="Q476" s="12">
        <f>IF(OR($F476="",$G476=""),0,IF(AND($F476&lt;=DATE(README!$B$5,12,31),$G476&gt;=DATE(README!$B$5,1,1)),1,0))</f>
        <v/>
      </c>
      <c r="R476" s="10" t="inlineStr">
        <is>
          <t>GUP-VEH0019</t>
        </is>
      </c>
      <c r="S476" s="11" t="n">
        <v>45777</v>
      </c>
      <c r="T476" s="10" t="inlineStr">
        <is>
          <t>638</t>
        </is>
      </c>
      <c r="U476" s="10" t="inlineStr">
        <is>
          <t>VEHICLE</t>
        </is>
      </c>
      <c r="V476" s="10" t="inlineStr">
        <is>
          <t>T</t>
        </is>
      </c>
      <c r="W476" s="10" t="inlineStr">
        <is>
          <t>VIVEK B</t>
        </is>
      </c>
    </row>
    <row r="477">
      <c r="A477" s="10" t="inlineStr">
        <is>
          <t>TN57CB3636</t>
        </is>
      </c>
      <c r="B477" s="10" t="inlineStr">
        <is>
          <t>SOCKS</t>
        </is>
      </c>
      <c r="C477" s="10" t="inlineStr">
        <is>
          <t>ROAD TAX</t>
        </is>
      </c>
      <c r="D477" s="10" t="inlineStr">
        <is>
          <t>ROAD TAX</t>
        </is>
      </c>
      <c r="E477" s="10" t="inlineStr">
        <is>
          <t>QUARTER - II</t>
        </is>
      </c>
      <c r="F477" s="11" t="n">
        <v>45839</v>
      </c>
      <c r="G477" s="11" t="n">
        <v>45930</v>
      </c>
      <c r="H477" s="12">
        <f>IF(OR($F477="",$G477=""),"",$G477-$F477+1)</f>
        <v/>
      </c>
      <c r="I477" s="10">
        <f>IF($F477="","",IF(MONTH($F477)&gt;=4,YEAR($F477)&amp;"-"&amp;TEXT(YEAR($F477)+1-2000,"00"),YEAR($F477)-1&amp;"-"&amp;TEXT(YEAR($F477)-2000,"00")))</f>
        <v/>
      </c>
      <c r="J477" s="13" t="n">
        <v>29694</v>
      </c>
      <c r="K477" s="14">
        <f>IFERROR($L477/$J477,"")</f>
        <v/>
      </c>
      <c r="L477" s="13" t="n">
        <v>29694</v>
      </c>
      <c r="M477" s="13">
        <f>IFERROR($L477/$H477,"")</f>
        <v/>
      </c>
      <c r="N477" s="11" t="n">
        <v>46030</v>
      </c>
      <c r="O477" s="10">
        <f>IF($N477="","No","Yes")</f>
        <v/>
      </c>
      <c r="P477" s="12">
        <f>IF(OR($F477="",$G477=""),0,IF(AND($F477&lt;=README!$B$4,README!$B$4&lt;=$G477),1,0))</f>
        <v/>
      </c>
      <c r="Q477" s="12">
        <f>IF(OR($F477="",$G477=""),0,IF(AND($F477&lt;=DATE(README!$B$5,12,31),$G477&gt;=DATE(README!$B$5,1,1)),1,0))</f>
        <v/>
      </c>
      <c r="R477" s="10" t="inlineStr">
        <is>
          <t>GUP-VEH0014</t>
        </is>
      </c>
      <c r="S477" s="11" t="n">
        <v>45748</v>
      </c>
      <c r="T477" s="10" t="inlineStr">
        <is>
          <t>609</t>
        </is>
      </c>
      <c r="U477" s="10" t="inlineStr">
        <is>
          <t>VEHICLE</t>
        </is>
      </c>
      <c r="V477" s="10" t="inlineStr">
        <is>
          <t>T</t>
        </is>
      </c>
      <c r="W477" s="10" t="inlineStr">
        <is>
          <t>VIVEK B</t>
        </is>
      </c>
    </row>
    <row r="478">
      <c r="A478" s="10" t="inlineStr">
        <is>
          <t>TN57CB3636</t>
        </is>
      </c>
      <c r="B478" s="10" t="inlineStr">
        <is>
          <t>SOCKS</t>
        </is>
      </c>
      <c r="C478" s="10" t="inlineStr">
        <is>
          <t>ROAD TAX</t>
        </is>
      </c>
      <c r="D478" s="10" t="inlineStr">
        <is>
          <t>ROAD TAX</t>
        </is>
      </c>
      <c r="E478" s="10" t="inlineStr">
        <is>
          <t>QUARTER - III</t>
        </is>
      </c>
      <c r="F478" s="11" t="n">
        <v>45931</v>
      </c>
      <c r="G478" s="11" t="n">
        <v>46022</v>
      </c>
      <c r="H478" s="12">
        <f>IF(OR($F478="",$G478=""),"",$G478-$F478+1)</f>
        <v/>
      </c>
      <c r="I478" s="10">
        <f>IF($F478="","",IF(MONTH($F478)&gt;=4,YEAR($F478)&amp;"-"&amp;TEXT(YEAR($F478)+1-2000,"00"),YEAR($F478)-1&amp;"-"&amp;TEXT(YEAR($F478)-2000,"00")))</f>
        <v/>
      </c>
      <c r="J478" s="13" t="n">
        <v>29704</v>
      </c>
      <c r="K478" s="14">
        <f>IFERROR($L478/$J478,"")</f>
        <v/>
      </c>
      <c r="L478" s="13" t="n">
        <v>29704</v>
      </c>
      <c r="M478" s="13">
        <f>IFERROR($L478/$H478,"")</f>
        <v/>
      </c>
      <c r="N478" s="11" t="n">
        <v>46030</v>
      </c>
      <c r="O478" s="10">
        <f>IF($N478="","No","Yes")</f>
        <v/>
      </c>
      <c r="P478" s="12">
        <f>IF(OR($F478="",$G478=""),0,IF(AND($F478&lt;=README!$B$4,README!$B$4&lt;=$G478),1,0))</f>
        <v/>
      </c>
      <c r="Q478" s="12">
        <f>IF(OR($F478="",$G478=""),0,IF(AND($F478&lt;=DATE(README!$B$5,12,31),$G478&gt;=DATE(README!$B$5,1,1)),1,0))</f>
        <v/>
      </c>
      <c r="R478" s="10" t="inlineStr">
        <is>
          <t>GUP-VEH0014</t>
        </is>
      </c>
      <c r="S478" s="11" t="n">
        <v>45748</v>
      </c>
      <c r="T478" s="10" t="inlineStr">
        <is>
          <t>609</t>
        </is>
      </c>
      <c r="U478" s="10" t="inlineStr">
        <is>
          <t>VEHICLE</t>
        </is>
      </c>
      <c r="V478" s="10" t="inlineStr">
        <is>
          <t>T</t>
        </is>
      </c>
      <c r="W478" s="10" t="inlineStr">
        <is>
          <t>VIVEK B</t>
        </is>
      </c>
    </row>
    <row r="479">
      <c r="A479" s="10" t="inlineStr">
        <is>
          <t>TN57CB3636</t>
        </is>
      </c>
      <c r="B479" s="10" t="inlineStr">
        <is>
          <t>SOCKS</t>
        </is>
      </c>
      <c r="C479" s="10" t="inlineStr">
        <is>
          <t>ROAD TAX</t>
        </is>
      </c>
      <c r="D479" s="10" t="inlineStr">
        <is>
          <t>ROAD TAX</t>
        </is>
      </c>
      <c r="E479" s="10" t="inlineStr">
        <is>
          <t>QUARTER - IV</t>
        </is>
      </c>
      <c r="F479" s="11" t="n">
        <v>46023</v>
      </c>
      <c r="G479" s="11" t="n">
        <v>46112</v>
      </c>
      <c r="H479" s="12">
        <f>IF(OR($F479="",$G479=""),"",$G479-$F479+1)</f>
        <v/>
      </c>
      <c r="I479" s="10">
        <f>IF($F479="","",IF(MONTH($F479)&gt;=4,YEAR($F479)&amp;"-"&amp;TEXT(YEAR($F479)+1-2000,"00"),YEAR($F479)-1&amp;"-"&amp;TEXT(YEAR($F479)-2000,"00")))</f>
        <v/>
      </c>
      <c r="J479" s="13" t="n">
        <v>29704</v>
      </c>
      <c r="K479" s="14">
        <f>IFERROR($L479/$J479,"")</f>
        <v/>
      </c>
      <c r="L479" s="13" t="n">
        <v>29704</v>
      </c>
      <c r="M479" s="13">
        <f>IFERROR($L479/$H479,"")</f>
        <v/>
      </c>
      <c r="N479" s="11" t="n">
        <v>46030</v>
      </c>
      <c r="O479" s="10">
        <f>IF($N479="","No","Yes")</f>
        <v/>
      </c>
      <c r="P479" s="12">
        <f>IF(OR($F479="",$G479=""),0,IF(AND($F479&lt;=README!$B$4,README!$B$4&lt;=$G479),1,0))</f>
        <v/>
      </c>
      <c r="Q479" s="12">
        <f>IF(OR($F479="",$G479=""),0,IF(AND($F479&lt;=DATE(README!$B$5,12,31),$G479&gt;=DATE(README!$B$5,1,1)),1,0))</f>
        <v/>
      </c>
      <c r="R479" s="10" t="inlineStr">
        <is>
          <t>GUP-VEH0014</t>
        </is>
      </c>
      <c r="S479" s="11" t="n">
        <v>45748</v>
      </c>
      <c r="T479" s="10" t="inlineStr">
        <is>
          <t>609</t>
        </is>
      </c>
      <c r="U479" s="10" t="inlineStr">
        <is>
          <t>VEHICLE</t>
        </is>
      </c>
      <c r="V479" s="10" t="inlineStr">
        <is>
          <t>T</t>
        </is>
      </c>
      <c r="W479" s="10" t="inlineStr">
        <is>
          <t>VIVEK B</t>
        </is>
      </c>
    </row>
    <row r="480">
      <c r="A480" s="10" t="inlineStr">
        <is>
          <t>TN57CB3636</t>
        </is>
      </c>
      <c r="B480" s="10" t="inlineStr">
        <is>
          <t>GENERAL</t>
        </is>
      </c>
      <c r="C480" s="10" t="inlineStr">
        <is>
          <t>VEHICLE OUTSIDE SERVICES</t>
        </is>
      </c>
      <c r="D480" s="10" t="inlineStr">
        <is>
          <t>MAINTENANCE SERVICE - 3</t>
        </is>
      </c>
      <c r="E480" s="10" t="inlineStr">
        <is>
          <t>FEBRUARY</t>
        </is>
      </c>
      <c r="F480" s="11" t="n">
        <v>46054</v>
      </c>
      <c r="G480" s="11" t="n">
        <v>46081</v>
      </c>
      <c r="H480" s="12">
        <f>IF(OR($F480="",$G480=""),"",$G480-$F480+1)</f>
        <v/>
      </c>
      <c r="I480" s="10">
        <f>IF($F480="","",IF(MONTH($F480)&gt;=4,YEAR($F480)&amp;"-"&amp;TEXT(YEAR($F480)+1-2000,"00"),YEAR($F480)-1&amp;"-"&amp;TEXT(YEAR($F480)-2000,"00")))</f>
        <v/>
      </c>
      <c r="J480" s="13" t="n">
        <v>42150</v>
      </c>
      <c r="K480" s="14">
        <f>IFERROR($L480/$J480,"")</f>
        <v/>
      </c>
      <c r="L480" s="13" t="n">
        <v>42150</v>
      </c>
      <c r="M480" s="13">
        <f>IFERROR($L480/$H480,"")</f>
        <v/>
      </c>
      <c r="N480" s="11" t="n">
        <v>46062</v>
      </c>
      <c r="O480" s="10">
        <f>IF($N480="","No","Yes")</f>
        <v/>
      </c>
      <c r="P480" s="12">
        <f>IF(OR($F480="",$G480=""),0,IF(AND($F480&lt;=README!$B$4,README!$B$4&lt;=$G480),1,0))</f>
        <v/>
      </c>
      <c r="Q480" s="12">
        <f>IF(OR($F480="",$G480=""),0,IF(AND($F480&lt;=DATE(README!$B$5,12,31),$G480&gt;=DATE(README!$B$5,1,1)),1,0))</f>
        <v/>
      </c>
      <c r="R480" s="10" t="inlineStr">
        <is>
          <t>GUP-VEH0019</t>
        </is>
      </c>
      <c r="S480" s="11" t="n">
        <v>45777</v>
      </c>
      <c r="T480" s="10" t="inlineStr">
        <is>
          <t>638</t>
        </is>
      </c>
      <c r="U480" s="10" t="inlineStr">
        <is>
          <t>VEHICLE</t>
        </is>
      </c>
      <c r="V480" s="10" t="inlineStr">
        <is>
          <t>T</t>
        </is>
      </c>
      <c r="W480" s="10" t="inlineStr">
        <is>
          <t>VIVEK B</t>
        </is>
      </c>
    </row>
    <row r="481">
      <c r="A481" s="10" t="inlineStr">
        <is>
          <t>TN57CB3636</t>
        </is>
      </c>
      <c r="B481" s="10" t="inlineStr">
        <is>
          <t>SOCKS</t>
        </is>
      </c>
      <c r="C481" s="10" t="inlineStr">
        <is>
          <t>ROAD TAX</t>
        </is>
      </c>
      <c r="D481" s="10" t="inlineStr">
        <is>
          <t>ROAD TAX</t>
        </is>
      </c>
      <c r="E481" s="10" t="inlineStr">
        <is>
          <t>QUARTER - I</t>
        </is>
      </c>
      <c r="F481" s="11" t="n">
        <v>46113</v>
      </c>
      <c r="G481" s="11" t="n">
        <v>46203</v>
      </c>
      <c r="H481" s="12">
        <f>IF(OR($F481="",$G481=""),"",$G481-$F481+1)</f>
        <v/>
      </c>
      <c r="I481" s="10">
        <f>IF($F481="","",IF(MONTH($F481)&gt;=4,YEAR($F481)&amp;"-"&amp;TEXT(YEAR($F481)+1-2000,"00"),YEAR($F481)-1&amp;"-"&amp;TEXT(YEAR($F481)-2000,"00")))</f>
        <v/>
      </c>
      <c r="J481" s="13" t="n">
        <v>29704</v>
      </c>
      <c r="K481" s="14">
        <f>IFERROR($L481/$J481,"")</f>
        <v/>
      </c>
      <c r="L481" s="13" t="n">
        <v>29704</v>
      </c>
      <c r="M481" s="13">
        <f>IFERROR($L481/$H481,"")</f>
        <v/>
      </c>
      <c r="N481" s="11" t="n">
        <v>46088</v>
      </c>
      <c r="O481" s="10">
        <f>IF($N481="","No","Yes")</f>
        <v/>
      </c>
      <c r="P481" s="12">
        <f>IF(OR($F481="",$G481=""),0,IF(AND($F481&lt;=README!$B$4,README!$B$4&lt;=$G481),1,0))</f>
        <v/>
      </c>
      <c r="Q481" s="12">
        <f>IF(OR($F481="",$G481=""),0,IF(AND($F481&lt;=DATE(README!$B$5,12,31),$G481&gt;=DATE(README!$B$5,1,1)),1,0))</f>
        <v/>
      </c>
      <c r="R481" s="10" t="inlineStr">
        <is>
          <t>GUP-VEH0030</t>
        </is>
      </c>
      <c r="S481" s="11" t="n">
        <v>46113</v>
      </c>
      <c r="T481" s="10" t="inlineStr">
        <is>
          <t>796</t>
        </is>
      </c>
      <c r="U481" s="10" t="inlineStr">
        <is>
          <t>VEHICLE</t>
        </is>
      </c>
      <c r="V481" s="10" t="inlineStr">
        <is>
          <t>T</t>
        </is>
      </c>
      <c r="W481" s="10" t="inlineStr">
        <is>
          <t>VIVEK B</t>
        </is>
      </c>
    </row>
    <row r="482">
      <c r="A482" s="10" t="inlineStr">
        <is>
          <t>TN57CB3636</t>
        </is>
      </c>
      <c r="B482" s="10" t="inlineStr">
        <is>
          <t>SOCKS</t>
        </is>
      </c>
      <c r="C482" s="10" t="inlineStr">
        <is>
          <t>VEHICLE INSURANCE</t>
        </is>
      </c>
      <c r="D482" s="10" t="inlineStr">
        <is>
          <t>VEHICLE INSURANCE</t>
        </is>
      </c>
      <c r="E482" s="10" t="inlineStr">
        <is>
          <t>YEARLY</t>
        </is>
      </c>
      <c r="F482" s="11" t="n">
        <v>46113</v>
      </c>
      <c r="G482" s="11" t="n">
        <v>46477</v>
      </c>
      <c r="H482" s="12">
        <f>IF(OR($F482="",$G482=""),"",$G482-$F482+1)</f>
        <v/>
      </c>
      <c r="I482" s="10">
        <f>IF($F482="","",IF(MONTH($F482)&gt;=4,YEAR($F482)&amp;"-"&amp;TEXT(YEAR($F482)+1-2000,"00"),YEAR($F482)-1&amp;"-"&amp;TEXT(YEAR($F482)-2000,"00")))</f>
        <v/>
      </c>
      <c r="J482" s="13" t="n">
        <v>66018</v>
      </c>
      <c r="K482" s="14">
        <f>IFERROR($L482/$J482,"")</f>
        <v/>
      </c>
      <c r="L482" s="13" t="n">
        <v>66018</v>
      </c>
      <c r="M482" s="13">
        <f>IFERROR($L482/$H482,"")</f>
        <v/>
      </c>
      <c r="N482" s="11" t="n">
        <v>46219</v>
      </c>
      <c r="O482" s="10">
        <f>IF($N482="","No","Yes")</f>
        <v/>
      </c>
      <c r="P482" s="12">
        <f>IF(OR($F482="",$G482=""),0,IF(AND($F482&lt;=README!$B$4,README!$B$4&lt;=$G482),1,0))</f>
        <v/>
      </c>
      <c r="Q482" s="12">
        <f>IF(OR($F482="",$G482=""),0,IF(AND($F482&lt;=DATE(README!$B$5,12,31),$G482&gt;=DATE(README!$B$5,1,1)),1,0))</f>
        <v/>
      </c>
      <c r="R482" s="10" t="inlineStr">
        <is>
          <t>GUP-VEH0038</t>
        </is>
      </c>
      <c r="S482" s="11" t="n">
        <v>46162</v>
      </c>
      <c r="T482" s="10" t="inlineStr">
        <is>
          <t>859</t>
        </is>
      </c>
      <c r="U482" s="10" t="inlineStr">
        <is>
          <t>VEHICLE</t>
        </is>
      </c>
      <c r="V482" s="10" t="inlineStr">
        <is>
          <t>T</t>
        </is>
      </c>
      <c r="W482" s="10" t="inlineStr">
        <is>
          <t>VIVEK B</t>
        </is>
      </c>
    </row>
    <row r="483">
      <c r="A483" s="10" t="inlineStr">
        <is>
          <t>TN57CB3636</t>
        </is>
      </c>
      <c r="B483" s="10" t="inlineStr">
        <is>
          <t>SOCKS</t>
        </is>
      </c>
      <c r="C483" s="10" t="inlineStr">
        <is>
          <t>VEHICLE OUTSIDE SERVICES</t>
        </is>
      </c>
      <c r="D483" s="10" t="inlineStr">
        <is>
          <t xml:space="preserve">MAINTENANCE SERVICE </t>
        </is>
      </c>
      <c r="E483" s="10" t="inlineStr">
        <is>
          <t>JUNE</t>
        </is>
      </c>
      <c r="F483" s="11" t="n">
        <v>46174</v>
      </c>
      <c r="G483" s="11" t="n">
        <v>46203</v>
      </c>
      <c r="H483" s="12">
        <f>IF(OR($F483="",$G483=""),"",$G483-$F483+1)</f>
        <v/>
      </c>
      <c r="I483" s="10">
        <f>IF($F483="","",IF(MONTH($F483)&gt;=4,YEAR($F483)&amp;"-"&amp;TEXT(YEAR($F483)+1-2000,"00"),YEAR($F483)-1&amp;"-"&amp;TEXT(YEAR($F483)-2000,"00")))</f>
        <v/>
      </c>
      <c r="J483" s="13" t="n">
        <v>7000</v>
      </c>
      <c r="K483" s="14">
        <f>IFERROR($L483/$J483,"")</f>
        <v/>
      </c>
      <c r="L483" s="13" t="n">
        <v>7000</v>
      </c>
      <c r="M483" s="13">
        <f>IFERROR($L483/$H483,"")</f>
        <v/>
      </c>
      <c r="N483" s="11" t="n">
        <v>46200</v>
      </c>
      <c r="O483" s="10">
        <f>IF($N483="","No","Yes")</f>
        <v/>
      </c>
      <c r="P483" s="12">
        <f>IF(OR($F483="",$G483=""),0,IF(AND($F483&lt;=README!$B$4,README!$B$4&lt;=$G483),1,0))</f>
        <v/>
      </c>
      <c r="Q483" s="12">
        <f>IF(OR($F483="",$G483=""),0,IF(AND($F483&lt;=DATE(README!$B$5,12,31),$G483&gt;=DATE(README!$B$5,1,1)),1,0))</f>
        <v/>
      </c>
      <c r="R483" s="10" t="inlineStr">
        <is>
          <t>GUP-VEH0031</t>
        </is>
      </c>
      <c r="S483" s="11" t="n">
        <v>46114</v>
      </c>
      <c r="T483" s="10" t="inlineStr">
        <is>
          <t>810</t>
        </is>
      </c>
      <c r="U483" s="10" t="inlineStr">
        <is>
          <t>VEHICLE</t>
        </is>
      </c>
      <c r="V483" s="10" t="inlineStr">
        <is>
          <t>T</t>
        </is>
      </c>
      <c r="W483" s="10" t="inlineStr">
        <is>
          <t>VIVEK B</t>
        </is>
      </c>
    </row>
    <row r="484">
      <c r="A484" s="10" t="inlineStr">
        <is>
          <t>TN57CB3636</t>
        </is>
      </c>
      <c r="B484" s="10" t="inlineStr">
        <is>
          <t>SOCKS</t>
        </is>
      </c>
      <c r="C484" s="10" t="inlineStr">
        <is>
          <t>ROAD TAX</t>
        </is>
      </c>
      <c r="D484" s="10" t="inlineStr">
        <is>
          <t>ROAD TAX</t>
        </is>
      </c>
      <c r="E484" s="10" t="inlineStr">
        <is>
          <t>QUARTER - II</t>
        </is>
      </c>
      <c r="F484" s="11" t="n">
        <v>46204</v>
      </c>
      <c r="G484" s="11" t="n">
        <v>46295</v>
      </c>
      <c r="H484" s="12">
        <f>IF(OR($F484="",$G484=""),"",$G484-$F484+1)</f>
        <v/>
      </c>
      <c r="I484" s="10">
        <f>IF($F484="","",IF(MONTH($F484)&gt;=4,YEAR($F484)&amp;"-"&amp;TEXT(YEAR($F484)+1-2000,"00"),YEAR($F484)-1&amp;"-"&amp;TEXT(YEAR($F484)-2000,"00")))</f>
        <v/>
      </c>
      <c r="J484" s="13" t="n">
        <v>29704</v>
      </c>
      <c r="K484" s="14">
        <f>IFERROR($L484/$J484,"")</f>
        <v/>
      </c>
      <c r="L484" s="13" t="n">
        <v>29704</v>
      </c>
      <c r="M484" s="13">
        <f>IFERROR($L484/$H484,"")</f>
        <v/>
      </c>
      <c r="N484" s="11" t="n">
        <v>46196</v>
      </c>
      <c r="O484" s="10">
        <f>IF($N484="","No","Yes")</f>
        <v/>
      </c>
      <c r="P484" s="12">
        <f>IF(OR($F484="",$G484=""),0,IF(AND($F484&lt;=README!$B$4,README!$B$4&lt;=$G484),1,0))</f>
        <v/>
      </c>
      <c r="Q484" s="12">
        <f>IF(OR($F484="",$G484=""),0,IF(AND($F484&lt;=DATE(README!$B$5,12,31),$G484&gt;=DATE(README!$B$5,1,1)),1,0))</f>
        <v/>
      </c>
      <c r="R484" s="10" t="inlineStr">
        <is>
          <t>GUP-VEH0030</t>
        </is>
      </c>
      <c r="S484" s="11" t="n">
        <v>46113</v>
      </c>
      <c r="T484" s="10" t="inlineStr">
        <is>
          <t>796</t>
        </is>
      </c>
      <c r="U484" s="10" t="inlineStr">
        <is>
          <t>VEHICLE</t>
        </is>
      </c>
      <c r="V484" s="10" t="inlineStr">
        <is>
          <t>T</t>
        </is>
      </c>
      <c r="W484" s="10" t="inlineStr">
        <is>
          <t>VIVEK B</t>
        </is>
      </c>
    </row>
    <row r="485">
      <c r="A485" s="10" t="inlineStr">
        <is>
          <t>TN57CC3636</t>
        </is>
      </c>
      <c r="B485" s="10" t="inlineStr">
        <is>
          <t>SOCKS</t>
        </is>
      </c>
      <c r="C485" s="10" t="inlineStr">
        <is>
          <t>ADBLU</t>
        </is>
      </c>
      <c r="D485" s="10" t="inlineStr">
        <is>
          <t>ADBLU</t>
        </is>
      </c>
      <c r="E485" s="10" t="inlineStr">
        <is>
          <t>YEARLY</t>
        </is>
      </c>
      <c r="F485" s="11" t="n">
        <v>45383</v>
      </c>
      <c r="G485" s="11" t="n">
        <v>45747</v>
      </c>
      <c r="H485" s="12">
        <f>IF(OR($F485="",$G485=""),"",$G485-$F485+1)</f>
        <v/>
      </c>
      <c r="I485" s="10">
        <f>IF($F485="","",IF(MONTH($F485)&gt;=4,YEAR($F485)&amp;"-"&amp;TEXT(YEAR($F485)+1-2000,"00"),YEAR($F485)-1&amp;"-"&amp;TEXT(YEAR($F485)-2000,"00")))</f>
        <v/>
      </c>
      <c r="J485" s="13" t="n">
        <v>60</v>
      </c>
      <c r="K485" s="14">
        <f>IFERROR($L485/$J485,"")</f>
        <v/>
      </c>
      <c r="L485" s="13" t="n">
        <v>24600</v>
      </c>
      <c r="M485" s="13">
        <f>IFERROR($L485/$H485,"")</f>
        <v/>
      </c>
      <c r="N485" s="11" t="n">
        <v>45461</v>
      </c>
      <c r="O485" s="10">
        <f>IF($N485="","No","Yes")</f>
        <v/>
      </c>
      <c r="P485" s="12">
        <f>IF(OR($F485="",$G485=""),0,IF(AND($F485&lt;=README!$B$4,README!$B$4&lt;=$G485),1,0))</f>
        <v/>
      </c>
      <c r="Q485" s="12">
        <f>IF(OR($F485="",$G485=""),0,IF(AND($F485&lt;=DATE(README!$B$5,12,31),$G485&gt;=DATE(README!$B$5,1,1)),1,0))</f>
        <v/>
      </c>
      <c r="R485" s="10" t="inlineStr">
        <is>
          <t>GUP-VEH0008</t>
        </is>
      </c>
      <c r="S485" s="11" t="n">
        <v>45461</v>
      </c>
      <c r="T485" s="10" t="inlineStr">
        <is>
          <t>541</t>
        </is>
      </c>
      <c r="U485" s="10" t="inlineStr">
        <is>
          <t>VEHICLE</t>
        </is>
      </c>
      <c r="V485" s="10" t="inlineStr">
        <is>
          <t>T</t>
        </is>
      </c>
      <c r="W485" s="10" t="inlineStr">
        <is>
          <t>VIVEK B</t>
        </is>
      </c>
    </row>
    <row r="486">
      <c r="A486" s="10" t="inlineStr">
        <is>
          <t>TN57CC3636</t>
        </is>
      </c>
      <c r="B486" s="10" t="inlineStr">
        <is>
          <t>SOCKS</t>
        </is>
      </c>
      <c r="C486" s="10" t="inlineStr">
        <is>
          <t>FC WORK</t>
        </is>
      </c>
      <c r="D486" s="10" t="inlineStr">
        <is>
          <t>FC WORK</t>
        </is>
      </c>
      <c r="E486" s="10" t="inlineStr">
        <is>
          <t>YEARLY</t>
        </is>
      </c>
      <c r="F486" s="11" t="n">
        <v>45383</v>
      </c>
      <c r="G486" s="11" t="n">
        <v>45747</v>
      </c>
      <c r="H486" s="12">
        <f>IF(OR($F486="",$G486=""),"",$G486-$F486+1)</f>
        <v/>
      </c>
      <c r="I486" s="10">
        <f>IF($F486="","",IF(MONTH($F486)&gt;=4,YEAR($F486)&amp;"-"&amp;TEXT(YEAR($F486)+1-2000,"00"),YEAR($F486)-1&amp;"-"&amp;TEXT(YEAR($F486)-2000,"00")))</f>
        <v/>
      </c>
      <c r="J486" s="13" t="n">
        <v>52000</v>
      </c>
      <c r="K486" s="14">
        <f>IFERROR($L486/$J486,"")</f>
        <v/>
      </c>
      <c r="L486" s="13" t="n">
        <v>52000</v>
      </c>
      <c r="M486" s="13">
        <f>IFERROR($L486/$H486,"")</f>
        <v/>
      </c>
      <c r="N486" s="11" t="n">
        <v>45590</v>
      </c>
      <c r="O486" s="10">
        <f>IF($N486="","No","Yes")</f>
        <v/>
      </c>
      <c r="P486" s="12">
        <f>IF(OR($F486="",$G486=""),0,IF(AND($F486&lt;=README!$B$4,README!$B$4&lt;=$G486),1,0))</f>
        <v/>
      </c>
      <c r="Q486" s="12">
        <f>IF(OR($F486="",$G486=""),0,IF(AND($F486&lt;=DATE(README!$B$5,12,31),$G486&gt;=DATE(README!$B$5,1,1)),1,0))</f>
        <v/>
      </c>
      <c r="R486" s="10" t="inlineStr">
        <is>
          <t>GUP-VEH0009</t>
        </is>
      </c>
      <c r="S486" s="11" t="n">
        <v>45475</v>
      </c>
      <c r="T486" s="10" t="inlineStr">
        <is>
          <t>546</t>
        </is>
      </c>
      <c r="U486" s="10" t="inlineStr">
        <is>
          <t>VEHICLE</t>
        </is>
      </c>
      <c r="V486" s="10" t="inlineStr">
        <is>
          <t>T</t>
        </is>
      </c>
      <c r="W486" s="10" t="inlineStr">
        <is>
          <t>VIVEK B</t>
        </is>
      </c>
    </row>
    <row r="487">
      <c r="A487" s="10" t="inlineStr">
        <is>
          <t>TN57CC3636</t>
        </is>
      </c>
      <c r="B487" s="10" t="inlineStr">
        <is>
          <t>SOCKS</t>
        </is>
      </c>
      <c r="C487" s="10" t="inlineStr">
        <is>
          <t>ROAD TAX</t>
        </is>
      </c>
      <c r="D487" s="10" t="inlineStr">
        <is>
          <t>ROAD TAX</t>
        </is>
      </c>
      <c r="E487" s="10" t="inlineStr">
        <is>
          <t>YEARLY</t>
        </is>
      </c>
      <c r="F487" s="11" t="n">
        <v>45383</v>
      </c>
      <c r="G487" s="11" t="n">
        <v>45747</v>
      </c>
      <c r="H487" s="12">
        <f>IF(OR($F487="",$G487=""),"",$G487-$F487+1)</f>
        <v/>
      </c>
      <c r="I487" s="10">
        <f>IF($F487="","",IF(MONTH($F487)&gt;=4,YEAR($F487)&amp;"-"&amp;TEXT(YEAR($F487)+1-2000,"00"),YEAR($F487)-1&amp;"-"&amp;TEXT(YEAR($F487)-2000,"00")))</f>
        <v/>
      </c>
      <c r="J487" s="13" t="n">
        <v>29694</v>
      </c>
      <c r="K487" s="14">
        <f>IFERROR($L487/$J487,"")</f>
        <v/>
      </c>
      <c r="L487" s="13" t="n">
        <v>29694</v>
      </c>
      <c r="M487" s="13">
        <f>IFERROR($L487/$H487,"")</f>
        <v/>
      </c>
      <c r="N487" s="11" t="n">
        <v>45569</v>
      </c>
      <c r="O487" s="10">
        <f>IF($N487="","No","Yes")</f>
        <v/>
      </c>
      <c r="P487" s="12">
        <f>IF(OR($F487="",$G487=""),0,IF(AND($F487&lt;=README!$B$4,README!$B$4&lt;=$G487),1,0))</f>
        <v/>
      </c>
      <c r="Q487" s="12">
        <f>IF(OR($F487="",$G487=""),0,IF(AND($F487&lt;=DATE(README!$B$5,12,31),$G487&gt;=DATE(README!$B$5,1,1)),1,0))</f>
        <v/>
      </c>
      <c r="R487" s="10" t="inlineStr">
        <is>
          <t>GUP-VEH0011</t>
        </is>
      </c>
      <c r="S487" s="11" t="n">
        <v>45477</v>
      </c>
      <c r="T487" s="10" t="inlineStr">
        <is>
          <t>548</t>
        </is>
      </c>
      <c r="U487" s="10" t="inlineStr">
        <is>
          <t>VEHICLE</t>
        </is>
      </c>
      <c r="V487" s="10" t="inlineStr">
        <is>
          <t>T</t>
        </is>
      </c>
      <c r="W487" s="10" t="inlineStr">
        <is>
          <t>VIVEK B</t>
        </is>
      </c>
    </row>
    <row r="488">
      <c r="A488" s="10" t="inlineStr">
        <is>
          <t>TN57CC3636</t>
        </is>
      </c>
      <c r="B488" s="10" t="inlineStr">
        <is>
          <t>SOCKS</t>
        </is>
      </c>
      <c r="C488" s="10" t="inlineStr">
        <is>
          <t>ROAD TAX</t>
        </is>
      </c>
      <c r="D488" s="10" t="inlineStr">
        <is>
          <t>ROAD TAX</t>
        </is>
      </c>
      <c r="E488" s="10" t="inlineStr">
        <is>
          <t>YEARLY</t>
        </is>
      </c>
      <c r="F488" s="11" t="n">
        <v>45383</v>
      </c>
      <c r="G488" s="11" t="n">
        <v>45747</v>
      </c>
      <c r="H488" s="12">
        <f>IF(OR($F488="",$G488=""),"",$G488-$F488+1)</f>
        <v/>
      </c>
      <c r="I488" s="10">
        <f>IF($F488="","",IF(MONTH($F488)&gt;=4,YEAR($F488)&amp;"-"&amp;TEXT(YEAR($F488)+1-2000,"00"),YEAR($F488)-1&amp;"-"&amp;TEXT(YEAR($F488)-2000,"00")))</f>
        <v/>
      </c>
      <c r="J488" s="13" t="n">
        <v>29694</v>
      </c>
      <c r="K488" s="14">
        <f>IFERROR($L488/$J488,"")</f>
        <v/>
      </c>
      <c r="L488" s="13" t="n">
        <v>29694</v>
      </c>
      <c r="M488" s="13">
        <f>IFERROR($L488/$H488,"")</f>
        <v/>
      </c>
      <c r="N488" s="11" t="n">
        <v>45481</v>
      </c>
      <c r="O488" s="10">
        <f>IF($N488="","No","Yes")</f>
        <v/>
      </c>
      <c r="P488" s="12">
        <f>IF(OR($F488="",$G488=""),0,IF(AND($F488&lt;=README!$B$4,README!$B$4&lt;=$G488),1,0))</f>
        <v/>
      </c>
      <c r="Q488" s="12">
        <f>IF(OR($F488="",$G488=""),0,IF(AND($F488&lt;=DATE(README!$B$5,12,31),$G488&gt;=DATE(README!$B$5,1,1)),1,0))</f>
        <v/>
      </c>
      <c r="R488" s="10" t="inlineStr">
        <is>
          <t>GUP-VEH0011</t>
        </is>
      </c>
      <c r="S488" s="11" t="n">
        <v>45477</v>
      </c>
      <c r="T488" s="10" t="inlineStr">
        <is>
          <t>548</t>
        </is>
      </c>
      <c r="U488" s="10" t="inlineStr">
        <is>
          <t>VEHICLE</t>
        </is>
      </c>
      <c r="V488" s="10" t="inlineStr">
        <is>
          <t>T</t>
        </is>
      </c>
      <c r="W488" s="10" t="inlineStr">
        <is>
          <t>VIVEK B</t>
        </is>
      </c>
    </row>
    <row r="489">
      <c r="A489" s="10" t="inlineStr">
        <is>
          <t>TN57CC3636</t>
        </is>
      </c>
      <c r="B489" s="10" t="inlineStr">
        <is>
          <t>SOCKS</t>
        </is>
      </c>
      <c r="C489" s="10" t="inlineStr">
        <is>
          <t>ROAD TAX</t>
        </is>
      </c>
      <c r="D489" s="10" t="inlineStr">
        <is>
          <t>ROAD TAX</t>
        </is>
      </c>
      <c r="E489" s="10" t="inlineStr">
        <is>
          <t>YEARLY</t>
        </is>
      </c>
      <c r="F489" s="11" t="n">
        <v>45383</v>
      </c>
      <c r="G489" s="11" t="n">
        <v>45747</v>
      </c>
      <c r="H489" s="12">
        <f>IF(OR($F489="",$G489=""),"",$G489-$F489+1)</f>
        <v/>
      </c>
      <c r="I489" s="10">
        <f>IF($F489="","",IF(MONTH($F489)&gt;=4,YEAR($F489)&amp;"-"&amp;TEXT(YEAR($F489)+1-2000,"00"),YEAR($F489)-1&amp;"-"&amp;TEXT(YEAR($F489)-2000,"00")))</f>
        <v/>
      </c>
      <c r="J489" s="13" t="n">
        <v>29694</v>
      </c>
      <c r="K489" s="14">
        <f>IFERROR($L489/$J489,"")</f>
        <v/>
      </c>
      <c r="L489" s="13" t="n">
        <v>29694</v>
      </c>
      <c r="M489" s="13">
        <f>IFERROR($L489/$H489,"")</f>
        <v/>
      </c>
      <c r="N489" s="11" t="n">
        <v>45649</v>
      </c>
      <c r="O489" s="10">
        <f>IF($N489="","No","Yes")</f>
        <v/>
      </c>
      <c r="P489" s="12">
        <f>IF(OR($F489="",$G489=""),0,IF(AND($F489&lt;=README!$B$4,README!$B$4&lt;=$G489),1,0))</f>
        <v/>
      </c>
      <c r="Q489" s="12">
        <f>IF(OR($F489="",$G489=""),0,IF(AND($F489&lt;=DATE(README!$B$5,12,31),$G489&gt;=DATE(README!$B$5,1,1)),1,0))</f>
        <v/>
      </c>
      <c r="R489" s="10" t="inlineStr">
        <is>
          <t>GUP-VEH0011</t>
        </is>
      </c>
      <c r="S489" s="11" t="n">
        <v>45477</v>
      </c>
      <c r="T489" s="10" t="inlineStr">
        <is>
          <t>548</t>
        </is>
      </c>
      <c r="U489" s="10" t="inlineStr">
        <is>
          <t>VEHICLE</t>
        </is>
      </c>
      <c r="V489" s="10" t="inlineStr">
        <is>
          <t>T</t>
        </is>
      </c>
      <c r="W489" s="10" t="inlineStr">
        <is>
          <t>VIVEK B</t>
        </is>
      </c>
    </row>
    <row r="490">
      <c r="A490" s="10" t="inlineStr">
        <is>
          <t>TN57CC3636</t>
        </is>
      </c>
      <c r="B490" s="10" t="inlineStr">
        <is>
          <t>SOCKS</t>
        </is>
      </c>
      <c r="C490" s="10" t="inlineStr">
        <is>
          <t>RTO EXPENSE</t>
        </is>
      </c>
      <c r="D490" s="10" t="inlineStr">
        <is>
          <t>RTO EXPENSE</t>
        </is>
      </c>
      <c r="E490" s="10" t="inlineStr">
        <is>
          <t>YEARLY</t>
        </is>
      </c>
      <c r="F490" s="11" t="n">
        <v>45383</v>
      </c>
      <c r="G490" s="11" t="n">
        <v>45747</v>
      </c>
      <c r="H490" s="12">
        <f>IF(OR($F490="",$G490=""),"",$G490-$F490+1)</f>
        <v/>
      </c>
      <c r="I490" s="10">
        <f>IF($F490="","",IF(MONTH($F490)&gt;=4,YEAR($F490)&amp;"-"&amp;TEXT(YEAR($F490)+1-2000,"00"),YEAR($F490)-1&amp;"-"&amp;TEXT(YEAR($F490)-2000,"00")))</f>
        <v/>
      </c>
      <c r="J490" s="13" t="n">
        <v>7500</v>
      </c>
      <c r="K490" s="14">
        <f>IFERROR($L490/$J490,"")</f>
        <v/>
      </c>
      <c r="L490" s="13" t="n">
        <v>7500</v>
      </c>
      <c r="M490" s="13">
        <f>IFERROR($L490/$H490,"")</f>
        <v/>
      </c>
      <c r="N490" s="11" t="n">
        <v>45573</v>
      </c>
      <c r="O490" s="10">
        <f>IF($N490="","No","Yes")</f>
        <v/>
      </c>
      <c r="P490" s="12">
        <f>IF(OR($F490="",$G490=""),0,IF(AND($F490&lt;=README!$B$4,README!$B$4&lt;=$G490),1,0))</f>
        <v/>
      </c>
      <c r="Q490" s="12">
        <f>IF(OR($F490="",$G490=""),0,IF(AND($F490&lt;=DATE(README!$B$5,12,31),$G490&gt;=DATE(README!$B$5,1,1)),1,0))</f>
        <v/>
      </c>
      <c r="R490" s="10" t="inlineStr">
        <is>
          <t>GUP-VEH0010</t>
        </is>
      </c>
      <c r="S490" s="11" t="n">
        <v>45475</v>
      </c>
      <c r="T490" s="10" t="inlineStr">
        <is>
          <t>547</t>
        </is>
      </c>
      <c r="U490" s="10" t="inlineStr">
        <is>
          <t>VEHICLE</t>
        </is>
      </c>
      <c r="V490" s="10" t="inlineStr">
        <is>
          <t>T</t>
        </is>
      </c>
      <c r="W490" s="10" t="inlineStr">
        <is>
          <t>VIVEK B</t>
        </is>
      </c>
    </row>
    <row r="491">
      <c r="A491" s="10" t="inlineStr">
        <is>
          <t>TN57CC3636</t>
        </is>
      </c>
      <c r="B491" s="10" t="inlineStr">
        <is>
          <t>SOCKS</t>
        </is>
      </c>
      <c r="C491" s="10" t="inlineStr">
        <is>
          <t>TYRE</t>
        </is>
      </c>
      <c r="D491" s="10" t="inlineStr">
        <is>
          <t>TYRE</t>
        </is>
      </c>
      <c r="E491" s="10" t="inlineStr">
        <is>
          <t>YEARLY</t>
        </is>
      </c>
      <c r="F491" s="11" t="n">
        <v>45383</v>
      </c>
      <c r="G491" s="11" t="n">
        <v>45747</v>
      </c>
      <c r="H491" s="12">
        <f>IF(OR($F491="",$G491=""),"",$G491-$F491+1)</f>
        <v/>
      </c>
      <c r="I491" s="10">
        <f>IF($F491="","",IF(MONTH($F491)&gt;=4,YEAR($F491)&amp;"-"&amp;TEXT(YEAR($F491)+1-2000,"00"),YEAR($F491)-1&amp;"-"&amp;TEXT(YEAR($F491)-2000,"00")))</f>
        <v/>
      </c>
      <c r="J491" s="13" t="n">
        <v>30700</v>
      </c>
      <c r="K491" s="14">
        <f>IFERROR($L491/$J491,"")</f>
        <v/>
      </c>
      <c r="L491" s="13" t="n">
        <v>0</v>
      </c>
      <c r="M491" s="13">
        <f>IFERROR($L491/$H491,"")</f>
        <v/>
      </c>
      <c r="N491" s="11" t="n"/>
      <c r="O491" s="10">
        <f>IF($N491="","No","Yes")</f>
        <v/>
      </c>
      <c r="P491" s="12">
        <f>IF(OR($F491="",$G491=""),0,IF(AND($F491&lt;=README!$B$4,README!$B$4&lt;=$G491),1,0))</f>
        <v/>
      </c>
      <c r="Q491" s="12">
        <f>IF(OR($F491="",$G491=""),0,IF(AND($F491&lt;=DATE(README!$B$5,12,31),$G491&gt;=DATE(README!$B$5,1,1)),1,0))</f>
        <v/>
      </c>
      <c r="R491" s="10" t="inlineStr">
        <is>
          <t>GUP-VEH0006</t>
        </is>
      </c>
      <c r="S491" s="11" t="n">
        <v>45442</v>
      </c>
      <c r="T491" s="10" t="inlineStr">
        <is>
          <t>522</t>
        </is>
      </c>
      <c r="U491" s="10" t="inlineStr">
        <is>
          <t>VEHICLE</t>
        </is>
      </c>
      <c r="V491" s="10" t="inlineStr">
        <is>
          <t>T</t>
        </is>
      </c>
      <c r="W491" s="10" t="inlineStr">
        <is>
          <t>VIVEK B</t>
        </is>
      </c>
    </row>
    <row r="492">
      <c r="A492" s="10" t="inlineStr">
        <is>
          <t>TN57CC3636</t>
        </is>
      </c>
      <c r="B492" s="10" t="inlineStr">
        <is>
          <t>SOCKS</t>
        </is>
      </c>
      <c r="C492" s="10" t="inlineStr">
        <is>
          <t>VEHICLE INSURANCE</t>
        </is>
      </c>
      <c r="D492" s="10" t="inlineStr">
        <is>
          <t>VEHICLE INSURANCE</t>
        </is>
      </c>
      <c r="E492" s="10" t="inlineStr">
        <is>
          <t>YEARLY</t>
        </is>
      </c>
      <c r="F492" s="11" t="n">
        <v>45383</v>
      </c>
      <c r="G492" s="11" t="n">
        <v>45747</v>
      </c>
      <c r="H492" s="12">
        <f>IF(OR($F492="",$G492=""),"",$G492-$F492+1)</f>
        <v/>
      </c>
      <c r="I492" s="10">
        <f>IF($F492="","",IF(MONTH($F492)&gt;=4,YEAR($F492)&amp;"-"&amp;TEXT(YEAR($F492)+1-2000,"00"),YEAR($F492)-1&amp;"-"&amp;TEXT(YEAR($F492)-2000,"00")))</f>
        <v/>
      </c>
      <c r="J492" s="13" t="n">
        <v>67828</v>
      </c>
      <c r="K492" s="14">
        <f>IFERROR($L492/$J492,"")</f>
        <v/>
      </c>
      <c r="L492" s="13" t="n">
        <v>0</v>
      </c>
      <c r="M492" s="13">
        <f>IFERROR($L492/$H492,"")</f>
        <v/>
      </c>
      <c r="N492" s="11" t="n"/>
      <c r="O492" s="10">
        <f>IF($N492="","No","Yes")</f>
        <v/>
      </c>
      <c r="P492" s="12">
        <f>IF(OR($F492="",$G492=""),0,IF(AND($F492&lt;=README!$B$4,README!$B$4&lt;=$G492),1,0))</f>
        <v/>
      </c>
      <c r="Q492" s="12">
        <f>IF(OR($F492="",$G492=""),0,IF(AND($F492&lt;=DATE(README!$B$5,12,31),$G492&gt;=DATE(README!$B$5,1,1)),1,0))</f>
        <v/>
      </c>
      <c r="R492" s="10" t="inlineStr">
        <is>
          <t>GUP-VEH0013</t>
        </is>
      </c>
      <c r="S492" s="11" t="n">
        <v>45478</v>
      </c>
      <c r="T492" s="10" t="inlineStr">
        <is>
          <t>550</t>
        </is>
      </c>
      <c r="U492" s="10" t="inlineStr">
        <is>
          <t>VEHICLE</t>
        </is>
      </c>
      <c r="V492" s="10" t="inlineStr">
        <is>
          <t>T</t>
        </is>
      </c>
      <c r="W492" s="10" t="inlineStr">
        <is>
          <t>VIVEK B</t>
        </is>
      </c>
    </row>
    <row r="493">
      <c r="A493" s="10" t="inlineStr">
        <is>
          <t>TN57CC3636</t>
        </is>
      </c>
      <c r="B493" s="10" t="inlineStr">
        <is>
          <t>SOCKS</t>
        </is>
      </c>
      <c r="C493" s="10" t="inlineStr">
        <is>
          <t>ROAD TAX</t>
        </is>
      </c>
      <c r="D493" s="10" t="inlineStr">
        <is>
          <t>ROAD TAX</t>
        </is>
      </c>
      <c r="E493" s="10" t="inlineStr">
        <is>
          <t>QUARTER - I</t>
        </is>
      </c>
      <c r="F493" s="11" t="n">
        <v>45748</v>
      </c>
      <c r="G493" s="11" t="n">
        <v>45838</v>
      </c>
      <c r="H493" s="12">
        <f>IF(OR($F493="",$G493=""),"",$G493-$F493+1)</f>
        <v/>
      </c>
      <c r="I493" s="10">
        <f>IF($F493="","",IF(MONTH($F493)&gt;=4,YEAR($F493)&amp;"-"&amp;TEXT(YEAR($F493)+1-2000,"00"),YEAR($F493)-1&amp;"-"&amp;TEXT(YEAR($F493)-2000,"00")))</f>
        <v/>
      </c>
      <c r="J493" s="13" t="n">
        <v>29694</v>
      </c>
      <c r="K493" s="14">
        <f>IFERROR($L493/$J493,"")</f>
        <v/>
      </c>
      <c r="L493" s="13" t="n">
        <v>29694</v>
      </c>
      <c r="M493" s="13">
        <f>IFERROR($L493/$H493,"")</f>
        <v/>
      </c>
      <c r="N493" s="11" t="n">
        <v>46030</v>
      </c>
      <c r="O493" s="10">
        <f>IF($N493="","No","Yes")</f>
        <v/>
      </c>
      <c r="P493" s="12">
        <f>IF(OR($F493="",$G493=""),0,IF(AND($F493&lt;=README!$B$4,README!$B$4&lt;=$G493),1,0))</f>
        <v/>
      </c>
      <c r="Q493" s="12">
        <f>IF(OR($F493="",$G493=""),0,IF(AND($F493&lt;=DATE(README!$B$5,12,31),$G493&gt;=DATE(README!$B$5,1,1)),1,0))</f>
        <v/>
      </c>
      <c r="R493" s="10" t="inlineStr">
        <is>
          <t>GUP-VEH0014</t>
        </is>
      </c>
      <c r="S493" s="11" t="n">
        <v>45748</v>
      </c>
      <c r="T493" s="10" t="inlineStr">
        <is>
          <t>609</t>
        </is>
      </c>
      <c r="U493" s="10" t="inlineStr">
        <is>
          <t>VEHICLE</t>
        </is>
      </c>
      <c r="V493" s="10" t="inlineStr">
        <is>
          <t>T</t>
        </is>
      </c>
      <c r="W493" s="10" t="inlineStr">
        <is>
          <t>VIVEK B</t>
        </is>
      </c>
    </row>
    <row r="494">
      <c r="A494" s="10" t="inlineStr">
        <is>
          <t>TN57CC3636</t>
        </is>
      </c>
      <c r="B494" s="10" t="inlineStr">
        <is>
          <t>SOCKS</t>
        </is>
      </c>
      <c r="C494" s="10" t="inlineStr">
        <is>
          <t>RTO EXPENSE</t>
        </is>
      </c>
      <c r="D494" s="10" t="inlineStr">
        <is>
          <t>PERMIT RENEWAL 5 YEAR</t>
        </is>
      </c>
      <c r="E494" s="10" t="inlineStr">
        <is>
          <t>YEARLY</t>
        </is>
      </c>
      <c r="F494" s="11" t="n">
        <v>45748</v>
      </c>
      <c r="G494" s="11" t="n">
        <v>46112</v>
      </c>
      <c r="H494" s="12">
        <f>IF(OR($F494="",$G494=""),"",$G494-$F494+1)</f>
        <v/>
      </c>
      <c r="I494" s="10">
        <f>IF($F494="","",IF(MONTH($F494)&gt;=4,YEAR($F494)&amp;"-"&amp;TEXT(YEAR($F494)+1-2000,"00"),YEAR($F494)-1&amp;"-"&amp;TEXT(YEAR($F494)-2000,"00")))</f>
        <v/>
      </c>
      <c r="J494" s="13" t="n">
        <v>6800</v>
      </c>
      <c r="K494" s="14">
        <f>IFERROR($L494/$J494,"")</f>
        <v/>
      </c>
      <c r="L494" s="13" t="n">
        <v>6800</v>
      </c>
      <c r="M494" s="13">
        <f>IFERROR($L494/$H494,"")</f>
        <v/>
      </c>
      <c r="N494" s="11" t="n">
        <v>45901</v>
      </c>
      <c r="O494" s="10">
        <f>IF($N494="","No","Yes")</f>
        <v/>
      </c>
      <c r="P494" s="12">
        <f>IF(OR($F494="",$G494=""),0,IF(AND($F494&lt;=README!$B$4,README!$B$4&lt;=$G494),1,0))</f>
        <v/>
      </c>
      <c r="Q494" s="12">
        <f>IF(OR($F494="",$G494=""),0,IF(AND($F494&lt;=DATE(README!$B$5,12,31),$G494&gt;=DATE(README!$B$5,1,1)),1,0))</f>
        <v/>
      </c>
      <c r="R494" s="10" t="inlineStr">
        <is>
          <t>GUP-VEH0022</t>
        </is>
      </c>
      <c r="S494" s="11" t="n">
        <v>45834</v>
      </c>
      <c r="T494" s="10" t="inlineStr">
        <is>
          <t>655</t>
        </is>
      </c>
      <c r="U494" s="10" t="inlineStr">
        <is>
          <t>VEHICLE</t>
        </is>
      </c>
      <c r="V494" s="10" t="inlineStr">
        <is>
          <t>T</t>
        </is>
      </c>
      <c r="W494" s="10" t="inlineStr">
        <is>
          <t>VIVEK B</t>
        </is>
      </c>
    </row>
    <row r="495">
      <c r="A495" s="10" t="inlineStr">
        <is>
          <t>TN57CC3636</t>
        </is>
      </c>
      <c r="B495" s="10" t="inlineStr">
        <is>
          <t>SOCKS</t>
        </is>
      </c>
      <c r="C495" s="10" t="inlineStr">
        <is>
          <t>VEHICLE INSURANCE</t>
        </is>
      </c>
      <c r="D495" s="10" t="inlineStr">
        <is>
          <t>VEHICLE INSURANCE</t>
        </is>
      </c>
      <c r="E495" s="10" t="inlineStr">
        <is>
          <t>YEARLY</t>
        </is>
      </c>
      <c r="F495" s="11" t="n">
        <v>45748</v>
      </c>
      <c r="G495" s="11" t="n">
        <v>46112</v>
      </c>
      <c r="H495" s="12">
        <f>IF(OR($F495="",$G495=""),"",$G495-$F495+1)</f>
        <v/>
      </c>
      <c r="I495" s="10">
        <f>IF($F495="","",IF(MONTH($F495)&gt;=4,YEAR($F495)&amp;"-"&amp;TEXT(YEAR($F495)+1-2000,"00"),YEAR($F495)-1&amp;"-"&amp;TEXT(YEAR($F495)-2000,"00")))</f>
        <v/>
      </c>
      <c r="J495" s="13" t="n">
        <v>66749</v>
      </c>
      <c r="K495" s="14">
        <f>IFERROR($L495/$J495,"")</f>
        <v/>
      </c>
      <c r="L495" s="13" t="n">
        <v>66749</v>
      </c>
      <c r="M495" s="13">
        <f>IFERROR($L495/$H495,"")</f>
        <v/>
      </c>
      <c r="N495" s="11" t="n">
        <v>45853</v>
      </c>
      <c r="O495" s="10">
        <f>IF($N495="","No","Yes")</f>
        <v/>
      </c>
      <c r="P495" s="12">
        <f>IF(OR($F495="",$G495=""),0,IF(AND($F495&lt;=README!$B$4,README!$B$4&lt;=$G495),1,0))</f>
        <v/>
      </c>
      <c r="Q495" s="12">
        <f>IF(OR($F495="",$G495=""),0,IF(AND($F495&lt;=DATE(README!$B$5,12,31),$G495&gt;=DATE(README!$B$5,1,1)),1,0))</f>
        <v/>
      </c>
      <c r="R495" s="10" t="inlineStr">
        <is>
          <t>GUP-VEH0020</t>
        </is>
      </c>
      <c r="S495" s="11" t="n">
        <v>45799</v>
      </c>
      <c r="T495" s="10" t="inlineStr">
        <is>
          <t>645</t>
        </is>
      </c>
      <c r="U495" s="10" t="inlineStr">
        <is>
          <t>VEHICLE</t>
        </is>
      </c>
      <c r="V495" s="10" t="inlineStr">
        <is>
          <t>T</t>
        </is>
      </c>
      <c r="W495" s="10" t="inlineStr">
        <is>
          <t>VIVEK B</t>
        </is>
      </c>
    </row>
    <row r="496">
      <c r="A496" s="10" t="inlineStr">
        <is>
          <t>TN57CC3636</t>
        </is>
      </c>
      <c r="B496" s="10" t="inlineStr">
        <is>
          <t>GENERAL</t>
        </is>
      </c>
      <c r="C496" s="10" t="inlineStr">
        <is>
          <t>VEHICLE OUTSIDE SERVICES</t>
        </is>
      </c>
      <c r="D496" s="10" t="inlineStr">
        <is>
          <t xml:space="preserve">MAINTENANCE SERVICE </t>
        </is>
      </c>
      <c r="E496" s="10" t="inlineStr">
        <is>
          <t>YEARLY</t>
        </is>
      </c>
      <c r="F496" s="11" t="n">
        <v>45748</v>
      </c>
      <c r="G496" s="11" t="n">
        <v>46112</v>
      </c>
      <c r="H496" s="12">
        <f>IF(OR($F496="",$G496=""),"",$G496-$F496+1)</f>
        <v/>
      </c>
      <c r="I496" s="10">
        <f>IF($F496="","",IF(MONTH($F496)&gt;=4,YEAR($F496)&amp;"-"&amp;TEXT(YEAR($F496)+1-2000,"00"),YEAR($F496)-1&amp;"-"&amp;TEXT(YEAR($F496)-2000,"00")))</f>
        <v/>
      </c>
      <c r="J496" s="13" t="n">
        <v>11580</v>
      </c>
      <c r="K496" s="14">
        <f>IFERROR($L496/$J496,"")</f>
        <v/>
      </c>
      <c r="L496" s="13" t="n">
        <v>11580</v>
      </c>
      <c r="M496" s="13">
        <f>IFERROR($L496/$H496,"")</f>
        <v/>
      </c>
      <c r="N496" s="11" t="n">
        <v>45850</v>
      </c>
      <c r="O496" s="10">
        <f>IF($N496="","No","Yes")</f>
        <v/>
      </c>
      <c r="P496" s="12">
        <f>IF(OR($F496="",$G496=""),0,IF(AND($F496&lt;=README!$B$4,README!$B$4&lt;=$G496),1,0))</f>
        <v/>
      </c>
      <c r="Q496" s="12">
        <f>IF(OR($F496="",$G496=""),0,IF(AND($F496&lt;=DATE(README!$B$5,12,31),$G496&gt;=DATE(README!$B$5,1,1)),1,0))</f>
        <v/>
      </c>
      <c r="R496" s="10" t="inlineStr">
        <is>
          <t>GUP-VEH0019</t>
        </is>
      </c>
      <c r="S496" s="11" t="n">
        <v>45777</v>
      </c>
      <c r="T496" s="10" t="inlineStr">
        <is>
          <t>638</t>
        </is>
      </c>
      <c r="U496" s="10" t="inlineStr">
        <is>
          <t>VEHICLE</t>
        </is>
      </c>
      <c r="V496" s="10" t="inlineStr">
        <is>
          <t>T</t>
        </is>
      </c>
      <c r="W496" s="10" t="inlineStr">
        <is>
          <t>VIVEK B</t>
        </is>
      </c>
    </row>
    <row r="497">
      <c r="A497" s="10" t="inlineStr">
        <is>
          <t>TN57CC3636</t>
        </is>
      </c>
      <c r="B497" s="10" t="inlineStr">
        <is>
          <t>SOCKS</t>
        </is>
      </c>
      <c r="C497" s="10" t="inlineStr">
        <is>
          <t>ROAD TAX</t>
        </is>
      </c>
      <c r="D497" s="10" t="inlineStr">
        <is>
          <t>ROAD TAX</t>
        </is>
      </c>
      <c r="E497" s="10" t="inlineStr">
        <is>
          <t>QUARTER - II</t>
        </is>
      </c>
      <c r="F497" s="11" t="n">
        <v>45839</v>
      </c>
      <c r="G497" s="11" t="n">
        <v>45930</v>
      </c>
      <c r="H497" s="12">
        <f>IF(OR($F497="",$G497=""),"",$G497-$F497+1)</f>
        <v/>
      </c>
      <c r="I497" s="10">
        <f>IF($F497="","",IF(MONTH($F497)&gt;=4,YEAR($F497)&amp;"-"&amp;TEXT(YEAR($F497)+1-2000,"00"),YEAR($F497)-1&amp;"-"&amp;TEXT(YEAR($F497)-2000,"00")))</f>
        <v/>
      </c>
      <c r="J497" s="13" t="n">
        <v>29694</v>
      </c>
      <c r="K497" s="14">
        <f>IFERROR($L497/$J497,"")</f>
        <v/>
      </c>
      <c r="L497" s="13" t="n">
        <v>29694</v>
      </c>
      <c r="M497" s="13">
        <f>IFERROR($L497/$H497,"")</f>
        <v/>
      </c>
      <c r="N497" s="11" t="n">
        <v>46030</v>
      </c>
      <c r="O497" s="10">
        <f>IF($N497="","No","Yes")</f>
        <v/>
      </c>
      <c r="P497" s="12">
        <f>IF(OR($F497="",$G497=""),0,IF(AND($F497&lt;=README!$B$4,README!$B$4&lt;=$G497),1,0))</f>
        <v/>
      </c>
      <c r="Q497" s="12">
        <f>IF(OR($F497="",$G497=""),0,IF(AND($F497&lt;=DATE(README!$B$5,12,31),$G497&gt;=DATE(README!$B$5,1,1)),1,0))</f>
        <v/>
      </c>
      <c r="R497" s="10" t="inlineStr">
        <is>
          <t>GUP-VEH0014</t>
        </is>
      </c>
      <c r="S497" s="11" t="n">
        <v>45748</v>
      </c>
      <c r="T497" s="10" t="inlineStr">
        <is>
          <t>609</t>
        </is>
      </c>
      <c r="U497" s="10" t="inlineStr">
        <is>
          <t>VEHICLE</t>
        </is>
      </c>
      <c r="V497" s="10" t="inlineStr">
        <is>
          <t>T</t>
        </is>
      </c>
      <c r="W497" s="10" t="inlineStr">
        <is>
          <t>VIVEK B</t>
        </is>
      </c>
    </row>
    <row r="498">
      <c r="A498" s="10" t="inlineStr">
        <is>
          <t>TN57CC3636</t>
        </is>
      </c>
      <c r="B498" s="10" t="inlineStr">
        <is>
          <t>SOCKS</t>
        </is>
      </c>
      <c r="C498" s="10" t="inlineStr">
        <is>
          <t>ROAD TAX</t>
        </is>
      </c>
      <c r="D498" s="10" t="inlineStr">
        <is>
          <t>ROAD TAX</t>
        </is>
      </c>
      <c r="E498" s="10" t="inlineStr">
        <is>
          <t>QUARTER - III</t>
        </is>
      </c>
      <c r="F498" s="11" t="n">
        <v>45931</v>
      </c>
      <c r="G498" s="11" t="n">
        <v>46022</v>
      </c>
      <c r="H498" s="12">
        <f>IF(OR($F498="",$G498=""),"",$G498-$F498+1)</f>
        <v/>
      </c>
      <c r="I498" s="10">
        <f>IF($F498="","",IF(MONTH($F498)&gt;=4,YEAR($F498)&amp;"-"&amp;TEXT(YEAR($F498)+1-2000,"00"),YEAR($F498)-1&amp;"-"&amp;TEXT(YEAR($F498)-2000,"00")))</f>
        <v/>
      </c>
      <c r="J498" s="13" t="n">
        <v>29704</v>
      </c>
      <c r="K498" s="14">
        <f>IFERROR($L498/$J498,"")</f>
        <v/>
      </c>
      <c r="L498" s="13" t="n">
        <v>29704</v>
      </c>
      <c r="M498" s="13">
        <f>IFERROR($L498/$H498,"")</f>
        <v/>
      </c>
      <c r="N498" s="11" t="n">
        <v>46030</v>
      </c>
      <c r="O498" s="10">
        <f>IF($N498="","No","Yes")</f>
        <v/>
      </c>
      <c r="P498" s="12">
        <f>IF(OR($F498="",$G498=""),0,IF(AND($F498&lt;=README!$B$4,README!$B$4&lt;=$G498),1,0))</f>
        <v/>
      </c>
      <c r="Q498" s="12">
        <f>IF(OR($F498="",$G498=""),0,IF(AND($F498&lt;=DATE(README!$B$5,12,31),$G498&gt;=DATE(README!$B$5,1,1)),1,0))</f>
        <v/>
      </c>
      <c r="R498" s="10" t="inlineStr">
        <is>
          <t>GUP-VEH0014</t>
        </is>
      </c>
      <c r="S498" s="11" t="n">
        <v>45748</v>
      </c>
      <c r="T498" s="10" t="inlineStr">
        <is>
          <t>609</t>
        </is>
      </c>
      <c r="U498" s="10" t="inlineStr">
        <is>
          <t>VEHICLE</t>
        </is>
      </c>
      <c r="V498" s="10" t="inlineStr">
        <is>
          <t>T</t>
        </is>
      </c>
      <c r="W498" s="10" t="inlineStr">
        <is>
          <t>VIVEK B</t>
        </is>
      </c>
    </row>
    <row r="499">
      <c r="A499" s="10" t="inlineStr">
        <is>
          <t>TN57CC3636</t>
        </is>
      </c>
      <c r="B499" s="10" t="inlineStr">
        <is>
          <t>SOCKS</t>
        </is>
      </c>
      <c r="C499" s="10" t="inlineStr">
        <is>
          <t>ROAD TAX</t>
        </is>
      </c>
      <c r="D499" s="10" t="inlineStr">
        <is>
          <t>ROAD TAX</t>
        </is>
      </c>
      <c r="E499" s="10" t="inlineStr">
        <is>
          <t>QUARTER - IV</t>
        </is>
      </c>
      <c r="F499" s="11" t="n">
        <v>46023</v>
      </c>
      <c r="G499" s="11" t="n">
        <v>46112</v>
      </c>
      <c r="H499" s="12">
        <f>IF(OR($F499="",$G499=""),"",$G499-$F499+1)</f>
        <v/>
      </c>
      <c r="I499" s="10">
        <f>IF($F499="","",IF(MONTH($F499)&gt;=4,YEAR($F499)&amp;"-"&amp;TEXT(YEAR($F499)+1-2000,"00"),YEAR($F499)-1&amp;"-"&amp;TEXT(YEAR($F499)-2000,"00")))</f>
        <v/>
      </c>
      <c r="J499" s="13" t="n">
        <v>29704</v>
      </c>
      <c r="K499" s="14">
        <f>IFERROR($L499/$J499,"")</f>
        <v/>
      </c>
      <c r="L499" s="13" t="n">
        <v>29704</v>
      </c>
      <c r="M499" s="13">
        <f>IFERROR($L499/$H499,"")</f>
        <v/>
      </c>
      <c r="N499" s="11" t="n">
        <v>46030</v>
      </c>
      <c r="O499" s="10">
        <f>IF($N499="","No","Yes")</f>
        <v/>
      </c>
      <c r="P499" s="12">
        <f>IF(OR($F499="",$G499=""),0,IF(AND($F499&lt;=README!$B$4,README!$B$4&lt;=$G499),1,0))</f>
        <v/>
      </c>
      <c r="Q499" s="12">
        <f>IF(OR($F499="",$G499=""),0,IF(AND($F499&lt;=DATE(README!$B$5,12,31),$G499&gt;=DATE(README!$B$5,1,1)),1,0))</f>
        <v/>
      </c>
      <c r="R499" s="10" t="inlineStr">
        <is>
          <t>GUP-VEH0014</t>
        </is>
      </c>
      <c r="S499" s="11" t="n">
        <v>45748</v>
      </c>
      <c r="T499" s="10" t="inlineStr">
        <is>
          <t>609</t>
        </is>
      </c>
      <c r="U499" s="10" t="inlineStr">
        <is>
          <t>VEHICLE</t>
        </is>
      </c>
      <c r="V499" s="10" t="inlineStr">
        <is>
          <t>T</t>
        </is>
      </c>
      <c r="W499" s="10" t="inlineStr">
        <is>
          <t>VIVEK B</t>
        </is>
      </c>
    </row>
    <row r="500">
      <c r="A500" s="10" t="inlineStr">
        <is>
          <t>TN57CC3636</t>
        </is>
      </c>
      <c r="B500" s="10" t="inlineStr">
        <is>
          <t>SOCKS</t>
        </is>
      </c>
      <c r="C500" s="10" t="inlineStr">
        <is>
          <t>ROAD TAX</t>
        </is>
      </c>
      <c r="D500" s="10" t="inlineStr">
        <is>
          <t>ROAD TAX</t>
        </is>
      </c>
      <c r="E500" s="10" t="inlineStr">
        <is>
          <t>QUARTER - I</t>
        </is>
      </c>
      <c r="F500" s="11" t="n">
        <v>46113</v>
      </c>
      <c r="G500" s="11" t="n">
        <v>46203</v>
      </c>
      <c r="H500" s="12">
        <f>IF(OR($F500="",$G500=""),"",$G500-$F500+1)</f>
        <v/>
      </c>
      <c r="I500" s="10">
        <f>IF($F500="","",IF(MONTH($F500)&gt;=4,YEAR($F500)&amp;"-"&amp;TEXT(YEAR($F500)+1-2000,"00"),YEAR($F500)-1&amp;"-"&amp;TEXT(YEAR($F500)-2000,"00")))</f>
        <v/>
      </c>
      <c r="J500" s="13" t="n">
        <v>29704</v>
      </c>
      <c r="K500" s="14">
        <f>IFERROR($L500/$J500,"")</f>
        <v/>
      </c>
      <c r="L500" s="13" t="n">
        <v>29704</v>
      </c>
      <c r="M500" s="13">
        <f>IFERROR($L500/$H500,"")</f>
        <v/>
      </c>
      <c r="N500" s="11" t="n">
        <v>46088</v>
      </c>
      <c r="O500" s="10">
        <f>IF($N500="","No","Yes")</f>
        <v/>
      </c>
      <c r="P500" s="12">
        <f>IF(OR($F500="",$G500=""),0,IF(AND($F500&lt;=README!$B$4,README!$B$4&lt;=$G500),1,0))</f>
        <v/>
      </c>
      <c r="Q500" s="12">
        <f>IF(OR($F500="",$G500=""),0,IF(AND($F500&lt;=DATE(README!$B$5,12,31),$G500&gt;=DATE(README!$B$5,1,1)),1,0))</f>
        <v/>
      </c>
      <c r="R500" s="10" t="inlineStr">
        <is>
          <t>GUP-VEH0030</t>
        </is>
      </c>
      <c r="S500" s="11" t="n">
        <v>46113</v>
      </c>
      <c r="T500" s="10" t="inlineStr">
        <is>
          <t>796</t>
        </is>
      </c>
      <c r="U500" s="10" t="inlineStr">
        <is>
          <t>VEHICLE</t>
        </is>
      </c>
      <c r="V500" s="10" t="inlineStr">
        <is>
          <t>T</t>
        </is>
      </c>
      <c r="W500" s="10" t="inlineStr">
        <is>
          <t>VIVEK B</t>
        </is>
      </c>
    </row>
    <row r="501">
      <c r="A501" s="10" t="inlineStr">
        <is>
          <t>TN57CC3636</t>
        </is>
      </c>
      <c r="B501" s="10" t="inlineStr">
        <is>
          <t>SOCKS</t>
        </is>
      </c>
      <c r="C501" s="10" t="inlineStr">
        <is>
          <t>VEHICLE INSURANCE</t>
        </is>
      </c>
      <c r="D501" s="10" t="inlineStr">
        <is>
          <t>VEHICLE INSURANCE</t>
        </is>
      </c>
      <c r="E501" s="10" t="inlineStr">
        <is>
          <t>YEARLY</t>
        </is>
      </c>
      <c r="F501" s="11" t="n">
        <v>46113</v>
      </c>
      <c r="G501" s="11" t="n">
        <v>46477</v>
      </c>
      <c r="H501" s="12">
        <f>IF(OR($F501="",$G501=""),"",$G501-$F501+1)</f>
        <v/>
      </c>
      <c r="I501" s="10">
        <f>IF($F501="","",IF(MONTH($F501)&gt;=4,YEAR($F501)&amp;"-"&amp;TEXT(YEAR($F501)+1-2000,"00"),YEAR($F501)-1&amp;"-"&amp;TEXT(YEAR($F501)-2000,"00")))</f>
        <v/>
      </c>
      <c r="J501" s="13" t="n">
        <v>66082</v>
      </c>
      <c r="K501" s="14">
        <f>IFERROR($L501/$J501,"")</f>
        <v/>
      </c>
      <c r="L501" s="13" t="n">
        <v>66082</v>
      </c>
      <c r="M501" s="13">
        <f>IFERROR($L501/$H501,"")</f>
        <v/>
      </c>
      <c r="N501" s="11" t="n">
        <v>46219</v>
      </c>
      <c r="O501" s="10">
        <f>IF($N501="","No","Yes")</f>
        <v/>
      </c>
      <c r="P501" s="12">
        <f>IF(OR($F501="",$G501=""),0,IF(AND($F501&lt;=README!$B$4,README!$B$4&lt;=$G501),1,0))</f>
        <v/>
      </c>
      <c r="Q501" s="12">
        <f>IF(OR($F501="",$G501=""),0,IF(AND($F501&lt;=DATE(README!$B$5,12,31),$G501&gt;=DATE(README!$B$5,1,1)),1,0))</f>
        <v/>
      </c>
      <c r="R501" s="10" t="inlineStr">
        <is>
          <t>GUP-VEH0038</t>
        </is>
      </c>
      <c r="S501" s="11" t="n">
        <v>46162</v>
      </c>
      <c r="T501" s="10" t="inlineStr">
        <is>
          <t>859</t>
        </is>
      </c>
      <c r="U501" s="10" t="inlineStr">
        <is>
          <t>VEHICLE</t>
        </is>
      </c>
      <c r="V501" s="10" t="inlineStr">
        <is>
          <t>T</t>
        </is>
      </c>
      <c r="W501" s="10" t="inlineStr">
        <is>
          <t>VIVEK B</t>
        </is>
      </c>
    </row>
    <row r="502">
      <c r="A502" s="10" t="inlineStr">
        <is>
          <t>TN57CC3636</t>
        </is>
      </c>
      <c r="B502" s="10" t="inlineStr">
        <is>
          <t>SOCKS</t>
        </is>
      </c>
      <c r="C502" s="10" t="inlineStr">
        <is>
          <t>VEHICLE OUTSIDE SERVICES</t>
        </is>
      </c>
      <c r="D502" s="10" t="inlineStr">
        <is>
          <t xml:space="preserve">MAINTENANCE SERVICE </t>
        </is>
      </c>
      <c r="E502" s="10" t="inlineStr">
        <is>
          <t>MAY</t>
        </is>
      </c>
      <c r="F502" s="11" t="n">
        <v>46143</v>
      </c>
      <c r="G502" s="11" t="n">
        <v>46173</v>
      </c>
      <c r="H502" s="12">
        <f>IF(OR($F502="",$G502=""),"",$G502-$F502+1)</f>
        <v/>
      </c>
      <c r="I502" s="10">
        <f>IF($F502="","",IF(MONTH($F502)&gt;=4,YEAR($F502)&amp;"-"&amp;TEXT(YEAR($F502)+1-2000,"00"),YEAR($F502)-1&amp;"-"&amp;TEXT(YEAR($F502)-2000,"00")))</f>
        <v/>
      </c>
      <c r="J502" s="13" t="n">
        <v>29520.62</v>
      </c>
      <c r="K502" s="14">
        <f>IFERROR($L502/$J502,"")</f>
        <v/>
      </c>
      <c r="L502" s="13" t="n">
        <v>29520.62</v>
      </c>
      <c r="M502" s="13">
        <f>IFERROR($L502/$H502,"")</f>
        <v/>
      </c>
      <c r="N502" s="11" t="n">
        <v>46176</v>
      </c>
      <c r="O502" s="10">
        <f>IF($N502="","No","Yes")</f>
        <v/>
      </c>
      <c r="P502" s="12">
        <f>IF(OR($F502="",$G502=""),0,IF(AND($F502&lt;=README!$B$4,README!$B$4&lt;=$G502),1,0))</f>
        <v/>
      </c>
      <c r="Q502" s="12">
        <f>IF(OR($F502="",$G502=""),0,IF(AND($F502&lt;=DATE(README!$B$5,12,31),$G502&gt;=DATE(README!$B$5,1,1)),1,0))</f>
        <v/>
      </c>
      <c r="R502" s="10" t="inlineStr">
        <is>
          <t>GUP-VEH0031</t>
        </is>
      </c>
      <c r="S502" s="11" t="n">
        <v>46114</v>
      </c>
      <c r="T502" s="10" t="inlineStr">
        <is>
          <t>810</t>
        </is>
      </c>
      <c r="U502" s="10" t="inlineStr">
        <is>
          <t>VEHICLE</t>
        </is>
      </c>
      <c r="V502" s="10" t="inlineStr">
        <is>
          <t>T</t>
        </is>
      </c>
      <c r="W502" s="10" t="inlineStr">
        <is>
          <t>VIVEK B</t>
        </is>
      </c>
    </row>
    <row r="503">
      <c r="A503" s="10" t="inlineStr">
        <is>
          <t>TN57CC3636</t>
        </is>
      </c>
      <c r="B503" s="10" t="inlineStr">
        <is>
          <t>SOCKS</t>
        </is>
      </c>
      <c r="C503" s="10" t="inlineStr">
        <is>
          <t>VEHICLE OUTSIDE SERVICES</t>
        </is>
      </c>
      <c r="D503" s="10" t="inlineStr">
        <is>
          <t>MAINTENANCE SERVICE - 2</t>
        </is>
      </c>
      <c r="E503" s="10" t="inlineStr">
        <is>
          <t>JUNE</t>
        </is>
      </c>
      <c r="F503" s="11" t="n">
        <v>46174</v>
      </c>
      <c r="G503" s="11" t="n">
        <v>46203</v>
      </c>
      <c r="H503" s="12">
        <f>IF(OR($F503="",$G503=""),"",$G503-$F503+1)</f>
        <v/>
      </c>
      <c r="I503" s="10">
        <f>IF($F503="","",IF(MONTH($F503)&gt;=4,YEAR($F503)&amp;"-"&amp;TEXT(YEAR($F503)+1-2000,"00"),YEAR($F503)-1&amp;"-"&amp;TEXT(YEAR($F503)-2000,"00")))</f>
        <v/>
      </c>
      <c r="J503" s="13" t="n">
        <v>7000</v>
      </c>
      <c r="K503" s="14">
        <f>IFERROR($L503/$J503,"")</f>
        <v/>
      </c>
      <c r="L503" s="13" t="n">
        <v>7000</v>
      </c>
      <c r="M503" s="13">
        <f>IFERROR($L503/$H503,"")</f>
        <v/>
      </c>
      <c r="N503" s="11" t="n">
        <v>46200</v>
      </c>
      <c r="O503" s="10">
        <f>IF($N503="","No","Yes")</f>
        <v/>
      </c>
      <c r="P503" s="12">
        <f>IF(OR($F503="",$G503=""),0,IF(AND($F503&lt;=README!$B$4,README!$B$4&lt;=$G503),1,0))</f>
        <v/>
      </c>
      <c r="Q503" s="12">
        <f>IF(OR($F503="",$G503=""),0,IF(AND($F503&lt;=DATE(README!$B$5,12,31),$G503&gt;=DATE(README!$B$5,1,1)),1,0))</f>
        <v/>
      </c>
      <c r="R503" s="10" t="inlineStr">
        <is>
          <t>GUP-VEH0031</t>
        </is>
      </c>
      <c r="S503" s="11" t="n">
        <v>46114</v>
      </c>
      <c r="T503" s="10" t="inlineStr">
        <is>
          <t>810</t>
        </is>
      </c>
      <c r="U503" s="10" t="inlineStr">
        <is>
          <t>VEHICLE</t>
        </is>
      </c>
      <c r="V503" s="10" t="inlineStr">
        <is>
          <t>T</t>
        </is>
      </c>
      <c r="W503" s="10" t="inlineStr">
        <is>
          <t>VIVEK B</t>
        </is>
      </c>
    </row>
    <row r="504">
      <c r="A504" s="10" t="inlineStr">
        <is>
          <t>TN57CC3636</t>
        </is>
      </c>
      <c r="B504" s="10" t="inlineStr">
        <is>
          <t>SOCKS</t>
        </is>
      </c>
      <c r="C504" s="10" t="inlineStr">
        <is>
          <t>ROAD TAX</t>
        </is>
      </c>
      <c r="D504" s="10" t="inlineStr">
        <is>
          <t>ROAD TAX</t>
        </is>
      </c>
      <c r="E504" s="10" t="inlineStr">
        <is>
          <t>QUARTER - II</t>
        </is>
      </c>
      <c r="F504" s="11" t="n">
        <v>46204</v>
      </c>
      <c r="G504" s="11" t="n">
        <v>46295</v>
      </c>
      <c r="H504" s="12">
        <f>IF(OR($F504="",$G504=""),"",$G504-$F504+1)</f>
        <v/>
      </c>
      <c r="I504" s="10">
        <f>IF($F504="","",IF(MONTH($F504)&gt;=4,YEAR($F504)&amp;"-"&amp;TEXT(YEAR($F504)+1-2000,"00"),YEAR($F504)-1&amp;"-"&amp;TEXT(YEAR($F504)-2000,"00")))</f>
        <v/>
      </c>
      <c r="J504" s="13" t="n">
        <v>29704</v>
      </c>
      <c r="K504" s="14">
        <f>IFERROR($L504/$J504,"")</f>
        <v/>
      </c>
      <c r="L504" s="13" t="n">
        <v>29704</v>
      </c>
      <c r="M504" s="13">
        <f>IFERROR($L504/$H504,"")</f>
        <v/>
      </c>
      <c r="N504" s="11" t="n">
        <v>46196</v>
      </c>
      <c r="O504" s="10">
        <f>IF($N504="","No","Yes")</f>
        <v/>
      </c>
      <c r="P504" s="12">
        <f>IF(OR($F504="",$G504=""),0,IF(AND($F504&lt;=README!$B$4,README!$B$4&lt;=$G504),1,0))</f>
        <v/>
      </c>
      <c r="Q504" s="12">
        <f>IF(OR($F504="",$G504=""),0,IF(AND($F504&lt;=DATE(README!$B$5,12,31),$G504&gt;=DATE(README!$B$5,1,1)),1,0))</f>
        <v/>
      </c>
      <c r="R504" s="10" t="inlineStr">
        <is>
          <t>GUP-VEH0030</t>
        </is>
      </c>
      <c r="S504" s="11" t="n">
        <v>46113</v>
      </c>
      <c r="T504" s="10" t="inlineStr">
        <is>
          <t>796</t>
        </is>
      </c>
      <c r="U504" s="10" t="inlineStr">
        <is>
          <t>VEHICLE</t>
        </is>
      </c>
      <c r="V504" s="10" t="inlineStr">
        <is>
          <t>T</t>
        </is>
      </c>
      <c r="W504" s="10" t="inlineStr">
        <is>
          <t>VIVEK B</t>
        </is>
      </c>
    </row>
    <row r="505">
      <c r="A505" s="10" t="inlineStr">
        <is>
          <t>TN57CD3434</t>
        </is>
      </c>
      <c r="B505" s="10" t="inlineStr">
        <is>
          <t>WOVEN</t>
        </is>
      </c>
      <c r="C505" s="10" t="inlineStr">
        <is>
          <t>ADBLU</t>
        </is>
      </c>
      <c r="D505" s="10" t="inlineStr">
        <is>
          <t>ADBLU</t>
        </is>
      </c>
      <c r="E505" s="10" t="inlineStr">
        <is>
          <t>YEARLY</t>
        </is>
      </c>
      <c r="F505" s="11" t="n">
        <v>45383</v>
      </c>
      <c r="G505" s="11" t="n">
        <v>45747</v>
      </c>
      <c r="H505" s="12">
        <f>IF(OR($F505="",$G505=""),"",$G505-$F505+1)</f>
        <v/>
      </c>
      <c r="I505" s="10">
        <f>IF($F505="","",IF(MONTH($F505)&gt;=4,YEAR($F505)&amp;"-"&amp;TEXT(YEAR($F505)+1-2000,"00"),YEAR($F505)-1&amp;"-"&amp;TEXT(YEAR($F505)-2000,"00")))</f>
        <v/>
      </c>
      <c r="J505" s="13" t="n">
        <v>61</v>
      </c>
      <c r="K505" s="14">
        <f>IFERROR($L505/$J505,"")</f>
        <v/>
      </c>
      <c r="L505" s="13" t="n">
        <v>2135</v>
      </c>
      <c r="M505" s="13">
        <f>IFERROR($L505/$H505,"")</f>
        <v/>
      </c>
      <c r="N505" s="11" t="n">
        <v>45623</v>
      </c>
      <c r="O505" s="10">
        <f>IF($N505="","No","Yes")</f>
        <v/>
      </c>
      <c r="P505" s="12">
        <f>IF(OR($F505="",$G505=""),0,IF(AND($F505&lt;=README!$B$4,README!$B$4&lt;=$G505),1,0))</f>
        <v/>
      </c>
      <c r="Q505" s="12">
        <f>IF(OR($F505="",$G505=""),0,IF(AND($F505&lt;=DATE(README!$B$5,12,31),$G505&gt;=DATE(README!$B$5,1,1)),1,0))</f>
        <v/>
      </c>
      <c r="R505" s="10" t="inlineStr">
        <is>
          <t>GUT-VEH0008</t>
        </is>
      </c>
      <c r="S505" s="11" t="n">
        <v>45475</v>
      </c>
      <c r="T505" s="10" t="inlineStr">
        <is>
          <t>3</t>
        </is>
      </c>
      <c r="U505" s="10" t="inlineStr">
        <is>
          <t>VEHICLE</t>
        </is>
      </c>
      <c r="V505" s="10" t="inlineStr">
        <is>
          <t>T</t>
        </is>
      </c>
      <c r="W505" s="10" t="inlineStr">
        <is>
          <t>VIVEK B</t>
        </is>
      </c>
    </row>
    <row r="506">
      <c r="A506" s="10" t="inlineStr">
        <is>
          <t>TN57CD3434</t>
        </is>
      </c>
      <c r="B506" s="10" t="inlineStr">
        <is>
          <t>WOVEN</t>
        </is>
      </c>
      <c r="C506" s="10" t="inlineStr">
        <is>
          <t>ADBLU</t>
        </is>
      </c>
      <c r="D506" s="10" t="inlineStr">
        <is>
          <t>ADBLU</t>
        </is>
      </c>
      <c r="E506" s="10" t="inlineStr">
        <is>
          <t>YEARLY</t>
        </is>
      </c>
      <c r="F506" s="11" t="n">
        <v>45383</v>
      </c>
      <c r="G506" s="11" t="n">
        <v>45747</v>
      </c>
      <c r="H506" s="12">
        <f>IF(OR($F506="",$G506=""),"",$G506-$F506+1)</f>
        <v/>
      </c>
      <c r="I506" s="10">
        <f>IF($F506="","",IF(MONTH($F506)&gt;=4,YEAR($F506)&amp;"-"&amp;TEXT(YEAR($F506)+1-2000,"00"),YEAR($F506)-1&amp;"-"&amp;TEXT(YEAR($F506)-2000,"00")))</f>
        <v/>
      </c>
      <c r="J506" s="13" t="n">
        <v>61</v>
      </c>
      <c r="K506" s="14">
        <f>IFERROR($L506/$J506,"")</f>
        <v/>
      </c>
      <c r="L506" s="13" t="n">
        <v>1830</v>
      </c>
      <c r="M506" s="13">
        <f>IFERROR($L506/$H506,"")</f>
        <v/>
      </c>
      <c r="N506" s="11" t="n">
        <v>45602</v>
      </c>
      <c r="O506" s="10">
        <f>IF($N506="","No","Yes")</f>
        <v/>
      </c>
      <c r="P506" s="12">
        <f>IF(OR($F506="",$G506=""),0,IF(AND($F506&lt;=README!$B$4,README!$B$4&lt;=$G506),1,0))</f>
        <v/>
      </c>
      <c r="Q506" s="12">
        <f>IF(OR($F506="",$G506=""),0,IF(AND($F506&lt;=DATE(README!$B$5,12,31),$G506&gt;=DATE(README!$B$5,1,1)),1,0))</f>
        <v/>
      </c>
      <c r="R506" s="10" t="inlineStr">
        <is>
          <t>GUT-VEH0008</t>
        </is>
      </c>
      <c r="S506" s="11" t="n">
        <v>45475</v>
      </c>
      <c r="T506" s="10" t="inlineStr">
        <is>
          <t>3</t>
        </is>
      </c>
      <c r="U506" s="10" t="inlineStr">
        <is>
          <t>VEHICLE</t>
        </is>
      </c>
      <c r="V506" s="10" t="inlineStr">
        <is>
          <t>T</t>
        </is>
      </c>
      <c r="W506" s="10" t="inlineStr">
        <is>
          <t>VIVEK B</t>
        </is>
      </c>
    </row>
    <row r="507">
      <c r="A507" s="10" t="inlineStr">
        <is>
          <t>TN57CD3434</t>
        </is>
      </c>
      <c r="B507" s="10" t="inlineStr">
        <is>
          <t>WOVEN</t>
        </is>
      </c>
      <c r="C507" s="10" t="inlineStr">
        <is>
          <t>ADBLU</t>
        </is>
      </c>
      <c r="D507" s="10" t="inlineStr">
        <is>
          <t>ADBLU</t>
        </is>
      </c>
      <c r="E507" s="10" t="inlineStr">
        <is>
          <t>YEARLY</t>
        </is>
      </c>
      <c r="F507" s="11" t="n">
        <v>45383</v>
      </c>
      <c r="G507" s="11" t="n">
        <v>45747</v>
      </c>
      <c r="H507" s="12">
        <f>IF(OR($F507="",$G507=""),"",$G507-$F507+1)</f>
        <v/>
      </c>
      <c r="I507" s="10">
        <f>IF($F507="","",IF(MONTH($F507)&gt;=4,YEAR($F507)&amp;"-"&amp;TEXT(YEAR($F507)+1-2000,"00"),YEAR($F507)-1&amp;"-"&amp;TEXT(YEAR($F507)-2000,"00")))</f>
        <v/>
      </c>
      <c r="J507" s="13" t="n">
        <v>61</v>
      </c>
      <c r="K507" s="14">
        <f>IFERROR($L507/$J507,"")</f>
        <v/>
      </c>
      <c r="L507" s="13" t="n">
        <v>1647</v>
      </c>
      <c r="M507" s="13">
        <f>IFERROR($L507/$H507,"")</f>
        <v/>
      </c>
      <c r="N507" s="11" t="n">
        <v>45479</v>
      </c>
      <c r="O507" s="10">
        <f>IF($N507="","No","Yes")</f>
        <v/>
      </c>
      <c r="P507" s="12">
        <f>IF(OR($F507="",$G507=""),0,IF(AND($F507&lt;=README!$B$4,README!$B$4&lt;=$G507),1,0))</f>
        <v/>
      </c>
      <c r="Q507" s="12">
        <f>IF(OR($F507="",$G507=""),0,IF(AND($F507&lt;=DATE(README!$B$5,12,31),$G507&gt;=DATE(README!$B$5,1,1)),1,0))</f>
        <v/>
      </c>
      <c r="R507" s="10" t="inlineStr">
        <is>
          <t>GUT-VEH0008</t>
        </is>
      </c>
      <c r="S507" s="11" t="n">
        <v>45475</v>
      </c>
      <c r="T507" s="10" t="inlineStr">
        <is>
          <t>3</t>
        </is>
      </c>
      <c r="U507" s="10" t="inlineStr">
        <is>
          <t>VEHICLE</t>
        </is>
      </c>
      <c r="V507" s="10" t="inlineStr">
        <is>
          <t>T</t>
        </is>
      </c>
      <c r="W507" s="10" t="inlineStr">
        <is>
          <t>VIVEK B</t>
        </is>
      </c>
    </row>
    <row r="508">
      <c r="A508" s="10" t="inlineStr">
        <is>
          <t>TN57CD3434</t>
        </is>
      </c>
      <c r="B508" s="10" t="inlineStr">
        <is>
          <t>WOVEN</t>
        </is>
      </c>
      <c r="C508" s="10" t="inlineStr">
        <is>
          <t>ADBLU</t>
        </is>
      </c>
      <c r="D508" s="10" t="inlineStr">
        <is>
          <t>ADBLU</t>
        </is>
      </c>
      <c r="E508" s="10" t="inlineStr">
        <is>
          <t>YEARLY</t>
        </is>
      </c>
      <c r="F508" s="11" t="n">
        <v>45383</v>
      </c>
      <c r="G508" s="11" t="n">
        <v>45747</v>
      </c>
      <c r="H508" s="12">
        <f>IF(OR($F508="",$G508=""),"",$G508-$F508+1)</f>
        <v/>
      </c>
      <c r="I508" s="10">
        <f>IF($F508="","",IF(MONTH($F508)&gt;=4,YEAR($F508)&amp;"-"&amp;TEXT(YEAR($F508)+1-2000,"00"),YEAR($F508)-1&amp;"-"&amp;TEXT(YEAR($F508)-2000,"00")))</f>
        <v/>
      </c>
      <c r="J508" s="13" t="n">
        <v>61</v>
      </c>
      <c r="K508" s="14">
        <f>IFERROR($L508/$J508,"")</f>
        <v/>
      </c>
      <c r="L508" s="13" t="n">
        <v>2135</v>
      </c>
      <c r="M508" s="13">
        <f>IFERROR($L508/$H508,"")</f>
        <v/>
      </c>
      <c r="N508" s="11" t="n">
        <v>45700</v>
      </c>
      <c r="O508" s="10">
        <f>IF($N508="","No","Yes")</f>
        <v/>
      </c>
      <c r="P508" s="12">
        <f>IF(OR($F508="",$G508=""),0,IF(AND($F508&lt;=README!$B$4,README!$B$4&lt;=$G508),1,0))</f>
        <v/>
      </c>
      <c r="Q508" s="12">
        <f>IF(OR($F508="",$G508=""),0,IF(AND($F508&lt;=DATE(README!$B$5,12,31),$G508&gt;=DATE(README!$B$5,1,1)),1,0))</f>
        <v/>
      </c>
      <c r="R508" s="10" t="inlineStr">
        <is>
          <t>GUT-VEH0008</t>
        </is>
      </c>
      <c r="S508" s="11" t="n">
        <v>45475</v>
      </c>
      <c r="T508" s="10" t="inlineStr">
        <is>
          <t>3</t>
        </is>
      </c>
      <c r="U508" s="10" t="inlineStr">
        <is>
          <t>VEHICLE</t>
        </is>
      </c>
      <c r="V508" s="10" t="inlineStr">
        <is>
          <t>T</t>
        </is>
      </c>
      <c r="W508" s="10" t="inlineStr">
        <is>
          <t>VIVEK B</t>
        </is>
      </c>
    </row>
    <row r="509">
      <c r="A509" s="10" t="inlineStr">
        <is>
          <t>TN57CD3434</t>
        </is>
      </c>
      <c r="B509" s="10" t="inlineStr">
        <is>
          <t>WOVEN</t>
        </is>
      </c>
      <c r="C509" s="10" t="inlineStr">
        <is>
          <t>ADBLU</t>
        </is>
      </c>
      <c r="D509" s="10" t="inlineStr">
        <is>
          <t>ADBLU</t>
        </is>
      </c>
      <c r="E509" s="10" t="inlineStr">
        <is>
          <t>YEARLY</t>
        </is>
      </c>
      <c r="F509" s="11" t="n">
        <v>45383</v>
      </c>
      <c r="G509" s="11" t="n">
        <v>45747</v>
      </c>
      <c r="H509" s="12">
        <f>IF(OR($F509="",$G509=""),"",$G509-$F509+1)</f>
        <v/>
      </c>
      <c r="I509" s="10">
        <f>IF($F509="","",IF(MONTH($F509)&gt;=4,YEAR($F509)&amp;"-"&amp;TEXT(YEAR($F509)+1-2000,"00"),YEAR($F509)-1&amp;"-"&amp;TEXT(YEAR($F509)-2000,"00")))</f>
        <v/>
      </c>
      <c r="J509" s="13" t="n">
        <v>61</v>
      </c>
      <c r="K509" s="14">
        <f>IFERROR($L509/$J509,"")</f>
        <v/>
      </c>
      <c r="L509" s="13" t="n">
        <v>2135</v>
      </c>
      <c r="M509" s="13">
        <f>IFERROR($L509/$H509,"")</f>
        <v/>
      </c>
      <c r="N509" s="11" t="n">
        <v>45700</v>
      </c>
      <c r="O509" s="10">
        <f>IF($N509="","No","Yes")</f>
        <v/>
      </c>
      <c r="P509" s="12">
        <f>IF(OR($F509="",$G509=""),0,IF(AND($F509&lt;=README!$B$4,README!$B$4&lt;=$G509),1,0))</f>
        <v/>
      </c>
      <c r="Q509" s="12">
        <f>IF(OR($F509="",$G509=""),0,IF(AND($F509&lt;=DATE(README!$B$5,12,31),$G509&gt;=DATE(README!$B$5,1,1)),1,0))</f>
        <v/>
      </c>
      <c r="R509" s="10" t="inlineStr">
        <is>
          <t>GUT-VEH0008</t>
        </is>
      </c>
      <c r="S509" s="11" t="n">
        <v>45475</v>
      </c>
      <c r="T509" s="10" t="inlineStr">
        <is>
          <t>3</t>
        </is>
      </c>
      <c r="U509" s="10" t="inlineStr">
        <is>
          <t>VEHICLE</t>
        </is>
      </c>
      <c r="V509" s="10" t="inlineStr">
        <is>
          <t>T</t>
        </is>
      </c>
      <c r="W509" s="10" t="inlineStr">
        <is>
          <t>VIVEK B</t>
        </is>
      </c>
    </row>
    <row r="510">
      <c r="A510" s="10" t="inlineStr">
        <is>
          <t>TN57CD3434</t>
        </is>
      </c>
      <c r="B510" s="10" t="inlineStr">
        <is>
          <t>WOVEN</t>
        </is>
      </c>
      <c r="C510" s="10" t="inlineStr">
        <is>
          <t>ROAD TAX</t>
        </is>
      </c>
      <c r="D510" s="10" t="inlineStr">
        <is>
          <t>ROAD TAX</t>
        </is>
      </c>
      <c r="E510" s="10" t="inlineStr">
        <is>
          <t>YEARLY</t>
        </is>
      </c>
      <c r="F510" s="11" t="n">
        <v>45383</v>
      </c>
      <c r="G510" s="11" t="n">
        <v>45747</v>
      </c>
      <c r="H510" s="12">
        <f>IF(OR($F510="",$G510=""),"",$G510-$F510+1)</f>
        <v/>
      </c>
      <c r="I510" s="10">
        <f>IF($F510="","",IF(MONTH($F510)&gt;=4,YEAR($F510)&amp;"-"&amp;TEXT(YEAR($F510)+1-2000,"00"),YEAR($F510)-1&amp;"-"&amp;TEXT(YEAR($F510)-2000,"00")))</f>
        <v/>
      </c>
      <c r="J510" s="13" t="n">
        <v>32734</v>
      </c>
      <c r="K510" s="14">
        <f>IFERROR($L510/$J510,"")</f>
        <v/>
      </c>
      <c r="L510" s="13" t="n">
        <v>32734</v>
      </c>
      <c r="M510" s="13">
        <f>IFERROR($L510/$H510,"")</f>
        <v/>
      </c>
      <c r="N510" s="11" t="n">
        <v>45910</v>
      </c>
      <c r="O510" s="10">
        <f>IF($N510="","No","Yes")</f>
        <v/>
      </c>
      <c r="P510" s="12">
        <f>IF(OR($F510="",$G510=""),0,IF(AND($F510&lt;=README!$B$4,README!$B$4&lt;=$G510),1,0))</f>
        <v/>
      </c>
      <c r="Q510" s="12">
        <f>IF(OR($F510="",$G510=""),0,IF(AND($F510&lt;=DATE(README!$B$5,12,31),$G510&gt;=DATE(README!$B$5,1,1)),1,0))</f>
        <v/>
      </c>
      <c r="R510" s="10" t="inlineStr">
        <is>
          <t>GUT-VEH0016</t>
        </is>
      </c>
      <c r="S510" s="11" t="n">
        <v>46023</v>
      </c>
      <c r="T510" s="10" t="inlineStr">
        <is>
          <t>5</t>
        </is>
      </c>
      <c r="U510" s="10" t="inlineStr">
        <is>
          <t>VEHICLE</t>
        </is>
      </c>
      <c r="V510" s="10" t="inlineStr">
        <is>
          <t>T</t>
        </is>
      </c>
      <c r="W510" s="10" t="inlineStr">
        <is>
          <t>VIVEK B</t>
        </is>
      </c>
    </row>
    <row r="511">
      <c r="A511" s="10" t="inlineStr">
        <is>
          <t>TN57CD3434</t>
        </is>
      </c>
      <c r="B511" s="10" t="inlineStr">
        <is>
          <t>WOVEN</t>
        </is>
      </c>
      <c r="C511" s="10" t="inlineStr">
        <is>
          <t>ROAD TAX</t>
        </is>
      </c>
      <c r="D511" s="10" t="inlineStr">
        <is>
          <t>ROAD TAX</t>
        </is>
      </c>
      <c r="E511" s="10" t="inlineStr">
        <is>
          <t>YEARLY</t>
        </is>
      </c>
      <c r="F511" s="11" t="n">
        <v>45383</v>
      </c>
      <c r="G511" s="11" t="n">
        <v>45747</v>
      </c>
      <c r="H511" s="12">
        <f>IF(OR($F511="",$G511=""),"",$G511-$F511+1)</f>
        <v/>
      </c>
      <c r="I511" s="10">
        <f>IF($F511="","",IF(MONTH($F511)&gt;=4,YEAR($F511)&amp;"-"&amp;TEXT(YEAR($F511)+1-2000,"00"),YEAR($F511)-1&amp;"-"&amp;TEXT(YEAR($F511)-2000,"00")))</f>
        <v/>
      </c>
      <c r="J511" s="13" t="n">
        <v>32724</v>
      </c>
      <c r="K511" s="14">
        <f>IFERROR($L511/$J511,"")</f>
        <v/>
      </c>
      <c r="L511" s="13" t="n">
        <v>32724</v>
      </c>
      <c r="M511" s="13">
        <f>IFERROR($L511/$H511,"")</f>
        <v/>
      </c>
      <c r="N511" s="11" t="n">
        <v>45840</v>
      </c>
      <c r="O511" s="10">
        <f>IF($N511="","No","Yes")</f>
        <v/>
      </c>
      <c r="P511" s="12">
        <f>IF(OR($F511="",$G511=""),0,IF(AND($F511&lt;=README!$B$4,README!$B$4&lt;=$G511),1,0))</f>
        <v/>
      </c>
      <c r="Q511" s="12">
        <f>IF(OR($F511="",$G511=""),0,IF(AND($F511&lt;=DATE(README!$B$5,12,31),$G511&gt;=DATE(README!$B$5,1,1)),1,0))</f>
        <v/>
      </c>
      <c r="R511" s="10" t="inlineStr">
        <is>
          <t>GUT-VEH0016</t>
        </is>
      </c>
      <c r="S511" s="11" t="n">
        <v>46023</v>
      </c>
      <c r="T511" s="10" t="inlineStr">
        <is>
          <t>5</t>
        </is>
      </c>
      <c r="U511" s="10" t="inlineStr">
        <is>
          <t>VEHICLE</t>
        </is>
      </c>
      <c r="V511" s="10" t="inlineStr">
        <is>
          <t>T</t>
        </is>
      </c>
      <c r="W511" s="10" t="inlineStr">
        <is>
          <t>VIVEK B</t>
        </is>
      </c>
    </row>
    <row r="512">
      <c r="A512" s="10" t="inlineStr">
        <is>
          <t>TN57CD3434</t>
        </is>
      </c>
      <c r="B512" s="10" t="inlineStr">
        <is>
          <t>WOVEN</t>
        </is>
      </c>
      <c r="C512" s="10" t="inlineStr">
        <is>
          <t>ROAD TAX</t>
        </is>
      </c>
      <c r="D512" s="10" t="inlineStr">
        <is>
          <t>ROAD TAX</t>
        </is>
      </c>
      <c r="E512" s="10" t="inlineStr">
        <is>
          <t>YEARLY</t>
        </is>
      </c>
      <c r="F512" s="11" t="n">
        <v>45383</v>
      </c>
      <c r="G512" s="11" t="n">
        <v>45747</v>
      </c>
      <c r="H512" s="12">
        <f>IF(OR($F512="",$G512=""),"",$G512-$F512+1)</f>
        <v/>
      </c>
      <c r="I512" s="10">
        <f>IF($F512="","",IF(MONTH($F512)&gt;=4,YEAR($F512)&amp;"-"&amp;TEXT(YEAR($F512)+1-2000,"00"),YEAR($F512)-1&amp;"-"&amp;TEXT(YEAR($F512)-2000,"00")))</f>
        <v/>
      </c>
      <c r="J512" s="13" t="n">
        <v>32724</v>
      </c>
      <c r="K512" s="14">
        <f>IFERROR($L512/$J512,"")</f>
        <v/>
      </c>
      <c r="L512" s="13" t="n">
        <v>32724</v>
      </c>
      <c r="M512" s="13">
        <f>IFERROR($L512/$H512,"")</f>
        <v/>
      </c>
      <c r="N512" s="11" t="n">
        <v>45727</v>
      </c>
      <c r="O512" s="10">
        <f>IF($N512="","No","Yes")</f>
        <v/>
      </c>
      <c r="P512" s="12">
        <f>IF(OR($F512="",$G512=""),0,IF(AND($F512&lt;=README!$B$4,README!$B$4&lt;=$G512),1,0))</f>
        <v/>
      </c>
      <c r="Q512" s="12">
        <f>IF(OR($F512="",$G512=""),0,IF(AND($F512&lt;=DATE(README!$B$5,12,31),$G512&gt;=DATE(README!$B$5,1,1)),1,0))</f>
        <v/>
      </c>
      <c r="R512" s="10" t="inlineStr">
        <is>
          <t>GUT-VEH0016</t>
        </is>
      </c>
      <c r="S512" s="11" t="n">
        <v>46023</v>
      </c>
      <c r="T512" s="10" t="inlineStr">
        <is>
          <t>5</t>
        </is>
      </c>
      <c r="U512" s="10" t="inlineStr">
        <is>
          <t>VEHICLE</t>
        </is>
      </c>
      <c r="V512" s="10" t="inlineStr">
        <is>
          <t>T</t>
        </is>
      </c>
      <c r="W512" s="10" t="inlineStr">
        <is>
          <t>VIVEK B</t>
        </is>
      </c>
    </row>
    <row r="513">
      <c r="A513" s="10" t="inlineStr">
        <is>
          <t>TN57CD3434</t>
        </is>
      </c>
      <c r="B513" s="10" t="inlineStr">
        <is>
          <t>WOVEN</t>
        </is>
      </c>
      <c r="C513" s="10" t="inlineStr">
        <is>
          <t>ROAD TAX</t>
        </is>
      </c>
      <c r="D513" s="10" t="inlineStr">
        <is>
          <t>ROAD TAX</t>
        </is>
      </c>
      <c r="E513" s="10" t="inlineStr">
        <is>
          <t>YEARLY</t>
        </is>
      </c>
      <c r="F513" s="11" t="n">
        <v>45383</v>
      </c>
      <c r="G513" s="11" t="n">
        <v>45747</v>
      </c>
      <c r="H513" s="12">
        <f>IF(OR($F513="",$G513=""),"",$G513-$F513+1)</f>
        <v/>
      </c>
      <c r="I513" s="10">
        <f>IF($F513="","",IF(MONTH($F513)&gt;=4,YEAR($F513)&amp;"-"&amp;TEXT(YEAR($F513)+1-2000,"00"),YEAR($F513)-1&amp;"-"&amp;TEXT(YEAR($F513)-2000,"00")))</f>
        <v/>
      </c>
      <c r="J513" s="13" t="n">
        <v>32724</v>
      </c>
      <c r="K513" s="14">
        <f>IFERROR($L513/$J513,"")</f>
        <v/>
      </c>
      <c r="L513" s="13" t="n">
        <v>32724</v>
      </c>
      <c r="M513" s="13">
        <f>IFERROR($L513/$H513,"")</f>
        <v/>
      </c>
      <c r="N513" s="11" t="n">
        <v>45481</v>
      </c>
      <c r="O513" s="10">
        <f>IF($N513="","No","Yes")</f>
        <v/>
      </c>
      <c r="P513" s="12">
        <f>IF(OR($F513="",$G513=""),0,IF(AND($F513&lt;=README!$B$4,README!$B$4&lt;=$G513),1,0))</f>
        <v/>
      </c>
      <c r="Q513" s="12">
        <f>IF(OR($F513="",$G513=""),0,IF(AND($F513&lt;=DATE(README!$B$5,12,31),$G513&gt;=DATE(README!$B$5,1,1)),1,0))</f>
        <v/>
      </c>
      <c r="R513" s="10" t="inlineStr">
        <is>
          <t>GUT-VEH0011</t>
        </is>
      </c>
      <c r="S513" s="11" t="n">
        <v>45475</v>
      </c>
      <c r="T513" s="10" t="inlineStr">
        <is>
          <t>3</t>
        </is>
      </c>
      <c r="U513" s="10" t="inlineStr">
        <is>
          <t>VEHICLE</t>
        </is>
      </c>
      <c r="V513" s="10" t="inlineStr">
        <is>
          <t>T</t>
        </is>
      </c>
      <c r="W513" s="10" t="inlineStr">
        <is>
          <t>VIVEK B</t>
        </is>
      </c>
    </row>
    <row r="514">
      <c r="A514" s="10" t="inlineStr">
        <is>
          <t>TN57CD3434</t>
        </is>
      </c>
      <c r="B514" s="10" t="inlineStr">
        <is>
          <t>WOVEN</t>
        </is>
      </c>
      <c r="C514" s="10" t="inlineStr">
        <is>
          <t>ROAD TAX</t>
        </is>
      </c>
      <c r="D514" s="10" t="inlineStr">
        <is>
          <t>ROAD TAX</t>
        </is>
      </c>
      <c r="E514" s="10" t="inlineStr">
        <is>
          <t>YEARLY</t>
        </is>
      </c>
      <c r="F514" s="11" t="n">
        <v>45383</v>
      </c>
      <c r="G514" s="11" t="n">
        <v>45747</v>
      </c>
      <c r="H514" s="12">
        <f>IF(OR($F514="",$G514=""),"",$G514-$F514+1)</f>
        <v/>
      </c>
      <c r="I514" s="10">
        <f>IF($F514="","",IF(MONTH($F514)&gt;=4,YEAR($F514)&amp;"-"&amp;TEXT(YEAR($F514)+1-2000,"00"),YEAR($F514)-1&amp;"-"&amp;TEXT(YEAR($F514)-2000,"00")))</f>
        <v/>
      </c>
      <c r="J514" s="13" t="n">
        <v>32724</v>
      </c>
      <c r="K514" s="14">
        <f>IFERROR($L514/$J514,"")</f>
        <v/>
      </c>
      <c r="L514" s="13" t="n">
        <v>32724</v>
      </c>
      <c r="M514" s="13">
        <f>IFERROR($L514/$H514,"")</f>
        <v/>
      </c>
      <c r="N514" s="11" t="n">
        <v>45569</v>
      </c>
      <c r="O514" s="10">
        <f>IF($N514="","No","Yes")</f>
        <v/>
      </c>
      <c r="P514" s="12">
        <f>IF(OR($F514="",$G514=""),0,IF(AND($F514&lt;=README!$B$4,README!$B$4&lt;=$G514),1,0))</f>
        <v/>
      </c>
      <c r="Q514" s="12">
        <f>IF(OR($F514="",$G514=""),0,IF(AND($F514&lt;=DATE(README!$B$5,12,31),$G514&gt;=DATE(README!$B$5,1,1)),1,0))</f>
        <v/>
      </c>
      <c r="R514" s="10" t="inlineStr">
        <is>
          <t>GUT-VEH0011</t>
        </is>
      </c>
      <c r="S514" s="11" t="n">
        <v>45475</v>
      </c>
      <c r="T514" s="10" t="inlineStr">
        <is>
          <t>3</t>
        </is>
      </c>
      <c r="U514" s="10" t="inlineStr">
        <is>
          <t>VEHICLE</t>
        </is>
      </c>
      <c r="V514" s="10" t="inlineStr">
        <is>
          <t>T</t>
        </is>
      </c>
      <c r="W514" s="10" t="inlineStr">
        <is>
          <t>VIVEK B</t>
        </is>
      </c>
    </row>
    <row r="515">
      <c r="A515" s="10" t="inlineStr">
        <is>
          <t>TN57CD3434</t>
        </is>
      </c>
      <c r="B515" s="10" t="inlineStr">
        <is>
          <t>WOVEN</t>
        </is>
      </c>
      <c r="C515" s="10" t="inlineStr">
        <is>
          <t>ROAD TAX</t>
        </is>
      </c>
      <c r="D515" s="10" t="inlineStr">
        <is>
          <t>ROAD TAX</t>
        </is>
      </c>
      <c r="E515" s="10" t="inlineStr">
        <is>
          <t>YEARLY</t>
        </is>
      </c>
      <c r="F515" s="11" t="n">
        <v>45383</v>
      </c>
      <c r="G515" s="11" t="n">
        <v>45747</v>
      </c>
      <c r="H515" s="12">
        <f>IF(OR($F515="",$G515=""),"",$G515-$F515+1)</f>
        <v/>
      </c>
      <c r="I515" s="10">
        <f>IF($F515="","",IF(MONTH($F515)&gt;=4,YEAR($F515)&amp;"-"&amp;TEXT(YEAR($F515)+1-2000,"00"),YEAR($F515)-1&amp;"-"&amp;TEXT(YEAR($F515)-2000,"00")))</f>
        <v/>
      </c>
      <c r="J515" s="13" t="n">
        <v>32724</v>
      </c>
      <c r="K515" s="14">
        <f>IFERROR($L515/$J515,"")</f>
        <v/>
      </c>
      <c r="L515" s="13" t="n">
        <v>32724</v>
      </c>
      <c r="M515" s="13">
        <f>IFERROR($L515/$H515,"")</f>
        <v/>
      </c>
      <c r="N515" s="11" t="n">
        <v>45649</v>
      </c>
      <c r="O515" s="10">
        <f>IF($N515="","No","Yes")</f>
        <v/>
      </c>
      <c r="P515" s="12">
        <f>IF(OR($F515="",$G515=""),0,IF(AND($F515&lt;=README!$B$4,README!$B$4&lt;=$G515),1,0))</f>
        <v/>
      </c>
      <c r="Q515" s="12">
        <f>IF(OR($F515="",$G515=""),0,IF(AND($F515&lt;=DATE(README!$B$5,12,31),$G515&gt;=DATE(README!$B$5,1,1)),1,0))</f>
        <v/>
      </c>
      <c r="R515" s="10" t="inlineStr">
        <is>
          <t>GUT-VEH0011</t>
        </is>
      </c>
      <c r="S515" s="11" t="n">
        <v>45475</v>
      </c>
      <c r="T515" s="10" t="inlineStr">
        <is>
          <t>3</t>
        </is>
      </c>
      <c r="U515" s="10" t="inlineStr">
        <is>
          <t>VEHICLE</t>
        </is>
      </c>
      <c r="V515" s="10" t="inlineStr">
        <is>
          <t>T</t>
        </is>
      </c>
      <c r="W515" s="10" t="inlineStr">
        <is>
          <t>VIVEK B</t>
        </is>
      </c>
    </row>
    <row r="516">
      <c r="A516" s="10" t="inlineStr">
        <is>
          <t>TN57CD3434</t>
        </is>
      </c>
      <c r="B516" s="10" t="inlineStr">
        <is>
          <t>WOVEN</t>
        </is>
      </c>
      <c r="C516" s="10" t="inlineStr">
        <is>
          <t>TYRE</t>
        </is>
      </c>
      <c r="D516" s="10" t="inlineStr">
        <is>
          <t>TYRE</t>
        </is>
      </c>
      <c r="E516" s="10" t="inlineStr">
        <is>
          <t>YEARLY</t>
        </is>
      </c>
      <c r="F516" s="11" t="n">
        <v>45383</v>
      </c>
      <c r="G516" s="11" t="n">
        <v>45747</v>
      </c>
      <c r="H516" s="12">
        <f>IF(OR($F516="",$G516=""),"",$G516-$F516+1)</f>
        <v/>
      </c>
      <c r="I516" s="10">
        <f>IF($F516="","",IF(MONTH($F516)&gt;=4,YEAR($F516)&amp;"-"&amp;TEXT(YEAR($F516)+1-2000,"00"),YEAR($F516)-1&amp;"-"&amp;TEXT(YEAR($F516)-2000,"00")))</f>
        <v/>
      </c>
      <c r="J516" s="13" t="n">
        <v>30200</v>
      </c>
      <c r="K516" s="14">
        <f>IFERROR($L516/$J516,"")</f>
        <v/>
      </c>
      <c r="L516" s="13" t="n">
        <v>30200</v>
      </c>
      <c r="M516" s="13">
        <f>IFERROR($L516/$H516,"")</f>
        <v/>
      </c>
      <c r="N516" s="11" t="n">
        <v>45652</v>
      </c>
      <c r="O516" s="10">
        <f>IF($N516="","No","Yes")</f>
        <v/>
      </c>
      <c r="P516" s="12">
        <f>IF(OR($F516="",$G516=""),0,IF(AND($F516&lt;=README!$B$4,README!$B$4&lt;=$G516),1,0))</f>
        <v/>
      </c>
      <c r="Q516" s="12">
        <f>IF(OR($F516="",$G516=""),0,IF(AND($F516&lt;=DATE(README!$B$5,12,31),$G516&gt;=DATE(README!$B$5,1,1)),1,0))</f>
        <v/>
      </c>
      <c r="R516" s="10" t="inlineStr">
        <is>
          <t>GUT-VEH0006</t>
        </is>
      </c>
      <c r="S516" s="11" t="n">
        <v>45437</v>
      </c>
      <c r="T516" s="10" t="inlineStr">
        <is>
          <t>3</t>
        </is>
      </c>
      <c r="U516" s="10" t="inlineStr">
        <is>
          <t>VEHICLE</t>
        </is>
      </c>
      <c r="V516" s="10" t="inlineStr">
        <is>
          <t>T</t>
        </is>
      </c>
      <c r="W516" s="10" t="inlineStr">
        <is>
          <t>VIVEK B</t>
        </is>
      </c>
    </row>
    <row r="517">
      <c r="A517" s="10" t="inlineStr">
        <is>
          <t>TN57CD3434</t>
        </is>
      </c>
      <c r="B517" s="10" t="inlineStr">
        <is>
          <t>WOVEN</t>
        </is>
      </c>
      <c r="C517" s="10" t="inlineStr">
        <is>
          <t>VEHICLE INSURANCE</t>
        </is>
      </c>
      <c r="D517" s="10" t="inlineStr">
        <is>
          <t>VEHICLE INSURANCE</t>
        </is>
      </c>
      <c r="E517" s="10" t="inlineStr">
        <is>
          <t>YEARLY</t>
        </is>
      </c>
      <c r="F517" s="11" t="n">
        <v>45383</v>
      </c>
      <c r="G517" s="11" t="n">
        <v>45747</v>
      </c>
      <c r="H517" s="12">
        <f>IF(OR($F517="",$G517=""),"",$G517-$F517+1)</f>
        <v/>
      </c>
      <c r="I517" s="10">
        <f>IF($F517="","",IF(MONTH($F517)&gt;=4,YEAR($F517)&amp;"-"&amp;TEXT(YEAR($F517)+1-2000,"00"),YEAR($F517)-1&amp;"-"&amp;TEXT(YEAR($F517)-2000,"00")))</f>
        <v/>
      </c>
      <c r="J517" s="13" t="n">
        <v>82408</v>
      </c>
      <c r="K517" s="14">
        <f>IFERROR($L517/$J517,"")</f>
        <v/>
      </c>
      <c r="L517" s="13" t="n">
        <v>0</v>
      </c>
      <c r="M517" s="13">
        <f>IFERROR($L517/$H517,"")</f>
        <v/>
      </c>
      <c r="N517" s="11" t="n"/>
      <c r="O517" s="10">
        <f>IF($N517="","No","Yes")</f>
        <v/>
      </c>
      <c r="P517" s="12">
        <f>IF(OR($F517="",$G517=""),0,IF(AND($F517&lt;=README!$B$4,README!$B$4&lt;=$G517),1,0))</f>
        <v/>
      </c>
      <c r="Q517" s="12">
        <f>IF(OR($F517="",$G517=""),0,IF(AND($F517&lt;=DATE(README!$B$5,12,31),$G517&gt;=DATE(README!$B$5,1,1)),1,0))</f>
        <v/>
      </c>
      <c r="R517" s="10" t="inlineStr">
        <is>
          <t>GUT-VEH0012</t>
        </is>
      </c>
      <c r="S517" s="11" t="n">
        <v>45478</v>
      </c>
      <c r="T517" s="10" t="inlineStr">
        <is>
          <t>3</t>
        </is>
      </c>
      <c r="U517" s="10" t="inlineStr">
        <is>
          <t>VEHICLE</t>
        </is>
      </c>
      <c r="V517" s="10" t="inlineStr">
        <is>
          <t>T</t>
        </is>
      </c>
      <c r="W517" s="10" t="inlineStr">
        <is>
          <t>VIVEK B</t>
        </is>
      </c>
    </row>
    <row r="518">
      <c r="A518" s="10" t="inlineStr">
        <is>
          <t>TN57CD3434</t>
        </is>
      </c>
      <c r="B518" s="10" t="inlineStr">
        <is>
          <t>WOVEN</t>
        </is>
      </c>
      <c r="C518" s="10" t="inlineStr">
        <is>
          <t>VEHICLE OUTSIDE SERVICES</t>
        </is>
      </c>
      <c r="D518" s="10" t="inlineStr">
        <is>
          <t xml:space="preserve">MAINTENANCE SERVICE </t>
        </is>
      </c>
      <c r="E518" s="10" t="inlineStr">
        <is>
          <t>YEARLY</t>
        </is>
      </c>
      <c r="F518" s="11" t="n">
        <v>45383</v>
      </c>
      <c r="G518" s="11" t="n">
        <v>45747</v>
      </c>
      <c r="H518" s="12">
        <f>IF(OR($F518="",$G518=""),"",$G518-$F518+1)</f>
        <v/>
      </c>
      <c r="I518" s="10">
        <f>IF($F518="","",IF(MONTH($F518)&gt;=4,YEAR($F518)&amp;"-"&amp;TEXT(YEAR($F518)+1-2000,"00"),YEAR($F518)-1&amp;"-"&amp;TEXT(YEAR($F518)-2000,"00")))</f>
        <v/>
      </c>
      <c r="J518" s="13" t="n">
        <v>17295.79</v>
      </c>
      <c r="K518" s="14">
        <f>IFERROR($L518/$J518,"")</f>
        <v/>
      </c>
      <c r="L518" s="13" t="n">
        <v>17295.79</v>
      </c>
      <c r="M518" s="13">
        <f>IFERROR($L518/$H518,"")</f>
        <v/>
      </c>
      <c r="N518" s="11" t="n">
        <v>45749</v>
      </c>
      <c r="O518" s="10">
        <f>IF($N518="","No","Yes")</f>
        <v/>
      </c>
      <c r="P518" s="12">
        <f>IF(OR($F518="",$G518=""),0,IF(AND($F518&lt;=README!$B$4,README!$B$4&lt;=$G518),1,0))</f>
        <v/>
      </c>
      <c r="Q518" s="12">
        <f>IF(OR($F518="",$G518=""),0,IF(AND($F518&lt;=DATE(README!$B$5,12,31),$G518&gt;=DATE(README!$B$5,1,1)),1,0))</f>
        <v/>
      </c>
      <c r="R518" s="10" t="inlineStr">
        <is>
          <t>GUT-VEH0013</t>
        </is>
      </c>
      <c r="S518" s="11" t="n">
        <v>45527</v>
      </c>
      <c r="T518" s="10" t="inlineStr">
        <is>
          <t>3</t>
        </is>
      </c>
      <c r="U518" s="10" t="inlineStr">
        <is>
          <t>VEHICLE</t>
        </is>
      </c>
      <c r="V518" s="10" t="inlineStr">
        <is>
          <t>T</t>
        </is>
      </c>
      <c r="W518" s="10" t="inlineStr">
        <is>
          <t>VIVEK B</t>
        </is>
      </c>
    </row>
    <row r="519">
      <c r="A519" s="10" t="inlineStr">
        <is>
          <t>TN57CD3434</t>
        </is>
      </c>
      <c r="B519" s="10" t="inlineStr">
        <is>
          <t>WOVEN</t>
        </is>
      </c>
      <c r="C519" s="10" t="inlineStr">
        <is>
          <t>FC WORK</t>
        </is>
      </c>
      <c r="D519" s="10" t="inlineStr">
        <is>
          <t>FC WORK</t>
        </is>
      </c>
      <c r="E519" s="10" t="inlineStr">
        <is>
          <t>YEARLY</t>
        </is>
      </c>
      <c r="F519" s="11" t="n">
        <v>45748</v>
      </c>
      <c r="G519" s="11" t="n">
        <v>46112</v>
      </c>
      <c r="H519" s="12">
        <f>IF(OR($F519="",$G519=""),"",$G519-$F519+1)</f>
        <v/>
      </c>
      <c r="I519" s="10">
        <f>IF($F519="","",IF(MONTH($F519)&gt;=4,YEAR($F519)&amp;"-"&amp;TEXT(YEAR($F519)+1-2000,"00"),YEAR($F519)-1&amp;"-"&amp;TEXT(YEAR($F519)-2000,"00")))</f>
        <v/>
      </c>
      <c r="J519" s="13" t="n">
        <v>47700</v>
      </c>
      <c r="K519" s="14">
        <f>IFERROR($L519/$J519,"")</f>
        <v/>
      </c>
      <c r="L519" s="13" t="n">
        <v>47700</v>
      </c>
      <c r="M519" s="13">
        <f>IFERROR($L519/$H519,"")</f>
        <v/>
      </c>
      <c r="N519" s="11" t="n">
        <v>45952</v>
      </c>
      <c r="O519" s="10">
        <f>IF($N519="","No","Yes")</f>
        <v/>
      </c>
      <c r="P519" s="12">
        <f>IF(OR($F519="",$G519=""),0,IF(AND($F519&lt;=README!$B$4,README!$B$4&lt;=$G519),1,0))</f>
        <v/>
      </c>
      <c r="Q519" s="12">
        <f>IF(OR($F519="",$G519=""),0,IF(AND($F519&lt;=DATE(README!$B$5,12,31),$G519&gt;=DATE(README!$B$5,1,1)),1,0))</f>
        <v/>
      </c>
      <c r="R519" s="10" t="inlineStr">
        <is>
          <t>GUT-VEH0025</t>
        </is>
      </c>
      <c r="S519" s="11" t="n">
        <v>45941</v>
      </c>
      <c r="T519" s="10" t="inlineStr">
        <is>
          <t>5</t>
        </is>
      </c>
      <c r="U519" s="10" t="inlineStr">
        <is>
          <t>VEHICLE</t>
        </is>
      </c>
      <c r="V519" s="10" t="inlineStr">
        <is>
          <t>T</t>
        </is>
      </c>
      <c r="W519" s="10" t="inlineStr">
        <is>
          <t>VIVEK B</t>
        </is>
      </c>
    </row>
    <row r="520">
      <c r="A520" s="10" t="inlineStr">
        <is>
          <t>TN57CD3434</t>
        </is>
      </c>
      <c r="B520" s="10" t="inlineStr">
        <is>
          <t>WOVEN</t>
        </is>
      </c>
      <c r="C520" s="10" t="inlineStr">
        <is>
          <t>RTO EXPENSE</t>
        </is>
      </c>
      <c r="D520" s="10" t="inlineStr">
        <is>
          <t>RTO EXPENSE</t>
        </is>
      </c>
      <c r="E520" s="10" t="inlineStr">
        <is>
          <t>YEARLY</t>
        </is>
      </c>
      <c r="F520" s="11" t="n">
        <v>45748</v>
      </c>
      <c r="G520" s="11" t="n">
        <v>46112</v>
      </c>
      <c r="H520" s="12">
        <f>IF(OR($F520="",$G520=""),"",$G520-$F520+1)</f>
        <v/>
      </c>
      <c r="I520" s="10">
        <f>IF($F520="","",IF(MONTH($F520)&gt;=4,YEAR($F520)&amp;"-"&amp;TEXT(YEAR($F520)+1-2000,"00"),YEAR($F520)-1&amp;"-"&amp;TEXT(YEAR($F520)-2000,"00")))</f>
        <v/>
      </c>
      <c r="J520" s="13" t="n">
        <v>10400</v>
      </c>
      <c r="K520" s="14">
        <f>IFERROR($L520/$J520,"")</f>
        <v/>
      </c>
      <c r="L520" s="13" t="n">
        <v>10400</v>
      </c>
      <c r="M520" s="13">
        <f>IFERROR($L520/$H520,"")</f>
        <v/>
      </c>
      <c r="N520" s="11" t="n">
        <v>45941</v>
      </c>
      <c r="O520" s="10">
        <f>IF($N520="","No","Yes")</f>
        <v/>
      </c>
      <c r="P520" s="12">
        <f>IF(OR($F520="",$G520=""),0,IF(AND($F520&lt;=README!$B$4,README!$B$4&lt;=$G520),1,0))</f>
        <v/>
      </c>
      <c r="Q520" s="12">
        <f>IF(OR($F520="",$G520=""),0,IF(AND($F520&lt;=DATE(README!$B$5,12,31),$G520&gt;=DATE(README!$B$5,1,1)),1,0))</f>
        <v/>
      </c>
      <c r="R520" s="10" t="inlineStr">
        <is>
          <t>GUT-VEH0024</t>
        </is>
      </c>
      <c r="S520" s="11" t="n">
        <v>45939</v>
      </c>
      <c r="T520" s="10" t="inlineStr">
        <is>
          <t>5</t>
        </is>
      </c>
      <c r="U520" s="10" t="inlineStr">
        <is>
          <t>VEHICLE</t>
        </is>
      </c>
      <c r="V520" s="10" t="inlineStr">
        <is>
          <t>T</t>
        </is>
      </c>
      <c r="W520" s="10" t="inlineStr">
        <is>
          <t>VIVEK B</t>
        </is>
      </c>
    </row>
    <row r="521">
      <c r="A521" s="10" t="inlineStr">
        <is>
          <t>TN57CD3434</t>
        </is>
      </c>
      <c r="B521" s="10" t="inlineStr">
        <is>
          <t>WOVEN</t>
        </is>
      </c>
      <c r="C521" s="10" t="inlineStr">
        <is>
          <t>TYRE</t>
        </is>
      </c>
      <c r="D521" s="10" t="inlineStr">
        <is>
          <t>TYRE</t>
        </is>
      </c>
      <c r="E521" s="10" t="inlineStr">
        <is>
          <t>YEARLY</t>
        </is>
      </c>
      <c r="F521" s="11" t="n">
        <v>45748</v>
      </c>
      <c r="G521" s="11" t="n">
        <v>46112</v>
      </c>
      <c r="H521" s="12">
        <f>IF(OR($F521="",$G521=""),"",$G521-$F521+1)</f>
        <v/>
      </c>
      <c r="I521" s="10">
        <f>IF($F521="","",IF(MONTH($F521)&gt;=4,YEAR($F521)&amp;"-"&amp;TEXT(YEAR($F521)+1-2000,"00"),YEAR($F521)-1&amp;"-"&amp;TEXT(YEAR($F521)-2000,"00")))</f>
        <v/>
      </c>
      <c r="J521" s="13" t="n">
        <v>30700</v>
      </c>
      <c r="K521" s="14">
        <f>IFERROR($L521/$J521,"")</f>
        <v/>
      </c>
      <c r="L521" s="13" t="n">
        <v>30700</v>
      </c>
      <c r="M521" s="13">
        <f>IFERROR($L521/$H521,"")</f>
        <v/>
      </c>
      <c r="N521" s="11" t="n">
        <v>45957</v>
      </c>
      <c r="O521" s="10">
        <f>IF($N521="","No","Yes")</f>
        <v/>
      </c>
      <c r="P521" s="12">
        <f>IF(OR($F521="",$G521=""),0,IF(AND($F521&lt;=README!$B$4,README!$B$4&lt;=$G521),1,0))</f>
        <v/>
      </c>
      <c r="Q521" s="12">
        <f>IF(OR($F521="",$G521=""),0,IF(AND($F521&lt;=DATE(README!$B$5,12,31),$G521&gt;=DATE(README!$B$5,1,1)),1,0))</f>
        <v/>
      </c>
      <c r="R521" s="10" t="inlineStr">
        <is>
          <t>GUT-VEH0026</t>
        </is>
      </c>
      <c r="S521" s="11" t="n">
        <v>45957</v>
      </c>
      <c r="T521" s="10" t="inlineStr">
        <is>
          <t>5</t>
        </is>
      </c>
      <c r="U521" s="10" t="inlineStr">
        <is>
          <t>VEHICLE</t>
        </is>
      </c>
      <c r="V521" s="10" t="inlineStr">
        <is>
          <t>T</t>
        </is>
      </c>
      <c r="W521" s="10" t="inlineStr">
        <is>
          <t>VIVEK B</t>
        </is>
      </c>
    </row>
    <row r="522">
      <c r="A522" s="10" t="inlineStr">
        <is>
          <t>TN57CD3434</t>
        </is>
      </c>
      <c r="B522" s="10" t="inlineStr">
        <is>
          <t>WOVEN</t>
        </is>
      </c>
      <c r="C522" s="10" t="inlineStr">
        <is>
          <t>VEHICLE INSURANCE</t>
        </is>
      </c>
      <c r="D522" s="10" t="inlineStr">
        <is>
          <t>VEHICLE INSURANCE</t>
        </is>
      </c>
      <c r="E522" s="10" t="inlineStr">
        <is>
          <t>YEARLY</t>
        </is>
      </c>
      <c r="F522" s="11" t="n">
        <v>45748</v>
      </c>
      <c r="G522" s="11" t="n">
        <v>46112</v>
      </c>
      <c r="H522" s="12">
        <f>IF(OR($F522="",$G522=""),"",$G522-$F522+1)</f>
        <v/>
      </c>
      <c r="I522" s="10">
        <f>IF($F522="","",IF(MONTH($F522)&gt;=4,YEAR($F522)&amp;"-"&amp;TEXT(YEAR($F522)+1-2000,"00"),YEAR($F522)-1&amp;"-"&amp;TEXT(YEAR($F522)-2000,"00")))</f>
        <v/>
      </c>
      <c r="J522" s="13" t="n">
        <v>78244</v>
      </c>
      <c r="K522" s="14">
        <f>IFERROR($L522/$J522,"")</f>
        <v/>
      </c>
      <c r="L522" s="13" t="n">
        <v>78244</v>
      </c>
      <c r="M522" s="13">
        <f>IFERROR($L522/$H522,"")</f>
        <v/>
      </c>
      <c r="N522" s="11" t="n">
        <v>45826</v>
      </c>
      <c r="O522" s="10">
        <f>IF($N522="","No","Yes")</f>
        <v/>
      </c>
      <c r="P522" s="12">
        <f>IF(OR($F522="",$G522=""),0,IF(AND($F522&lt;=README!$B$4,README!$B$4&lt;=$G522),1,0))</f>
        <v/>
      </c>
      <c r="Q522" s="12">
        <f>IF(OR($F522="",$G522=""),0,IF(AND($F522&lt;=DATE(README!$B$5,12,31),$G522&gt;=DATE(README!$B$5,1,1)),1,0))</f>
        <v/>
      </c>
      <c r="R522" s="10" t="inlineStr">
        <is>
          <t>GUT-VEH0019</t>
        </is>
      </c>
      <c r="S522" s="11" t="n">
        <v>45799</v>
      </c>
      <c r="T522" s="10" t="inlineStr">
        <is>
          <t>5</t>
        </is>
      </c>
      <c r="U522" s="10" t="inlineStr">
        <is>
          <t>VEHICLE</t>
        </is>
      </c>
      <c r="V522" s="10" t="inlineStr">
        <is>
          <t>T</t>
        </is>
      </c>
      <c r="W522" s="10" t="inlineStr">
        <is>
          <t>VIVEK B</t>
        </is>
      </c>
    </row>
    <row r="523">
      <c r="A523" s="10" t="inlineStr">
        <is>
          <t>TN57CD3434</t>
        </is>
      </c>
      <c r="B523" s="10" t="inlineStr">
        <is>
          <t>WOVEN</t>
        </is>
      </c>
      <c r="C523" s="10" t="inlineStr">
        <is>
          <t>ROAD TAX</t>
        </is>
      </c>
      <c r="D523" s="10" t="inlineStr">
        <is>
          <t>ROAD TAX</t>
        </is>
      </c>
      <c r="E523" s="10" t="inlineStr">
        <is>
          <t>QUARTER - IV</t>
        </is>
      </c>
      <c r="F523" s="11" t="n">
        <v>46023</v>
      </c>
      <c r="G523" s="11" t="n">
        <v>46112</v>
      </c>
      <c r="H523" s="12">
        <f>IF(OR($F523="",$G523=""),"",$G523-$F523+1)</f>
        <v/>
      </c>
      <c r="I523" s="10">
        <f>IF($F523="","",IF(MONTH($F523)&gt;=4,YEAR($F523)&amp;"-"&amp;TEXT(YEAR($F523)+1-2000,"00"),YEAR($F523)-1&amp;"-"&amp;TEXT(YEAR($F523)-2000,"00")))</f>
        <v/>
      </c>
      <c r="J523" s="13" t="n">
        <v>32734</v>
      </c>
      <c r="K523" s="14">
        <f>IFERROR($L523/$J523,"")</f>
        <v/>
      </c>
      <c r="L523" s="13" t="n">
        <v>32734</v>
      </c>
      <c r="M523" s="13">
        <f>IFERROR($L523/$H523,"")</f>
        <v/>
      </c>
      <c r="N523" s="11" t="n">
        <v>46065</v>
      </c>
      <c r="O523" s="10">
        <f>IF($N523="","No","Yes")</f>
        <v/>
      </c>
      <c r="P523" s="12">
        <f>IF(OR($F523="",$G523=""),0,IF(AND($F523&lt;=README!$B$4,README!$B$4&lt;=$G523),1,0))</f>
        <v/>
      </c>
      <c r="Q523" s="12">
        <f>IF(OR($F523="",$G523=""),0,IF(AND($F523&lt;=DATE(README!$B$5,12,31),$G523&gt;=DATE(README!$B$5,1,1)),1,0))</f>
        <v/>
      </c>
      <c r="R523" s="10" t="inlineStr">
        <is>
          <t>GUT-VEH0016</t>
        </is>
      </c>
      <c r="S523" s="11" t="n">
        <v>46023</v>
      </c>
      <c r="T523" s="10" t="inlineStr">
        <is>
          <t>5</t>
        </is>
      </c>
      <c r="U523" s="10" t="inlineStr">
        <is>
          <t>VEHICLE</t>
        </is>
      </c>
      <c r="V523" s="10" t="inlineStr">
        <is>
          <t>T</t>
        </is>
      </c>
      <c r="W523" s="10" t="inlineStr">
        <is>
          <t>VIVEK B</t>
        </is>
      </c>
    </row>
    <row r="524">
      <c r="A524" s="10" t="inlineStr">
        <is>
          <t>TN57CD3434</t>
        </is>
      </c>
      <c r="B524" s="10" t="inlineStr"/>
      <c r="C524" s="10" t="inlineStr">
        <is>
          <t>VEHICLE OUTSIDE SERVICES</t>
        </is>
      </c>
      <c r="D524" s="10" t="inlineStr">
        <is>
          <t xml:space="preserve">MAINTENANCE SERVICE </t>
        </is>
      </c>
      <c r="E524" s="10" t="inlineStr">
        <is>
          <t>JANUARY</t>
        </is>
      </c>
      <c r="F524" s="11" t="n">
        <v>46023</v>
      </c>
      <c r="G524" s="11" t="n">
        <v>46053</v>
      </c>
      <c r="H524" s="12">
        <f>IF(OR($F524="",$G524=""),"",$G524-$F524+1)</f>
        <v/>
      </c>
      <c r="I524" s="10">
        <f>IF($F524="","",IF(MONTH($F524)&gt;=4,YEAR($F524)&amp;"-"&amp;TEXT(YEAR($F524)+1-2000,"00"),YEAR($F524)-1&amp;"-"&amp;TEXT(YEAR($F524)-2000,"00")))</f>
        <v/>
      </c>
      <c r="J524" s="13" t="n">
        <v>8000</v>
      </c>
      <c r="K524" s="14">
        <f>IFERROR($L524/$J524,"")</f>
        <v/>
      </c>
      <c r="L524" s="13" t="n">
        <v>8000</v>
      </c>
      <c r="M524" s="13">
        <f>IFERROR($L524/$H524,"")</f>
        <v/>
      </c>
      <c r="N524" s="11" t="n">
        <v>46050</v>
      </c>
      <c r="O524" s="10">
        <f>IF($N524="","No","Yes")</f>
        <v/>
      </c>
      <c r="P524" s="12">
        <f>IF(OR($F524="",$G524=""),0,IF(AND($F524&lt;=README!$B$4,README!$B$4&lt;=$G524),1,0))</f>
        <v/>
      </c>
      <c r="Q524" s="12">
        <f>IF(OR($F524="",$G524=""),0,IF(AND($F524&lt;=DATE(README!$B$5,12,31),$G524&gt;=DATE(README!$B$5,1,1)),1,0))</f>
        <v/>
      </c>
      <c r="R524" s="10" t="inlineStr">
        <is>
          <t>GUT-VEH0021</t>
        </is>
      </c>
      <c r="S524" s="11" t="n">
        <v>45812</v>
      </c>
      <c r="T524" s="10" t="inlineStr">
        <is>
          <t>5</t>
        </is>
      </c>
      <c r="U524" s="10" t="inlineStr">
        <is>
          <t>VEHICLE</t>
        </is>
      </c>
      <c r="V524" s="10" t="inlineStr">
        <is>
          <t>T</t>
        </is>
      </c>
      <c r="W524" s="10" t="inlineStr">
        <is>
          <t>VIVEK B</t>
        </is>
      </c>
    </row>
    <row r="525">
      <c r="A525" s="10" t="inlineStr">
        <is>
          <t>TN57CD3434</t>
        </is>
      </c>
      <c r="B525" s="10" t="inlineStr"/>
      <c r="C525" s="10" t="inlineStr">
        <is>
          <t>VEHICLE OUTSIDE SERVICES</t>
        </is>
      </c>
      <c r="D525" s="10" t="inlineStr">
        <is>
          <t>MAINTENANCE SERVICE - 2</t>
        </is>
      </c>
      <c r="E525" s="10" t="inlineStr">
        <is>
          <t>MARCH</t>
        </is>
      </c>
      <c r="F525" s="11" t="n">
        <v>46082</v>
      </c>
      <c r="G525" s="11" t="n">
        <v>46112</v>
      </c>
      <c r="H525" s="12">
        <f>IF(OR($F525="",$G525=""),"",$G525-$F525+1)</f>
        <v/>
      </c>
      <c r="I525" s="10">
        <f>IF($F525="","",IF(MONTH($F525)&gt;=4,YEAR($F525)&amp;"-"&amp;TEXT(YEAR($F525)+1-2000,"00"),YEAR($F525)-1&amp;"-"&amp;TEXT(YEAR($F525)-2000,"00")))</f>
        <v/>
      </c>
      <c r="J525" s="13" t="n">
        <v>15218.76</v>
      </c>
      <c r="K525" s="14">
        <f>IFERROR($L525/$J525,"")</f>
        <v/>
      </c>
      <c r="L525" s="13" t="n">
        <v>15218.76</v>
      </c>
      <c r="M525" s="13">
        <f>IFERROR($L525/$H525,"")</f>
        <v/>
      </c>
      <c r="N525" s="11" t="n">
        <v>46091</v>
      </c>
      <c r="O525" s="10">
        <f>IF($N525="","No","Yes")</f>
        <v/>
      </c>
      <c r="P525" s="12">
        <f>IF(OR($F525="",$G525=""),0,IF(AND($F525&lt;=README!$B$4,README!$B$4&lt;=$G525),1,0))</f>
        <v/>
      </c>
      <c r="Q525" s="12">
        <f>IF(OR($F525="",$G525=""),0,IF(AND($F525&lt;=DATE(README!$B$5,12,31),$G525&gt;=DATE(README!$B$5,1,1)),1,0))</f>
        <v/>
      </c>
      <c r="R525" s="10" t="inlineStr">
        <is>
          <t>GUT-VEH0021</t>
        </is>
      </c>
      <c r="S525" s="11" t="n">
        <v>45812</v>
      </c>
      <c r="T525" s="10" t="inlineStr">
        <is>
          <t>5</t>
        </is>
      </c>
      <c r="U525" s="10" t="inlineStr">
        <is>
          <t>VEHICLE</t>
        </is>
      </c>
      <c r="V525" s="10" t="inlineStr">
        <is>
          <t>T</t>
        </is>
      </c>
      <c r="W525" s="10" t="inlineStr">
        <is>
          <t>VIVEK B</t>
        </is>
      </c>
    </row>
    <row r="526">
      <c r="A526" s="10" t="inlineStr">
        <is>
          <t>TN57CD3434</t>
        </is>
      </c>
      <c r="B526" s="10" t="inlineStr">
        <is>
          <t>WOVEN</t>
        </is>
      </c>
      <c r="C526" s="10" t="inlineStr">
        <is>
          <t>ROAD TAX</t>
        </is>
      </c>
      <c r="D526" s="10" t="inlineStr">
        <is>
          <t>ROAD TAX</t>
        </is>
      </c>
      <c r="E526" s="10" t="inlineStr">
        <is>
          <t>QUARTER - I</t>
        </is>
      </c>
      <c r="F526" s="11" t="n">
        <v>46113</v>
      </c>
      <c r="G526" s="11" t="n">
        <v>46203</v>
      </c>
      <c r="H526" s="12">
        <f>IF(OR($F526="",$G526=""),"",$G526-$F526+1)</f>
        <v/>
      </c>
      <c r="I526" s="10">
        <f>IF($F526="","",IF(MONTH($F526)&gt;=4,YEAR($F526)&amp;"-"&amp;TEXT(YEAR($F526)+1-2000,"00"),YEAR($F526)-1&amp;"-"&amp;TEXT(YEAR($F526)-2000,"00")))</f>
        <v/>
      </c>
      <c r="J526" s="13" t="n">
        <v>32734</v>
      </c>
      <c r="K526" s="14">
        <f>IFERROR($L526/$J526,"")</f>
        <v/>
      </c>
      <c r="L526" s="13" t="n">
        <v>32734</v>
      </c>
      <c r="M526" s="13">
        <f>IFERROR($L526/$H526,"")</f>
        <v/>
      </c>
      <c r="N526" s="11" t="n">
        <v>46088</v>
      </c>
      <c r="O526" s="10">
        <f>IF($N526="","No","Yes")</f>
        <v/>
      </c>
      <c r="P526" s="12">
        <f>IF(OR($F526="",$G526=""),0,IF(AND($F526&lt;=README!$B$4,README!$B$4&lt;=$G526),1,0))</f>
        <v/>
      </c>
      <c r="Q526" s="12">
        <f>IF(OR($F526="",$G526=""),0,IF(AND($F526&lt;=DATE(README!$B$5,12,31),$G526&gt;=DATE(README!$B$5,1,1)),1,0))</f>
        <v/>
      </c>
      <c r="R526" s="10" t="inlineStr">
        <is>
          <t>GUT-VEH0029</t>
        </is>
      </c>
      <c r="S526" s="11" t="n">
        <v>46087</v>
      </c>
      <c r="T526" s="10" t="inlineStr">
        <is>
          <t>5</t>
        </is>
      </c>
      <c r="U526" s="10" t="inlineStr">
        <is>
          <t>VEHICLE</t>
        </is>
      </c>
      <c r="V526" s="10" t="inlineStr">
        <is>
          <t>T</t>
        </is>
      </c>
      <c r="W526" s="10" t="inlineStr">
        <is>
          <t>VIVEK B</t>
        </is>
      </c>
    </row>
    <row r="527">
      <c r="A527" s="10" t="inlineStr">
        <is>
          <t>TN57CD3434</t>
        </is>
      </c>
      <c r="B527" s="10" t="inlineStr">
        <is>
          <t>WOVEN</t>
        </is>
      </c>
      <c r="C527" s="10" t="inlineStr">
        <is>
          <t>VEHICLE INSURANCE</t>
        </is>
      </c>
      <c r="D527" s="10" t="inlineStr">
        <is>
          <t>VEHICLE INSURANCE</t>
        </is>
      </c>
      <c r="E527" s="10" t="inlineStr">
        <is>
          <t>YEARLY</t>
        </is>
      </c>
      <c r="F527" s="11" t="n">
        <v>46113</v>
      </c>
      <c r="G527" s="11" t="n">
        <v>46477</v>
      </c>
      <c r="H527" s="12">
        <f>IF(OR($F527="",$G527=""),"",$G527-$F527+1)</f>
        <v/>
      </c>
      <c r="I527" s="10">
        <f>IF($F527="","",IF(MONTH($F527)&gt;=4,YEAR($F527)&amp;"-"&amp;TEXT(YEAR($F527)+1-2000,"00"),YEAR($F527)-1&amp;"-"&amp;TEXT(YEAR($F527)-2000,"00")))</f>
        <v/>
      </c>
      <c r="J527" s="13" t="n">
        <v>78142</v>
      </c>
      <c r="K527" s="14">
        <f>IFERROR($L527/$J527,"")</f>
        <v/>
      </c>
      <c r="L527" s="13" t="n">
        <v>78142</v>
      </c>
      <c r="M527" s="13">
        <f>IFERROR($L527/$H527,"")</f>
        <v/>
      </c>
      <c r="N527" s="11" t="n">
        <v>46167</v>
      </c>
      <c r="O527" s="10">
        <f>IF($N527="","No","Yes")</f>
        <v/>
      </c>
      <c r="P527" s="12">
        <f>IF(OR($F527="",$G527=""),0,IF(AND($F527&lt;=README!$B$4,README!$B$4&lt;=$G527),1,0))</f>
        <v/>
      </c>
      <c r="Q527" s="12">
        <f>IF(OR($F527="",$G527=""),0,IF(AND($F527&lt;=DATE(README!$B$5,12,31),$G527&gt;=DATE(README!$B$5,1,1)),1,0))</f>
        <v/>
      </c>
      <c r="R527" s="10" t="inlineStr">
        <is>
          <t>GUT-VEH0035</t>
        </is>
      </c>
      <c r="S527" s="11" t="n">
        <v>46162</v>
      </c>
      <c r="T527" s="10" t="inlineStr">
        <is>
          <t>5</t>
        </is>
      </c>
      <c r="U527" s="10" t="inlineStr">
        <is>
          <t>VEHICLE</t>
        </is>
      </c>
      <c r="V527" s="10" t="inlineStr">
        <is>
          <t>T</t>
        </is>
      </c>
      <c r="W527" s="10" t="inlineStr">
        <is>
          <t>VIVEK B</t>
        </is>
      </c>
    </row>
    <row r="528">
      <c r="A528" s="10" t="inlineStr">
        <is>
          <t>TN57CD3434</t>
        </is>
      </c>
      <c r="B528" s="10" t="inlineStr">
        <is>
          <t>WOVEN</t>
        </is>
      </c>
      <c r="C528" s="10" t="inlineStr">
        <is>
          <t>VEHICLE OUTSIDE SERVICES</t>
        </is>
      </c>
      <c r="D528" s="10" t="inlineStr">
        <is>
          <t xml:space="preserve">MAINTENANCE SERVICE </t>
        </is>
      </c>
      <c r="E528" s="10" t="inlineStr">
        <is>
          <t>MAY</t>
        </is>
      </c>
      <c r="F528" s="11" t="n">
        <v>46143</v>
      </c>
      <c r="G528" s="11" t="n">
        <v>46173</v>
      </c>
      <c r="H528" s="12">
        <f>IF(OR($F528="",$G528=""),"",$G528-$F528+1)</f>
        <v/>
      </c>
      <c r="I528" s="10">
        <f>IF($F528="","",IF(MONTH($F528)&gt;=4,YEAR($F528)&amp;"-"&amp;TEXT(YEAR($F528)+1-2000,"00"),YEAR($F528)-1&amp;"-"&amp;TEXT(YEAR($F528)-2000,"00")))</f>
        <v/>
      </c>
      <c r="J528" s="13" t="n">
        <v>29336.67</v>
      </c>
      <c r="K528" s="14">
        <f>IFERROR($L528/$J528,"")</f>
        <v/>
      </c>
      <c r="L528" s="13" t="n">
        <v>29336.67</v>
      </c>
      <c r="M528" s="13">
        <f>IFERROR($L528/$H528,"")</f>
        <v/>
      </c>
      <c r="N528" s="11" t="n">
        <v>46176</v>
      </c>
      <c r="O528" s="10">
        <f>IF($N528="","No","Yes")</f>
        <v/>
      </c>
      <c r="P528" s="12">
        <f>IF(OR($F528="",$G528=""),0,IF(AND($F528&lt;=README!$B$4,README!$B$4&lt;=$G528),1,0))</f>
        <v/>
      </c>
      <c r="Q528" s="12">
        <f>IF(OR($F528="",$G528=""),0,IF(AND($F528&lt;=DATE(README!$B$5,12,31),$G528&gt;=DATE(README!$B$5,1,1)),1,0))</f>
        <v/>
      </c>
      <c r="R528" s="10" t="inlineStr">
        <is>
          <t>GUT-VEH0032</t>
        </is>
      </c>
      <c r="S528" s="11" t="n">
        <v>46137</v>
      </c>
      <c r="T528" s="10" t="inlineStr">
        <is>
          <t>5</t>
        </is>
      </c>
      <c r="U528" s="10" t="inlineStr">
        <is>
          <t>VEHICLE</t>
        </is>
      </c>
      <c r="V528" s="10" t="inlineStr">
        <is>
          <t>T</t>
        </is>
      </c>
      <c r="W528" s="10" t="inlineStr">
        <is>
          <t>VIVEK B</t>
        </is>
      </c>
    </row>
    <row r="529">
      <c r="A529" s="10" t="inlineStr">
        <is>
          <t>TN57CD3434</t>
        </is>
      </c>
      <c r="B529" s="10" t="inlineStr">
        <is>
          <t>WOVEN</t>
        </is>
      </c>
      <c r="C529" s="10" t="inlineStr">
        <is>
          <t>ROAD TAX</t>
        </is>
      </c>
      <c r="D529" s="10" t="inlineStr">
        <is>
          <t>ROAD TAX</t>
        </is>
      </c>
      <c r="E529" s="10" t="inlineStr">
        <is>
          <t>QUARTER - II</t>
        </is>
      </c>
      <c r="F529" s="11" t="n">
        <v>46204</v>
      </c>
      <c r="G529" s="11" t="n">
        <v>46295</v>
      </c>
      <c r="H529" s="12">
        <f>IF(OR($F529="",$G529=""),"",$G529-$F529+1)</f>
        <v/>
      </c>
      <c r="I529" s="10">
        <f>IF($F529="","",IF(MONTH($F529)&gt;=4,YEAR($F529)&amp;"-"&amp;TEXT(YEAR($F529)+1-2000,"00"),YEAR($F529)-1&amp;"-"&amp;TEXT(YEAR($F529)-2000,"00")))</f>
        <v/>
      </c>
      <c r="J529" s="13" t="n">
        <v>32734</v>
      </c>
      <c r="K529" s="14">
        <f>IFERROR($L529/$J529,"")</f>
        <v/>
      </c>
      <c r="L529" s="13" t="n">
        <v>32734</v>
      </c>
      <c r="M529" s="13">
        <f>IFERROR($L529/$H529,"")</f>
        <v/>
      </c>
      <c r="N529" s="11" t="n">
        <v>46196</v>
      </c>
      <c r="O529" s="10">
        <f>IF($N529="","No","Yes")</f>
        <v/>
      </c>
      <c r="P529" s="12">
        <f>IF(OR($F529="",$G529=""),0,IF(AND($F529&lt;=README!$B$4,README!$B$4&lt;=$G529),1,0))</f>
        <v/>
      </c>
      <c r="Q529" s="12">
        <f>IF(OR($F529="",$G529=""),0,IF(AND($F529&lt;=DATE(README!$B$5,12,31),$G529&gt;=DATE(README!$B$5,1,1)),1,0))</f>
        <v/>
      </c>
      <c r="R529" s="10" t="inlineStr">
        <is>
          <t>GUT-VEH0038</t>
        </is>
      </c>
      <c r="S529" s="11" t="n">
        <v>46193</v>
      </c>
      <c r="T529" s="10" t="inlineStr">
        <is>
          <t>5</t>
        </is>
      </c>
      <c r="U529" s="10" t="inlineStr">
        <is>
          <t>VEHICLE</t>
        </is>
      </c>
      <c r="V529" s="10" t="inlineStr">
        <is>
          <t>T</t>
        </is>
      </c>
      <c r="W529" s="10" t="inlineStr">
        <is>
          <t>VIVEK B</t>
        </is>
      </c>
    </row>
    <row r="530">
      <c r="A530" s="10" t="inlineStr">
        <is>
          <t>TN57CD3636</t>
        </is>
      </c>
      <c r="B530" s="10" t="inlineStr">
        <is>
          <t>SOCKS</t>
        </is>
      </c>
      <c r="C530" s="10" t="inlineStr">
        <is>
          <t>ADBLU</t>
        </is>
      </c>
      <c r="D530" s="10" t="inlineStr">
        <is>
          <t>ADBLU</t>
        </is>
      </c>
      <c r="E530" s="10" t="inlineStr">
        <is>
          <t>YEARLY</t>
        </is>
      </c>
      <c r="F530" s="11" t="n">
        <v>45383</v>
      </c>
      <c r="G530" s="11" t="n">
        <v>45747</v>
      </c>
      <c r="H530" s="12">
        <f>IF(OR($F530="",$G530=""),"",$G530-$F530+1)</f>
        <v/>
      </c>
      <c r="I530" s="10">
        <f>IF($F530="","",IF(MONTH($F530)&gt;=4,YEAR($F530)&amp;"-"&amp;TEXT(YEAR($F530)+1-2000,"00"),YEAR($F530)-1&amp;"-"&amp;TEXT(YEAR($F530)-2000,"00")))</f>
        <v/>
      </c>
      <c r="J530" s="13" t="n">
        <v>60</v>
      </c>
      <c r="K530" s="14">
        <f>IFERROR($L530/$J530,"")</f>
        <v/>
      </c>
      <c r="L530" s="13" t="n">
        <v>42000</v>
      </c>
      <c r="M530" s="13">
        <f>IFERROR($L530/$H530,"")</f>
        <v/>
      </c>
      <c r="N530" s="11" t="n">
        <v>45461</v>
      </c>
      <c r="O530" s="10">
        <f>IF($N530="","No","Yes")</f>
        <v/>
      </c>
      <c r="P530" s="12">
        <f>IF(OR($F530="",$G530=""),0,IF(AND($F530&lt;=README!$B$4,README!$B$4&lt;=$G530),1,0))</f>
        <v/>
      </c>
      <c r="Q530" s="12">
        <f>IF(OR($F530="",$G530=""),0,IF(AND($F530&lt;=DATE(README!$B$5,12,31),$G530&gt;=DATE(README!$B$5,1,1)),1,0))</f>
        <v/>
      </c>
      <c r="R530" s="10" t="inlineStr">
        <is>
          <t>GUP-VEH0008</t>
        </is>
      </c>
      <c r="S530" s="11" t="n">
        <v>45461</v>
      </c>
      <c r="T530" s="10" t="inlineStr">
        <is>
          <t>541</t>
        </is>
      </c>
      <c r="U530" s="10" t="inlineStr">
        <is>
          <t>VEHICLE</t>
        </is>
      </c>
      <c r="V530" s="10" t="inlineStr">
        <is>
          <t>T</t>
        </is>
      </c>
      <c r="W530" s="10" t="inlineStr">
        <is>
          <t>VIVEK B</t>
        </is>
      </c>
    </row>
    <row r="531">
      <c r="A531" s="10" t="inlineStr">
        <is>
          <t>TN57CD3636</t>
        </is>
      </c>
      <c r="B531" s="10" t="inlineStr">
        <is>
          <t>SOCKS</t>
        </is>
      </c>
      <c r="C531" s="10" t="inlineStr">
        <is>
          <t>FC WORK</t>
        </is>
      </c>
      <c r="D531" s="10" t="inlineStr">
        <is>
          <t>FC WORK</t>
        </is>
      </c>
      <c r="E531" s="10" t="inlineStr">
        <is>
          <t>YEARLY</t>
        </is>
      </c>
      <c r="F531" s="11" t="n">
        <v>45383</v>
      </c>
      <c r="G531" s="11" t="n">
        <v>45747</v>
      </c>
      <c r="H531" s="12">
        <f>IF(OR($F531="",$G531=""),"",$G531-$F531+1)</f>
        <v/>
      </c>
      <c r="I531" s="10">
        <f>IF($F531="","",IF(MONTH($F531)&gt;=4,YEAR($F531)&amp;"-"&amp;TEXT(YEAR($F531)+1-2000,"00"),YEAR($F531)-1&amp;"-"&amp;TEXT(YEAR($F531)-2000,"00")))</f>
        <v/>
      </c>
      <c r="J531" s="13" t="n">
        <v>45000</v>
      </c>
      <c r="K531" s="14">
        <f>IFERROR($L531/$J531,"")</f>
        <v/>
      </c>
      <c r="L531" s="13" t="n">
        <v>45000</v>
      </c>
      <c r="M531" s="13">
        <f>IFERROR($L531/$H531,"")</f>
        <v/>
      </c>
      <c r="N531" s="11" t="n">
        <v>45590</v>
      </c>
      <c r="O531" s="10">
        <f>IF($N531="","No","Yes")</f>
        <v/>
      </c>
      <c r="P531" s="12">
        <f>IF(OR($F531="",$G531=""),0,IF(AND($F531&lt;=README!$B$4,README!$B$4&lt;=$G531),1,0))</f>
        <v/>
      </c>
      <c r="Q531" s="12">
        <f>IF(OR($F531="",$G531=""),0,IF(AND($F531&lt;=DATE(README!$B$5,12,31),$G531&gt;=DATE(README!$B$5,1,1)),1,0))</f>
        <v/>
      </c>
      <c r="R531" s="10" t="inlineStr">
        <is>
          <t>GUP-VEH0009</t>
        </is>
      </c>
      <c r="S531" s="11" t="n">
        <v>45475</v>
      </c>
      <c r="T531" s="10" t="inlineStr">
        <is>
          <t>546</t>
        </is>
      </c>
      <c r="U531" s="10" t="inlineStr">
        <is>
          <t>VEHICLE</t>
        </is>
      </c>
      <c r="V531" s="10" t="inlineStr">
        <is>
          <t>T</t>
        </is>
      </c>
      <c r="W531" s="10" t="inlineStr">
        <is>
          <t>VIVEK B</t>
        </is>
      </c>
    </row>
    <row r="532">
      <c r="A532" s="10" t="inlineStr">
        <is>
          <t>TN57CD3636</t>
        </is>
      </c>
      <c r="B532" s="10" t="inlineStr">
        <is>
          <t>SOCKS</t>
        </is>
      </c>
      <c r="C532" s="10" t="inlineStr">
        <is>
          <t>ROAD TAX</t>
        </is>
      </c>
      <c r="D532" s="10" t="inlineStr">
        <is>
          <t>ROAD TAX</t>
        </is>
      </c>
      <c r="E532" s="10" t="inlineStr">
        <is>
          <t>YEARLY</t>
        </is>
      </c>
      <c r="F532" s="11" t="n">
        <v>45383</v>
      </c>
      <c r="G532" s="11" t="n">
        <v>45747</v>
      </c>
      <c r="H532" s="12">
        <f>IF(OR($F532="",$G532=""),"",$G532-$F532+1)</f>
        <v/>
      </c>
      <c r="I532" s="10">
        <f>IF($F532="","",IF(MONTH($F532)&gt;=4,YEAR($F532)&amp;"-"&amp;TEXT(YEAR($F532)+1-2000,"00"),YEAR($F532)-1&amp;"-"&amp;TEXT(YEAR($F532)-2000,"00")))</f>
        <v/>
      </c>
      <c r="J532" s="13" t="n">
        <v>29694</v>
      </c>
      <c r="K532" s="14">
        <f>IFERROR($L532/$J532,"")</f>
        <v/>
      </c>
      <c r="L532" s="13" t="n">
        <v>29694</v>
      </c>
      <c r="M532" s="13">
        <f>IFERROR($L532/$H532,"")</f>
        <v/>
      </c>
      <c r="N532" s="11" t="n">
        <v>45569</v>
      </c>
      <c r="O532" s="10">
        <f>IF($N532="","No","Yes")</f>
        <v/>
      </c>
      <c r="P532" s="12">
        <f>IF(OR($F532="",$G532=""),0,IF(AND($F532&lt;=README!$B$4,README!$B$4&lt;=$G532),1,0))</f>
        <v/>
      </c>
      <c r="Q532" s="12">
        <f>IF(OR($F532="",$G532=""),0,IF(AND($F532&lt;=DATE(README!$B$5,12,31),$G532&gt;=DATE(README!$B$5,1,1)),1,0))</f>
        <v/>
      </c>
      <c r="R532" s="10" t="inlineStr">
        <is>
          <t>GUP-VEH0011</t>
        </is>
      </c>
      <c r="S532" s="11" t="n">
        <v>45477</v>
      </c>
      <c r="T532" s="10" t="inlineStr">
        <is>
          <t>548</t>
        </is>
      </c>
      <c r="U532" s="10" t="inlineStr">
        <is>
          <t>VEHICLE</t>
        </is>
      </c>
      <c r="V532" s="10" t="inlineStr">
        <is>
          <t>T</t>
        </is>
      </c>
      <c r="W532" s="10" t="inlineStr">
        <is>
          <t>VIVEK B</t>
        </is>
      </c>
    </row>
    <row r="533">
      <c r="A533" s="10" t="inlineStr">
        <is>
          <t>TN57CD3636</t>
        </is>
      </c>
      <c r="B533" s="10" t="inlineStr">
        <is>
          <t>SOCKS</t>
        </is>
      </c>
      <c r="C533" s="10" t="inlineStr">
        <is>
          <t>ROAD TAX</t>
        </is>
      </c>
      <c r="D533" s="10" t="inlineStr">
        <is>
          <t>ROAD TAX</t>
        </is>
      </c>
      <c r="E533" s="10" t="inlineStr">
        <is>
          <t>YEARLY</t>
        </is>
      </c>
      <c r="F533" s="11" t="n">
        <v>45383</v>
      </c>
      <c r="G533" s="11" t="n">
        <v>45747</v>
      </c>
      <c r="H533" s="12">
        <f>IF(OR($F533="",$G533=""),"",$G533-$F533+1)</f>
        <v/>
      </c>
      <c r="I533" s="10">
        <f>IF($F533="","",IF(MONTH($F533)&gt;=4,YEAR($F533)&amp;"-"&amp;TEXT(YEAR($F533)+1-2000,"00"),YEAR($F533)-1&amp;"-"&amp;TEXT(YEAR($F533)-2000,"00")))</f>
        <v/>
      </c>
      <c r="J533" s="13" t="n">
        <v>29694</v>
      </c>
      <c r="K533" s="14">
        <f>IFERROR($L533/$J533,"")</f>
        <v/>
      </c>
      <c r="L533" s="13" t="n">
        <v>29694</v>
      </c>
      <c r="M533" s="13">
        <f>IFERROR($L533/$H533,"")</f>
        <v/>
      </c>
      <c r="N533" s="11" t="n">
        <v>45481</v>
      </c>
      <c r="O533" s="10">
        <f>IF($N533="","No","Yes")</f>
        <v/>
      </c>
      <c r="P533" s="12">
        <f>IF(OR($F533="",$G533=""),0,IF(AND($F533&lt;=README!$B$4,README!$B$4&lt;=$G533),1,0))</f>
        <v/>
      </c>
      <c r="Q533" s="12">
        <f>IF(OR($F533="",$G533=""),0,IF(AND($F533&lt;=DATE(README!$B$5,12,31),$G533&gt;=DATE(README!$B$5,1,1)),1,0))</f>
        <v/>
      </c>
      <c r="R533" s="10" t="inlineStr">
        <is>
          <t>GUP-VEH0011</t>
        </is>
      </c>
      <c r="S533" s="11" t="n">
        <v>45477</v>
      </c>
      <c r="T533" s="10" t="inlineStr">
        <is>
          <t>548</t>
        </is>
      </c>
      <c r="U533" s="10" t="inlineStr">
        <is>
          <t>VEHICLE</t>
        </is>
      </c>
      <c r="V533" s="10" t="inlineStr">
        <is>
          <t>T</t>
        </is>
      </c>
      <c r="W533" s="10" t="inlineStr">
        <is>
          <t>VIVEK B</t>
        </is>
      </c>
    </row>
    <row r="534">
      <c r="A534" s="10" t="inlineStr">
        <is>
          <t>TN57CD3636</t>
        </is>
      </c>
      <c r="B534" s="10" t="inlineStr">
        <is>
          <t>SOCKS</t>
        </is>
      </c>
      <c r="C534" s="10" t="inlineStr">
        <is>
          <t>ROAD TAX</t>
        </is>
      </c>
      <c r="D534" s="10" t="inlineStr">
        <is>
          <t>ROAD TAX</t>
        </is>
      </c>
      <c r="E534" s="10" t="inlineStr">
        <is>
          <t>YEARLY</t>
        </is>
      </c>
      <c r="F534" s="11" t="n">
        <v>45383</v>
      </c>
      <c r="G534" s="11" t="n">
        <v>45747</v>
      </c>
      <c r="H534" s="12">
        <f>IF(OR($F534="",$G534=""),"",$G534-$F534+1)</f>
        <v/>
      </c>
      <c r="I534" s="10">
        <f>IF($F534="","",IF(MONTH($F534)&gt;=4,YEAR($F534)&amp;"-"&amp;TEXT(YEAR($F534)+1-2000,"00"),YEAR($F534)-1&amp;"-"&amp;TEXT(YEAR($F534)-2000,"00")))</f>
        <v/>
      </c>
      <c r="J534" s="13" t="n">
        <v>29694</v>
      </c>
      <c r="K534" s="14">
        <f>IFERROR($L534/$J534,"")</f>
        <v/>
      </c>
      <c r="L534" s="13" t="n">
        <v>29694</v>
      </c>
      <c r="M534" s="13">
        <f>IFERROR($L534/$H534,"")</f>
        <v/>
      </c>
      <c r="N534" s="11" t="n">
        <v>45649</v>
      </c>
      <c r="O534" s="10">
        <f>IF($N534="","No","Yes")</f>
        <v/>
      </c>
      <c r="P534" s="12">
        <f>IF(OR($F534="",$G534=""),0,IF(AND($F534&lt;=README!$B$4,README!$B$4&lt;=$G534),1,0))</f>
        <v/>
      </c>
      <c r="Q534" s="12">
        <f>IF(OR($F534="",$G534=""),0,IF(AND($F534&lt;=DATE(README!$B$5,12,31),$G534&gt;=DATE(README!$B$5,1,1)),1,0))</f>
        <v/>
      </c>
      <c r="R534" s="10" t="inlineStr">
        <is>
          <t>GUP-VEH0011</t>
        </is>
      </c>
      <c r="S534" s="11" t="n">
        <v>45477</v>
      </c>
      <c r="T534" s="10" t="inlineStr">
        <is>
          <t>548</t>
        </is>
      </c>
      <c r="U534" s="10" t="inlineStr">
        <is>
          <t>VEHICLE</t>
        </is>
      </c>
      <c r="V534" s="10" t="inlineStr">
        <is>
          <t>T</t>
        </is>
      </c>
      <c r="W534" s="10" t="inlineStr">
        <is>
          <t>VIVEK B</t>
        </is>
      </c>
    </row>
    <row r="535">
      <c r="A535" s="10" t="inlineStr">
        <is>
          <t>TN57CD3636</t>
        </is>
      </c>
      <c r="B535" s="10" t="inlineStr">
        <is>
          <t>SOCKS</t>
        </is>
      </c>
      <c r="C535" s="10" t="inlineStr">
        <is>
          <t>RTO EXPENSE</t>
        </is>
      </c>
      <c r="D535" s="10" t="inlineStr">
        <is>
          <t>RTO EXPENSE</t>
        </is>
      </c>
      <c r="E535" s="10" t="inlineStr">
        <is>
          <t>YEARLY</t>
        </is>
      </c>
      <c r="F535" s="11" t="n">
        <v>45383</v>
      </c>
      <c r="G535" s="11" t="n">
        <v>45747</v>
      </c>
      <c r="H535" s="12">
        <f>IF(OR($F535="",$G535=""),"",$G535-$F535+1)</f>
        <v/>
      </c>
      <c r="I535" s="10">
        <f>IF($F535="","",IF(MONTH($F535)&gt;=4,YEAR($F535)&amp;"-"&amp;TEXT(YEAR($F535)+1-2000,"00"),YEAR($F535)-1&amp;"-"&amp;TEXT(YEAR($F535)-2000,"00")))</f>
        <v/>
      </c>
      <c r="J535" s="13" t="n">
        <v>7500</v>
      </c>
      <c r="K535" s="14">
        <f>IFERROR($L535/$J535,"")</f>
        <v/>
      </c>
      <c r="L535" s="13" t="n">
        <v>7500</v>
      </c>
      <c r="M535" s="13">
        <f>IFERROR($L535/$H535,"")</f>
        <v/>
      </c>
      <c r="N535" s="11" t="n">
        <v>45573</v>
      </c>
      <c r="O535" s="10">
        <f>IF($N535="","No","Yes")</f>
        <v/>
      </c>
      <c r="P535" s="12">
        <f>IF(OR($F535="",$G535=""),0,IF(AND($F535&lt;=README!$B$4,README!$B$4&lt;=$G535),1,0))</f>
        <v/>
      </c>
      <c r="Q535" s="12">
        <f>IF(OR($F535="",$G535=""),0,IF(AND($F535&lt;=DATE(README!$B$5,12,31),$G535&gt;=DATE(README!$B$5,1,1)),1,0))</f>
        <v/>
      </c>
      <c r="R535" s="10" t="inlineStr">
        <is>
          <t>GUP-VEH0010</t>
        </is>
      </c>
      <c r="S535" s="11" t="n">
        <v>45475</v>
      </c>
      <c r="T535" s="10" t="inlineStr">
        <is>
          <t>547</t>
        </is>
      </c>
      <c r="U535" s="10" t="inlineStr">
        <is>
          <t>VEHICLE</t>
        </is>
      </c>
      <c r="V535" s="10" t="inlineStr">
        <is>
          <t>T</t>
        </is>
      </c>
      <c r="W535" s="10" t="inlineStr">
        <is>
          <t>VIVEK B</t>
        </is>
      </c>
    </row>
    <row r="536">
      <c r="A536" s="10" t="inlineStr">
        <is>
          <t>TN57CD3636</t>
        </is>
      </c>
      <c r="B536" s="10" t="inlineStr">
        <is>
          <t>SOCKS</t>
        </is>
      </c>
      <c r="C536" s="10" t="inlineStr">
        <is>
          <t>TYRE</t>
        </is>
      </c>
      <c r="D536" s="10" t="inlineStr">
        <is>
          <t>TYRE</t>
        </is>
      </c>
      <c r="E536" s="10" t="inlineStr">
        <is>
          <t>YEARLY</t>
        </is>
      </c>
      <c r="F536" s="11" t="n">
        <v>45383</v>
      </c>
      <c r="G536" s="11" t="n">
        <v>45747</v>
      </c>
      <c r="H536" s="12">
        <f>IF(OR($F536="",$G536=""),"",$G536-$F536+1)</f>
        <v/>
      </c>
      <c r="I536" s="10">
        <f>IF($F536="","",IF(MONTH($F536)&gt;=4,YEAR($F536)&amp;"-"&amp;TEXT(YEAR($F536)+1-2000,"00"),YEAR($F536)-1&amp;"-"&amp;TEXT(YEAR($F536)-2000,"00")))</f>
        <v/>
      </c>
      <c r="J536" s="13" t="n">
        <v>30700</v>
      </c>
      <c r="K536" s="14">
        <f>IFERROR($L536/$J536,"")</f>
        <v/>
      </c>
      <c r="L536" s="13" t="n">
        <v>0</v>
      </c>
      <c r="M536" s="13">
        <f>IFERROR($L536/$H536,"")</f>
        <v/>
      </c>
      <c r="N536" s="11" t="n"/>
      <c r="O536" s="10">
        <f>IF($N536="","No","Yes")</f>
        <v/>
      </c>
      <c r="P536" s="12">
        <f>IF(OR($F536="",$G536=""),0,IF(AND($F536&lt;=README!$B$4,README!$B$4&lt;=$G536),1,0))</f>
        <v/>
      </c>
      <c r="Q536" s="12">
        <f>IF(OR($F536="",$G536=""),0,IF(AND($F536&lt;=DATE(README!$B$5,12,31),$G536&gt;=DATE(README!$B$5,1,1)),1,0))</f>
        <v/>
      </c>
      <c r="R536" s="10" t="inlineStr">
        <is>
          <t>GUP-VEH0006</t>
        </is>
      </c>
      <c r="S536" s="11" t="n">
        <v>45442</v>
      </c>
      <c r="T536" s="10" t="inlineStr">
        <is>
          <t>522</t>
        </is>
      </c>
      <c r="U536" s="10" t="inlineStr">
        <is>
          <t>VEHICLE</t>
        </is>
      </c>
      <c r="V536" s="10" t="inlineStr">
        <is>
          <t>T</t>
        </is>
      </c>
      <c r="W536" s="10" t="inlineStr">
        <is>
          <t>VIVEK B</t>
        </is>
      </c>
    </row>
    <row r="537">
      <c r="A537" s="10" t="inlineStr">
        <is>
          <t>TN57CD3636</t>
        </is>
      </c>
      <c r="B537" s="10" t="inlineStr">
        <is>
          <t>SOCKS</t>
        </is>
      </c>
      <c r="C537" s="10" t="inlineStr">
        <is>
          <t>VEHICLE INSURANCE</t>
        </is>
      </c>
      <c r="D537" s="10" t="inlineStr">
        <is>
          <t>VEHICLE INSURANCE</t>
        </is>
      </c>
      <c r="E537" s="10" t="inlineStr">
        <is>
          <t>YEARLY</t>
        </is>
      </c>
      <c r="F537" s="11" t="n">
        <v>45383</v>
      </c>
      <c r="G537" s="11" t="n">
        <v>45747</v>
      </c>
      <c r="H537" s="12">
        <f>IF(OR($F537="",$G537=""),"",$G537-$F537+1)</f>
        <v/>
      </c>
      <c r="I537" s="10">
        <f>IF($F537="","",IF(MONTH($F537)&gt;=4,YEAR($F537)&amp;"-"&amp;TEXT(YEAR($F537)+1-2000,"00"),YEAR($F537)-1&amp;"-"&amp;TEXT(YEAR($F537)-2000,"00")))</f>
        <v/>
      </c>
      <c r="J537" s="13" t="n">
        <v>67828</v>
      </c>
      <c r="K537" s="14">
        <f>IFERROR($L537/$J537,"")</f>
        <v/>
      </c>
      <c r="L537" s="13" t="n">
        <v>0</v>
      </c>
      <c r="M537" s="13">
        <f>IFERROR($L537/$H537,"")</f>
        <v/>
      </c>
      <c r="N537" s="11" t="n"/>
      <c r="O537" s="10">
        <f>IF($N537="","No","Yes")</f>
        <v/>
      </c>
      <c r="P537" s="12">
        <f>IF(OR($F537="",$G537=""),0,IF(AND($F537&lt;=README!$B$4,README!$B$4&lt;=$G537),1,0))</f>
        <v/>
      </c>
      <c r="Q537" s="12">
        <f>IF(OR($F537="",$G537=""),0,IF(AND($F537&lt;=DATE(README!$B$5,12,31),$G537&gt;=DATE(README!$B$5,1,1)),1,0))</f>
        <v/>
      </c>
      <c r="R537" s="10" t="inlineStr">
        <is>
          <t>GUP-VEH0013</t>
        </is>
      </c>
      <c r="S537" s="11" t="n">
        <v>45478</v>
      </c>
      <c r="T537" s="10" t="inlineStr">
        <is>
          <t>550</t>
        </is>
      </c>
      <c r="U537" s="10" t="inlineStr">
        <is>
          <t>VEHICLE</t>
        </is>
      </c>
      <c r="V537" s="10" t="inlineStr">
        <is>
          <t>T</t>
        </is>
      </c>
      <c r="W537" s="10" t="inlineStr">
        <is>
          <t>VIVEK B</t>
        </is>
      </c>
    </row>
    <row r="538">
      <c r="A538" s="10" t="inlineStr">
        <is>
          <t>TN57CD3636</t>
        </is>
      </c>
      <c r="B538" s="10" t="inlineStr">
        <is>
          <t>SOCKS</t>
        </is>
      </c>
      <c r="C538" s="10" t="inlineStr">
        <is>
          <t>VEHICLE OUTSIDE SERVICES</t>
        </is>
      </c>
      <c r="D538" s="10" t="inlineStr">
        <is>
          <t>MAINTENANCE SERVICE - 2</t>
        </is>
      </c>
      <c r="E538" s="10" t="inlineStr">
        <is>
          <t>YEARLY</t>
        </is>
      </c>
      <c r="F538" s="11" t="n">
        <v>45383</v>
      </c>
      <c r="G538" s="11" t="n">
        <v>45747</v>
      </c>
      <c r="H538" s="12">
        <f>IF(OR($F538="",$G538=""),"",$G538-$F538+1)</f>
        <v/>
      </c>
      <c r="I538" s="10">
        <f>IF($F538="","",IF(MONTH($F538)&gt;=4,YEAR($F538)&amp;"-"&amp;TEXT(YEAR($F538)+1-2000,"00"),YEAR($F538)-1&amp;"-"&amp;TEXT(YEAR($F538)-2000,"00")))</f>
        <v/>
      </c>
      <c r="J538" s="13" t="n">
        <v>45000</v>
      </c>
      <c r="K538" s="14">
        <f>IFERROR($L538/$J538,"")</f>
        <v/>
      </c>
      <c r="L538" s="13" t="n">
        <v>45000</v>
      </c>
      <c r="M538" s="13">
        <f>IFERROR($L538/$H538,"")</f>
        <v/>
      </c>
      <c r="N538" s="11" t="n">
        <v>45580</v>
      </c>
      <c r="O538" s="10">
        <f>IF($N538="","No","Yes")</f>
        <v/>
      </c>
      <c r="P538" s="12">
        <f>IF(OR($F538="",$G538=""),0,IF(AND($F538&lt;=README!$B$4,README!$B$4&lt;=$G538),1,0))</f>
        <v/>
      </c>
      <c r="Q538" s="12">
        <f>IF(OR($F538="",$G538=""),0,IF(AND($F538&lt;=DATE(README!$B$5,12,31),$G538&gt;=DATE(README!$B$5,1,1)),1,0))</f>
        <v/>
      </c>
      <c r="R538" s="10" t="inlineStr">
        <is>
          <t>GUP-VEH0012</t>
        </is>
      </c>
      <c r="S538" s="11" t="n">
        <v>45477</v>
      </c>
      <c r="T538" s="10" t="inlineStr">
        <is>
          <t>549</t>
        </is>
      </c>
      <c r="U538" s="10" t="inlineStr">
        <is>
          <t>VEHICLE</t>
        </is>
      </c>
      <c r="V538" s="10" t="inlineStr">
        <is>
          <t>T</t>
        </is>
      </c>
      <c r="W538" s="10" t="inlineStr">
        <is>
          <t>VIVEK B</t>
        </is>
      </c>
    </row>
    <row r="539">
      <c r="A539" s="10" t="inlineStr">
        <is>
          <t>TN57CD3636</t>
        </is>
      </c>
      <c r="B539" s="10" t="inlineStr">
        <is>
          <t>SOCKS</t>
        </is>
      </c>
      <c r="C539" s="10" t="inlineStr">
        <is>
          <t>VEHICLE OUTSIDE SERVICES</t>
        </is>
      </c>
      <c r="D539" s="10" t="inlineStr">
        <is>
          <t xml:space="preserve">MAINTENANCE SERVICE </t>
        </is>
      </c>
      <c r="E539" s="10" t="inlineStr">
        <is>
          <t>YEARLY</t>
        </is>
      </c>
      <c r="F539" s="11" t="n">
        <v>45383</v>
      </c>
      <c r="G539" s="11" t="n">
        <v>45747</v>
      </c>
      <c r="H539" s="12">
        <f>IF(OR($F539="",$G539=""),"",$G539-$F539+1)</f>
        <v/>
      </c>
      <c r="I539" s="10">
        <f>IF($F539="","",IF(MONTH($F539)&gt;=4,YEAR($F539)&amp;"-"&amp;TEXT(YEAR($F539)+1-2000,"00"),YEAR($F539)-1&amp;"-"&amp;TEXT(YEAR($F539)-2000,"00")))</f>
        <v/>
      </c>
      <c r="J539" s="13" t="n">
        <v>31434.52</v>
      </c>
      <c r="K539" s="14">
        <f>IFERROR($L539/$J539,"")</f>
        <v/>
      </c>
      <c r="L539" s="13" t="n">
        <v>31434.52</v>
      </c>
      <c r="M539" s="13">
        <f>IFERROR($L539/$H539,"")</f>
        <v/>
      </c>
      <c r="N539" s="11" t="n">
        <v>45477</v>
      </c>
      <c r="O539" s="10">
        <f>IF($N539="","No","Yes")</f>
        <v/>
      </c>
      <c r="P539" s="12">
        <f>IF(OR($F539="",$G539=""),0,IF(AND($F539&lt;=README!$B$4,README!$B$4&lt;=$G539),1,0))</f>
        <v/>
      </c>
      <c r="Q539" s="12">
        <f>IF(OR($F539="",$G539=""),0,IF(AND($F539&lt;=DATE(README!$B$5,12,31),$G539&gt;=DATE(README!$B$5,1,1)),1,0))</f>
        <v/>
      </c>
      <c r="R539" s="10" t="inlineStr">
        <is>
          <t>GUP-VEH0012</t>
        </is>
      </c>
      <c r="S539" s="11" t="n">
        <v>45477</v>
      </c>
      <c r="T539" s="10" t="inlineStr">
        <is>
          <t>549</t>
        </is>
      </c>
      <c r="U539" s="10" t="inlineStr">
        <is>
          <t>VEHICLE</t>
        </is>
      </c>
      <c r="V539" s="10" t="inlineStr">
        <is>
          <t>T</t>
        </is>
      </c>
      <c r="W539" s="10" t="inlineStr">
        <is>
          <t>VIVEK B</t>
        </is>
      </c>
    </row>
    <row r="540">
      <c r="A540" s="10" t="inlineStr">
        <is>
          <t>TN57CD3636</t>
        </is>
      </c>
      <c r="B540" s="10" t="inlineStr">
        <is>
          <t>SOCKS</t>
        </is>
      </c>
      <c r="C540" s="10" t="inlineStr">
        <is>
          <t>VEHICLE OUTSIDE SERVICES</t>
        </is>
      </c>
      <c r="D540" s="10" t="inlineStr">
        <is>
          <t>GENERAL SERVICE</t>
        </is>
      </c>
      <c r="E540" s="10" t="inlineStr">
        <is>
          <t>YEARLY</t>
        </is>
      </c>
      <c r="F540" s="11" t="n">
        <v>45383</v>
      </c>
      <c r="G540" s="11" t="n">
        <v>45747</v>
      </c>
      <c r="H540" s="12">
        <f>IF(OR($F540="",$G540=""),"",$G540-$F540+1)</f>
        <v/>
      </c>
      <c r="I540" s="10">
        <f>IF($F540="","",IF(MONTH($F540)&gt;=4,YEAR($F540)&amp;"-"&amp;TEXT(YEAR($F540)+1-2000,"00"),YEAR($F540)-1&amp;"-"&amp;TEXT(YEAR($F540)-2000,"00")))</f>
        <v/>
      </c>
      <c r="J540" s="13" t="n">
        <v>14635</v>
      </c>
      <c r="K540" s="14">
        <f>IFERROR($L540/$J540,"")</f>
        <v/>
      </c>
      <c r="L540" s="13" t="n">
        <v>14635</v>
      </c>
      <c r="M540" s="13">
        <f>IFERROR($L540/$H540,"")</f>
        <v/>
      </c>
      <c r="N540" s="11" t="n">
        <v>45556</v>
      </c>
      <c r="O540" s="10">
        <f>IF($N540="","No","Yes")</f>
        <v/>
      </c>
      <c r="P540" s="12">
        <f>IF(OR($F540="",$G540=""),0,IF(AND($F540&lt;=README!$B$4,README!$B$4&lt;=$G540),1,0))</f>
        <v/>
      </c>
      <c r="Q540" s="12">
        <f>IF(OR($F540="",$G540=""),0,IF(AND($F540&lt;=DATE(README!$B$5,12,31),$G540&gt;=DATE(README!$B$5,1,1)),1,0))</f>
        <v/>
      </c>
      <c r="R540" s="10" t="inlineStr">
        <is>
          <t>GUP-VEH0012</t>
        </is>
      </c>
      <c r="S540" s="11" t="n">
        <v>45477</v>
      </c>
      <c r="T540" s="10" t="inlineStr">
        <is>
          <t>549</t>
        </is>
      </c>
      <c r="U540" s="10" t="inlineStr">
        <is>
          <t>VEHICLE</t>
        </is>
      </c>
      <c r="V540" s="10" t="inlineStr">
        <is>
          <t>T</t>
        </is>
      </c>
      <c r="W540" s="10" t="inlineStr">
        <is>
          <t>VIVEK B</t>
        </is>
      </c>
    </row>
    <row r="541">
      <c r="A541" s="10" t="inlineStr">
        <is>
          <t>TN57CD3636</t>
        </is>
      </c>
      <c r="B541" s="10" t="inlineStr">
        <is>
          <t>SOCKS</t>
        </is>
      </c>
      <c r="C541" s="10" t="inlineStr">
        <is>
          <t>ROAD TAX</t>
        </is>
      </c>
      <c r="D541" s="10" t="inlineStr">
        <is>
          <t>ROAD TAX</t>
        </is>
      </c>
      <c r="E541" s="10" t="inlineStr">
        <is>
          <t>QUARTER - I</t>
        </is>
      </c>
      <c r="F541" s="11" t="n">
        <v>45748</v>
      </c>
      <c r="G541" s="11" t="n">
        <v>45838</v>
      </c>
      <c r="H541" s="12">
        <f>IF(OR($F541="",$G541=""),"",$G541-$F541+1)</f>
        <v/>
      </c>
      <c r="I541" s="10">
        <f>IF($F541="","",IF(MONTH($F541)&gt;=4,YEAR($F541)&amp;"-"&amp;TEXT(YEAR($F541)+1-2000,"00"),YEAR($F541)-1&amp;"-"&amp;TEXT(YEAR($F541)-2000,"00")))</f>
        <v/>
      </c>
      <c r="J541" s="13" t="n">
        <v>29694</v>
      </c>
      <c r="K541" s="14">
        <f>IFERROR($L541/$J541,"")</f>
        <v/>
      </c>
      <c r="L541" s="13" t="n">
        <v>29694</v>
      </c>
      <c r="M541" s="13">
        <f>IFERROR($L541/$H541,"")</f>
        <v/>
      </c>
      <c r="N541" s="11" t="n">
        <v>46030</v>
      </c>
      <c r="O541" s="10">
        <f>IF($N541="","No","Yes")</f>
        <v/>
      </c>
      <c r="P541" s="12">
        <f>IF(OR($F541="",$G541=""),0,IF(AND($F541&lt;=README!$B$4,README!$B$4&lt;=$G541),1,0))</f>
        <v/>
      </c>
      <c r="Q541" s="12">
        <f>IF(OR($F541="",$G541=""),0,IF(AND($F541&lt;=DATE(README!$B$5,12,31),$G541&gt;=DATE(README!$B$5,1,1)),1,0))</f>
        <v/>
      </c>
      <c r="R541" s="10" t="inlineStr">
        <is>
          <t>GUP-VEH0014</t>
        </is>
      </c>
      <c r="S541" s="11" t="n">
        <v>45748</v>
      </c>
      <c r="T541" s="10" t="inlineStr">
        <is>
          <t>609</t>
        </is>
      </c>
      <c r="U541" s="10" t="inlineStr">
        <is>
          <t>VEHICLE</t>
        </is>
      </c>
      <c r="V541" s="10" t="inlineStr">
        <is>
          <t>T</t>
        </is>
      </c>
      <c r="W541" s="10" t="inlineStr">
        <is>
          <t>VIVEK B</t>
        </is>
      </c>
    </row>
    <row r="542">
      <c r="A542" s="10" t="inlineStr">
        <is>
          <t>TN57CD3636</t>
        </is>
      </c>
      <c r="B542" s="10" t="inlineStr">
        <is>
          <t>SOCKS</t>
        </is>
      </c>
      <c r="C542" s="10" t="inlineStr">
        <is>
          <t>RTO EXPENSE</t>
        </is>
      </c>
      <c r="D542" s="10" t="inlineStr">
        <is>
          <t>PERMIT RENEWAL 5 YEAR</t>
        </is>
      </c>
      <c r="E542" s="10" t="inlineStr">
        <is>
          <t>YEARLY</t>
        </is>
      </c>
      <c r="F542" s="11" t="n">
        <v>45748</v>
      </c>
      <c r="G542" s="11" t="n">
        <v>46112</v>
      </c>
      <c r="H542" s="12">
        <f>IF(OR($F542="",$G542=""),"",$G542-$F542+1)</f>
        <v/>
      </c>
      <c r="I542" s="10">
        <f>IF($F542="","",IF(MONTH($F542)&gt;=4,YEAR($F542)&amp;"-"&amp;TEXT(YEAR($F542)+1-2000,"00"),YEAR($F542)-1&amp;"-"&amp;TEXT(YEAR($F542)-2000,"00")))</f>
        <v/>
      </c>
      <c r="J542" s="13" t="n">
        <v>6800</v>
      </c>
      <c r="K542" s="14">
        <f>IFERROR($L542/$J542,"")</f>
        <v/>
      </c>
      <c r="L542" s="13" t="n">
        <v>6800</v>
      </c>
      <c r="M542" s="13">
        <f>IFERROR($L542/$H542,"")</f>
        <v/>
      </c>
      <c r="N542" s="11" t="n">
        <v>45901</v>
      </c>
      <c r="O542" s="10">
        <f>IF($N542="","No","Yes")</f>
        <v/>
      </c>
      <c r="P542" s="12">
        <f>IF(OR($F542="",$G542=""),0,IF(AND($F542&lt;=README!$B$4,README!$B$4&lt;=$G542),1,0))</f>
        <v/>
      </c>
      <c r="Q542" s="12">
        <f>IF(OR($F542="",$G542=""),0,IF(AND($F542&lt;=DATE(README!$B$5,12,31),$G542&gt;=DATE(README!$B$5,1,1)),1,0))</f>
        <v/>
      </c>
      <c r="R542" s="10" t="inlineStr">
        <is>
          <t>GUP-VEH0022</t>
        </is>
      </c>
      <c r="S542" s="11" t="n">
        <v>45834</v>
      </c>
      <c r="T542" s="10" t="inlineStr">
        <is>
          <t>655</t>
        </is>
      </c>
      <c r="U542" s="10" t="inlineStr">
        <is>
          <t>VEHICLE</t>
        </is>
      </c>
      <c r="V542" s="10" t="inlineStr">
        <is>
          <t>T</t>
        </is>
      </c>
      <c r="W542" s="10" t="inlineStr">
        <is>
          <t>VIVEK B</t>
        </is>
      </c>
    </row>
    <row r="543">
      <c r="A543" s="10" t="inlineStr">
        <is>
          <t>TN57CD3636</t>
        </is>
      </c>
      <c r="B543" s="10" t="inlineStr">
        <is>
          <t>SOCKS</t>
        </is>
      </c>
      <c r="C543" s="10" t="inlineStr">
        <is>
          <t>TYRE</t>
        </is>
      </c>
      <c r="D543" s="10" t="inlineStr">
        <is>
          <t>TYRE</t>
        </is>
      </c>
      <c r="E543" s="10" t="inlineStr">
        <is>
          <t>YEARLY</t>
        </is>
      </c>
      <c r="F543" s="11" t="n">
        <v>45748</v>
      </c>
      <c r="G543" s="11" t="n">
        <v>46112</v>
      </c>
      <c r="H543" s="12">
        <f>IF(OR($F543="",$G543=""),"",$G543-$F543+1)</f>
        <v/>
      </c>
      <c r="I543" s="10">
        <f>IF($F543="","",IF(MONTH($F543)&gt;=4,YEAR($F543)&amp;"-"&amp;TEXT(YEAR($F543)+1-2000,"00"),YEAR($F543)-1&amp;"-"&amp;TEXT(YEAR($F543)-2000,"00")))</f>
        <v/>
      </c>
      <c r="J543" s="13" t="n">
        <v>32300</v>
      </c>
      <c r="K543" s="14">
        <f>IFERROR($L543/$J543,"")</f>
        <v/>
      </c>
      <c r="L543" s="13" t="n">
        <v>32300</v>
      </c>
      <c r="M543" s="13">
        <f>IFERROR($L543/$H543,"")</f>
        <v/>
      </c>
      <c r="N543" s="11" t="n">
        <v>46020</v>
      </c>
      <c r="O543" s="10">
        <f>IF($N543="","No","Yes")</f>
        <v/>
      </c>
      <c r="P543" s="12">
        <f>IF(OR($F543="",$G543=""),0,IF(AND($F543&lt;=README!$B$4,README!$B$4&lt;=$G543),1,0))</f>
        <v/>
      </c>
      <c r="Q543" s="12">
        <f>IF(OR($F543="",$G543=""),0,IF(AND($F543&lt;=DATE(README!$B$5,12,31),$G543&gt;=DATE(README!$B$5,1,1)),1,0))</f>
        <v/>
      </c>
      <c r="R543" s="10" t="inlineStr">
        <is>
          <t>GUP-VEH0025</t>
        </is>
      </c>
      <c r="S543" s="11" t="n">
        <v>45957</v>
      </c>
      <c r="T543" s="10" t="inlineStr">
        <is>
          <t>726</t>
        </is>
      </c>
      <c r="U543" s="10" t="inlineStr">
        <is>
          <t>VEHICLE</t>
        </is>
      </c>
      <c r="V543" s="10" t="inlineStr">
        <is>
          <t>T</t>
        </is>
      </c>
      <c r="W543" s="10" t="inlineStr">
        <is>
          <t>VIVEK B</t>
        </is>
      </c>
    </row>
    <row r="544">
      <c r="A544" s="10" t="inlineStr">
        <is>
          <t>TN57CD3636</t>
        </is>
      </c>
      <c r="B544" s="10" t="inlineStr">
        <is>
          <t>SOCKS</t>
        </is>
      </c>
      <c r="C544" s="10" t="inlineStr">
        <is>
          <t>VEHICLE INSURANCE</t>
        </is>
      </c>
      <c r="D544" s="10" t="inlineStr">
        <is>
          <t>VEHICLE INSURANCE</t>
        </is>
      </c>
      <c r="E544" s="10" t="inlineStr">
        <is>
          <t>YEARLY</t>
        </is>
      </c>
      <c r="F544" s="11" t="n">
        <v>45748</v>
      </c>
      <c r="G544" s="11" t="n">
        <v>46112</v>
      </c>
      <c r="H544" s="12">
        <f>IF(OR($F544="",$G544=""),"",$G544-$F544+1)</f>
        <v/>
      </c>
      <c r="I544" s="10">
        <f>IF($F544="","",IF(MONTH($F544)&gt;=4,YEAR($F544)&amp;"-"&amp;TEXT(YEAR($F544)+1-2000,"00"),YEAR($F544)-1&amp;"-"&amp;TEXT(YEAR($F544)-2000,"00")))</f>
        <v/>
      </c>
      <c r="J544" s="13" t="n">
        <v>66749</v>
      </c>
      <c r="K544" s="14">
        <f>IFERROR($L544/$J544,"")</f>
        <v/>
      </c>
      <c r="L544" s="13" t="n">
        <v>66749</v>
      </c>
      <c r="M544" s="13">
        <f>IFERROR($L544/$H544,"")</f>
        <v/>
      </c>
      <c r="N544" s="11" t="n">
        <v>45853</v>
      </c>
      <c r="O544" s="10">
        <f>IF($N544="","No","Yes")</f>
        <v/>
      </c>
      <c r="P544" s="12">
        <f>IF(OR($F544="",$G544=""),0,IF(AND($F544&lt;=README!$B$4,README!$B$4&lt;=$G544),1,0))</f>
        <v/>
      </c>
      <c r="Q544" s="12">
        <f>IF(OR($F544="",$G544=""),0,IF(AND($F544&lt;=DATE(README!$B$5,12,31),$G544&gt;=DATE(README!$B$5,1,1)),1,0))</f>
        <v/>
      </c>
      <c r="R544" s="10" t="inlineStr">
        <is>
          <t>GUP-VEH0020</t>
        </is>
      </c>
      <c r="S544" s="11" t="n">
        <v>45799</v>
      </c>
      <c r="T544" s="10" t="inlineStr">
        <is>
          <t>645</t>
        </is>
      </c>
      <c r="U544" s="10" t="inlineStr">
        <is>
          <t>VEHICLE</t>
        </is>
      </c>
      <c r="V544" s="10" t="inlineStr">
        <is>
          <t>T</t>
        </is>
      </c>
      <c r="W544" s="10" t="inlineStr">
        <is>
          <t>VIVEK B</t>
        </is>
      </c>
    </row>
    <row r="545">
      <c r="A545" s="10" t="inlineStr">
        <is>
          <t>TN57CD3636</t>
        </is>
      </c>
      <c r="B545" s="10" t="inlineStr">
        <is>
          <t>GENERAL</t>
        </is>
      </c>
      <c r="C545" s="10" t="inlineStr">
        <is>
          <t>VEHICLE OUTSIDE SERVICES</t>
        </is>
      </c>
      <c r="D545" s="10" t="inlineStr">
        <is>
          <t xml:space="preserve">MAINTENANCE SERVICE </t>
        </is>
      </c>
      <c r="E545" s="10" t="inlineStr">
        <is>
          <t>YEARLY</t>
        </is>
      </c>
      <c r="F545" s="11" t="n">
        <v>45748</v>
      </c>
      <c r="G545" s="11" t="n">
        <v>46112</v>
      </c>
      <c r="H545" s="12">
        <f>IF(OR($F545="",$G545=""),"",$G545-$F545+1)</f>
        <v/>
      </c>
      <c r="I545" s="10">
        <f>IF($F545="","",IF(MONTH($F545)&gt;=4,YEAR($F545)&amp;"-"&amp;TEXT(YEAR($F545)+1-2000,"00"),YEAR($F545)-1&amp;"-"&amp;TEXT(YEAR($F545)-2000,"00")))</f>
        <v/>
      </c>
      <c r="J545" s="13" t="n">
        <v>9035.120000000001</v>
      </c>
      <c r="K545" s="14">
        <f>IFERROR($L545/$J545,"")</f>
        <v/>
      </c>
      <c r="L545" s="13" t="n">
        <v>9035.120000000001</v>
      </c>
      <c r="M545" s="13">
        <f>IFERROR($L545/$H545,"")</f>
        <v/>
      </c>
      <c r="N545" s="11" t="n">
        <v>45812</v>
      </c>
      <c r="O545" s="10">
        <f>IF($N545="","No","Yes")</f>
        <v/>
      </c>
      <c r="P545" s="12">
        <f>IF(OR($F545="",$G545=""),0,IF(AND($F545&lt;=README!$B$4,README!$B$4&lt;=$G545),1,0))</f>
        <v/>
      </c>
      <c r="Q545" s="12">
        <f>IF(OR($F545="",$G545=""),0,IF(AND($F545&lt;=DATE(README!$B$5,12,31),$G545&gt;=DATE(README!$B$5,1,1)),1,0))</f>
        <v/>
      </c>
      <c r="R545" s="10" t="inlineStr">
        <is>
          <t>GUP-VEH0019</t>
        </is>
      </c>
      <c r="S545" s="11" t="n">
        <v>45777</v>
      </c>
      <c r="T545" s="10" t="inlineStr">
        <is>
          <t>638</t>
        </is>
      </c>
      <c r="U545" s="10" t="inlineStr">
        <is>
          <t>VEHICLE</t>
        </is>
      </c>
      <c r="V545" s="10" t="inlineStr">
        <is>
          <t>T</t>
        </is>
      </c>
      <c r="W545" s="10" t="inlineStr">
        <is>
          <t>VIVEK B</t>
        </is>
      </c>
    </row>
    <row r="546">
      <c r="A546" s="10" t="inlineStr">
        <is>
          <t>TN57CD3636</t>
        </is>
      </c>
      <c r="B546" s="10" t="inlineStr">
        <is>
          <t>GENERAL</t>
        </is>
      </c>
      <c r="C546" s="10" t="inlineStr">
        <is>
          <t>VEHICLE OUTSIDE SERVICES</t>
        </is>
      </c>
      <c r="D546" s="10" t="inlineStr">
        <is>
          <t>MAINTENANCE SERVICE - 3</t>
        </is>
      </c>
      <c r="E546" s="10" t="inlineStr">
        <is>
          <t>YEARLY</t>
        </is>
      </c>
      <c r="F546" s="11" t="n">
        <v>45748</v>
      </c>
      <c r="G546" s="11" t="n">
        <v>46112</v>
      </c>
      <c r="H546" s="12">
        <f>IF(OR($F546="",$G546=""),"",$G546-$F546+1)</f>
        <v/>
      </c>
      <c r="I546" s="10">
        <f>IF($F546="","",IF(MONTH($F546)&gt;=4,YEAR($F546)&amp;"-"&amp;TEXT(YEAR($F546)+1-2000,"00"),YEAR($F546)-1&amp;"-"&amp;TEXT(YEAR($F546)-2000,"00")))</f>
        <v/>
      </c>
      <c r="J546" s="13" t="n">
        <v>17712.57</v>
      </c>
      <c r="K546" s="14">
        <f>IFERROR($L546/$J546,"")</f>
        <v/>
      </c>
      <c r="L546" s="13" t="n">
        <v>17712.57</v>
      </c>
      <c r="M546" s="13">
        <f>IFERROR($L546/$H546,"")</f>
        <v/>
      </c>
      <c r="N546" s="11" t="n">
        <v>45922</v>
      </c>
      <c r="O546" s="10">
        <f>IF($N546="","No","Yes")</f>
        <v/>
      </c>
      <c r="P546" s="12">
        <f>IF(OR($F546="",$G546=""),0,IF(AND($F546&lt;=README!$B$4,README!$B$4&lt;=$G546),1,0))</f>
        <v/>
      </c>
      <c r="Q546" s="12">
        <f>IF(OR($F546="",$G546=""),0,IF(AND($F546&lt;=DATE(README!$B$5,12,31),$G546&gt;=DATE(README!$B$5,1,1)),1,0))</f>
        <v/>
      </c>
      <c r="R546" s="10" t="inlineStr">
        <is>
          <t>GUP-VEH0019</t>
        </is>
      </c>
      <c r="S546" s="11" t="n">
        <v>45777</v>
      </c>
      <c r="T546" s="10" t="inlineStr">
        <is>
          <t>638</t>
        </is>
      </c>
      <c r="U546" s="10" t="inlineStr">
        <is>
          <t>VEHICLE</t>
        </is>
      </c>
      <c r="V546" s="10" t="inlineStr">
        <is>
          <t>T</t>
        </is>
      </c>
      <c r="W546" s="10" t="inlineStr">
        <is>
          <t>VIVEK B</t>
        </is>
      </c>
    </row>
    <row r="547">
      <c r="A547" s="10" t="inlineStr">
        <is>
          <t>TN57CD3636</t>
        </is>
      </c>
      <c r="B547" s="10" t="inlineStr">
        <is>
          <t>GENERAL</t>
        </is>
      </c>
      <c r="C547" s="10" t="inlineStr">
        <is>
          <t>VEHICLE OUTSIDE SERVICES</t>
        </is>
      </c>
      <c r="D547" s="10" t="inlineStr">
        <is>
          <t>MAINTENANCE SERVICE - 2</t>
        </is>
      </c>
      <c r="E547" s="10" t="inlineStr">
        <is>
          <t>YEARLY</t>
        </is>
      </c>
      <c r="F547" s="11" t="n">
        <v>45748</v>
      </c>
      <c r="G547" s="11" t="n">
        <v>46112</v>
      </c>
      <c r="H547" s="12">
        <f>IF(OR($F547="",$G547=""),"",$G547-$F547+1)</f>
        <v/>
      </c>
      <c r="I547" s="10">
        <f>IF($F547="","",IF(MONTH($F547)&gt;=4,YEAR($F547)&amp;"-"&amp;TEXT(YEAR($F547)+1-2000,"00"),YEAR($F547)-1&amp;"-"&amp;TEXT(YEAR($F547)-2000,"00")))</f>
        <v/>
      </c>
      <c r="J547" s="13" t="n">
        <v>30785.53</v>
      </c>
      <c r="K547" s="14">
        <f>IFERROR($L547/$J547,"")</f>
        <v/>
      </c>
      <c r="L547" s="13" t="n">
        <v>30785.53</v>
      </c>
      <c r="M547" s="13">
        <f>IFERROR($L547/$H547,"")</f>
        <v/>
      </c>
      <c r="N547" s="11" t="n">
        <v>45901</v>
      </c>
      <c r="O547" s="10">
        <f>IF($N547="","No","Yes")</f>
        <v/>
      </c>
      <c r="P547" s="12">
        <f>IF(OR($F547="",$G547=""),0,IF(AND($F547&lt;=README!$B$4,README!$B$4&lt;=$G547),1,0))</f>
        <v/>
      </c>
      <c r="Q547" s="12">
        <f>IF(OR($F547="",$G547=""),0,IF(AND($F547&lt;=DATE(README!$B$5,12,31),$G547&gt;=DATE(README!$B$5,1,1)),1,0))</f>
        <v/>
      </c>
      <c r="R547" s="10" t="inlineStr">
        <is>
          <t>GUP-VEH0019</t>
        </is>
      </c>
      <c r="S547" s="11" t="n">
        <v>45777</v>
      </c>
      <c r="T547" s="10" t="inlineStr">
        <is>
          <t>638</t>
        </is>
      </c>
      <c r="U547" s="10" t="inlineStr">
        <is>
          <t>VEHICLE</t>
        </is>
      </c>
      <c r="V547" s="10" t="inlineStr">
        <is>
          <t>T</t>
        </is>
      </c>
      <c r="W547" s="10" t="inlineStr">
        <is>
          <t>VIVEK B</t>
        </is>
      </c>
    </row>
    <row r="548">
      <c r="A548" s="10" t="inlineStr">
        <is>
          <t>TN57CD3636</t>
        </is>
      </c>
      <c r="B548" s="10" t="inlineStr">
        <is>
          <t>SOCKS</t>
        </is>
      </c>
      <c r="C548" s="10" t="inlineStr">
        <is>
          <t>ROAD TAX</t>
        </is>
      </c>
      <c r="D548" s="10" t="inlineStr">
        <is>
          <t>ROAD TAX</t>
        </is>
      </c>
      <c r="E548" s="10" t="inlineStr">
        <is>
          <t>QUARTER - II</t>
        </is>
      </c>
      <c r="F548" s="11" t="n">
        <v>45839</v>
      </c>
      <c r="G548" s="11" t="n">
        <v>45930</v>
      </c>
      <c r="H548" s="12">
        <f>IF(OR($F548="",$G548=""),"",$G548-$F548+1)</f>
        <v/>
      </c>
      <c r="I548" s="10">
        <f>IF($F548="","",IF(MONTH($F548)&gt;=4,YEAR($F548)&amp;"-"&amp;TEXT(YEAR($F548)+1-2000,"00"),YEAR($F548)-1&amp;"-"&amp;TEXT(YEAR($F548)-2000,"00")))</f>
        <v/>
      </c>
      <c r="J548" s="13" t="n">
        <v>29694</v>
      </c>
      <c r="K548" s="14">
        <f>IFERROR($L548/$J548,"")</f>
        <v/>
      </c>
      <c r="L548" s="13" t="n">
        <v>29694</v>
      </c>
      <c r="M548" s="13">
        <f>IFERROR($L548/$H548,"")</f>
        <v/>
      </c>
      <c r="N548" s="11" t="n">
        <v>46030</v>
      </c>
      <c r="O548" s="10">
        <f>IF($N548="","No","Yes")</f>
        <v/>
      </c>
      <c r="P548" s="12">
        <f>IF(OR($F548="",$G548=""),0,IF(AND($F548&lt;=README!$B$4,README!$B$4&lt;=$G548),1,0))</f>
        <v/>
      </c>
      <c r="Q548" s="12">
        <f>IF(OR($F548="",$G548=""),0,IF(AND($F548&lt;=DATE(README!$B$5,12,31),$G548&gt;=DATE(README!$B$5,1,1)),1,0))</f>
        <v/>
      </c>
      <c r="R548" s="10" t="inlineStr">
        <is>
          <t>GUP-VEH0014</t>
        </is>
      </c>
      <c r="S548" s="11" t="n">
        <v>45748</v>
      </c>
      <c r="T548" s="10" t="inlineStr">
        <is>
          <t>609</t>
        </is>
      </c>
      <c r="U548" s="10" t="inlineStr">
        <is>
          <t>VEHICLE</t>
        </is>
      </c>
      <c r="V548" s="10" t="inlineStr">
        <is>
          <t>T</t>
        </is>
      </c>
      <c r="W548" s="10" t="inlineStr">
        <is>
          <t>VIVEK B</t>
        </is>
      </c>
    </row>
    <row r="549">
      <c r="A549" s="10" t="inlineStr">
        <is>
          <t>TN57CD3636</t>
        </is>
      </c>
      <c r="B549" s="10" t="inlineStr">
        <is>
          <t>SOCKS</t>
        </is>
      </c>
      <c r="C549" s="10" t="inlineStr">
        <is>
          <t>ROAD TAX</t>
        </is>
      </c>
      <c r="D549" s="10" t="inlineStr">
        <is>
          <t>ROAD TAX</t>
        </is>
      </c>
      <c r="E549" s="10" t="inlineStr">
        <is>
          <t>QUARTER - III</t>
        </is>
      </c>
      <c r="F549" s="11" t="n">
        <v>45931</v>
      </c>
      <c r="G549" s="11" t="n">
        <v>46022</v>
      </c>
      <c r="H549" s="12">
        <f>IF(OR($F549="",$G549=""),"",$G549-$F549+1)</f>
        <v/>
      </c>
      <c r="I549" s="10">
        <f>IF($F549="","",IF(MONTH($F549)&gt;=4,YEAR($F549)&amp;"-"&amp;TEXT(YEAR($F549)+1-2000,"00"),YEAR($F549)-1&amp;"-"&amp;TEXT(YEAR($F549)-2000,"00")))</f>
        <v/>
      </c>
      <c r="J549" s="13" t="n">
        <v>29704</v>
      </c>
      <c r="K549" s="14">
        <f>IFERROR($L549/$J549,"")</f>
        <v/>
      </c>
      <c r="L549" s="13" t="n">
        <v>29704</v>
      </c>
      <c r="M549" s="13">
        <f>IFERROR($L549/$H549,"")</f>
        <v/>
      </c>
      <c r="N549" s="11" t="n">
        <v>46030</v>
      </c>
      <c r="O549" s="10">
        <f>IF($N549="","No","Yes")</f>
        <v/>
      </c>
      <c r="P549" s="12">
        <f>IF(OR($F549="",$G549=""),0,IF(AND($F549&lt;=README!$B$4,README!$B$4&lt;=$G549),1,0))</f>
        <v/>
      </c>
      <c r="Q549" s="12">
        <f>IF(OR($F549="",$G549=""),0,IF(AND($F549&lt;=DATE(README!$B$5,12,31),$G549&gt;=DATE(README!$B$5,1,1)),1,0))</f>
        <v/>
      </c>
      <c r="R549" s="10" t="inlineStr">
        <is>
          <t>GUP-VEH0014</t>
        </is>
      </c>
      <c r="S549" s="11" t="n">
        <v>45748</v>
      </c>
      <c r="T549" s="10" t="inlineStr">
        <is>
          <t>609</t>
        </is>
      </c>
      <c r="U549" s="10" t="inlineStr">
        <is>
          <t>VEHICLE</t>
        </is>
      </c>
      <c r="V549" s="10" t="inlineStr">
        <is>
          <t>T</t>
        </is>
      </c>
      <c r="W549" s="10" t="inlineStr">
        <is>
          <t>VIVEK B</t>
        </is>
      </c>
    </row>
    <row r="550">
      <c r="A550" s="10" t="inlineStr">
        <is>
          <t>TN57CD3636</t>
        </is>
      </c>
      <c r="B550" s="10" t="inlineStr">
        <is>
          <t>SOCKS</t>
        </is>
      </c>
      <c r="C550" s="10" t="inlineStr">
        <is>
          <t>ROAD TAX</t>
        </is>
      </c>
      <c r="D550" s="10" t="inlineStr">
        <is>
          <t>ROAD TAX</t>
        </is>
      </c>
      <c r="E550" s="10" t="inlineStr">
        <is>
          <t>QUARTER - IV</t>
        </is>
      </c>
      <c r="F550" s="11" t="n">
        <v>46023</v>
      </c>
      <c r="G550" s="11" t="n">
        <v>46112</v>
      </c>
      <c r="H550" s="12">
        <f>IF(OR($F550="",$G550=""),"",$G550-$F550+1)</f>
        <v/>
      </c>
      <c r="I550" s="10">
        <f>IF($F550="","",IF(MONTH($F550)&gt;=4,YEAR($F550)&amp;"-"&amp;TEXT(YEAR($F550)+1-2000,"00"),YEAR($F550)-1&amp;"-"&amp;TEXT(YEAR($F550)-2000,"00")))</f>
        <v/>
      </c>
      <c r="J550" s="13" t="n">
        <v>29704</v>
      </c>
      <c r="K550" s="14">
        <f>IFERROR($L550/$J550,"")</f>
        <v/>
      </c>
      <c r="L550" s="13" t="n">
        <v>29704</v>
      </c>
      <c r="M550" s="13">
        <f>IFERROR($L550/$H550,"")</f>
        <v/>
      </c>
      <c r="N550" s="11" t="n">
        <v>46030</v>
      </c>
      <c r="O550" s="10">
        <f>IF($N550="","No","Yes")</f>
        <v/>
      </c>
      <c r="P550" s="12">
        <f>IF(OR($F550="",$G550=""),0,IF(AND($F550&lt;=README!$B$4,README!$B$4&lt;=$G550),1,0))</f>
        <v/>
      </c>
      <c r="Q550" s="12">
        <f>IF(OR($F550="",$G550=""),0,IF(AND($F550&lt;=DATE(README!$B$5,12,31),$G550&gt;=DATE(README!$B$5,1,1)),1,0))</f>
        <v/>
      </c>
      <c r="R550" s="10" t="inlineStr">
        <is>
          <t>GUP-VEH0014</t>
        </is>
      </c>
      <c r="S550" s="11" t="n">
        <v>45748</v>
      </c>
      <c r="T550" s="10" t="inlineStr">
        <is>
          <t>609</t>
        </is>
      </c>
      <c r="U550" s="10" t="inlineStr">
        <is>
          <t>VEHICLE</t>
        </is>
      </c>
      <c r="V550" s="10" t="inlineStr">
        <is>
          <t>T</t>
        </is>
      </c>
      <c r="W550" s="10" t="inlineStr">
        <is>
          <t>VIVEK B</t>
        </is>
      </c>
    </row>
    <row r="551">
      <c r="A551" s="10" t="inlineStr">
        <is>
          <t>TN57CD3636</t>
        </is>
      </c>
      <c r="B551" s="10" t="inlineStr">
        <is>
          <t>SOCKS</t>
        </is>
      </c>
      <c r="C551" s="10" t="inlineStr">
        <is>
          <t>ROAD TAX</t>
        </is>
      </c>
      <c r="D551" s="10" t="inlineStr">
        <is>
          <t>ROAD TAX</t>
        </is>
      </c>
      <c r="E551" s="10" t="inlineStr">
        <is>
          <t>QUARTER - I</t>
        </is>
      </c>
      <c r="F551" s="11" t="n">
        <v>46113</v>
      </c>
      <c r="G551" s="11" t="n">
        <v>46203</v>
      </c>
      <c r="H551" s="12">
        <f>IF(OR($F551="",$G551=""),"",$G551-$F551+1)</f>
        <v/>
      </c>
      <c r="I551" s="10">
        <f>IF($F551="","",IF(MONTH($F551)&gt;=4,YEAR($F551)&amp;"-"&amp;TEXT(YEAR($F551)+1-2000,"00"),YEAR($F551)-1&amp;"-"&amp;TEXT(YEAR($F551)-2000,"00")))</f>
        <v/>
      </c>
      <c r="J551" s="13" t="n">
        <v>29704</v>
      </c>
      <c r="K551" s="14">
        <f>IFERROR($L551/$J551,"")</f>
        <v/>
      </c>
      <c r="L551" s="13" t="n">
        <v>29704</v>
      </c>
      <c r="M551" s="13">
        <f>IFERROR($L551/$H551,"")</f>
        <v/>
      </c>
      <c r="N551" s="11" t="n">
        <v>46088</v>
      </c>
      <c r="O551" s="10">
        <f>IF($N551="","No","Yes")</f>
        <v/>
      </c>
      <c r="P551" s="12">
        <f>IF(OR($F551="",$G551=""),0,IF(AND($F551&lt;=README!$B$4,README!$B$4&lt;=$G551),1,0))</f>
        <v/>
      </c>
      <c r="Q551" s="12">
        <f>IF(OR($F551="",$G551=""),0,IF(AND($F551&lt;=DATE(README!$B$5,12,31),$G551&gt;=DATE(README!$B$5,1,1)),1,0))</f>
        <v/>
      </c>
      <c r="R551" s="10" t="inlineStr">
        <is>
          <t>GUP-VEH0030</t>
        </is>
      </c>
      <c r="S551" s="11" t="n">
        <v>46113</v>
      </c>
      <c r="T551" s="10" t="inlineStr">
        <is>
          <t>796</t>
        </is>
      </c>
      <c r="U551" s="10" t="inlineStr">
        <is>
          <t>VEHICLE</t>
        </is>
      </c>
      <c r="V551" s="10" t="inlineStr">
        <is>
          <t>T</t>
        </is>
      </c>
      <c r="W551" s="10" t="inlineStr">
        <is>
          <t>VIVEK B</t>
        </is>
      </c>
    </row>
    <row r="552">
      <c r="A552" s="10" t="inlineStr">
        <is>
          <t>TN57CD3636</t>
        </is>
      </c>
      <c r="B552" s="10" t="inlineStr">
        <is>
          <t>SOCKS</t>
        </is>
      </c>
      <c r="C552" s="10" t="inlineStr">
        <is>
          <t>VEHICLE INSURANCE</t>
        </is>
      </c>
      <c r="D552" s="10" t="inlineStr">
        <is>
          <t>VEHICLE INSURANCE</t>
        </is>
      </c>
      <c r="E552" s="10" t="inlineStr">
        <is>
          <t>YEARLY</t>
        </is>
      </c>
      <c r="F552" s="11" t="n">
        <v>46113</v>
      </c>
      <c r="G552" s="11" t="n">
        <v>46477</v>
      </c>
      <c r="H552" s="12">
        <f>IF(OR($F552="",$G552=""),"",$G552-$F552+1)</f>
        <v/>
      </c>
      <c r="I552" s="10">
        <f>IF($F552="","",IF(MONTH($F552)&gt;=4,YEAR($F552)&amp;"-"&amp;TEXT(YEAR($F552)+1-2000,"00"),YEAR($F552)-1&amp;"-"&amp;TEXT(YEAR($F552)-2000,"00")))</f>
        <v/>
      </c>
      <c r="J552" s="13" t="n">
        <v>66082</v>
      </c>
      <c r="K552" s="14">
        <f>IFERROR($L552/$J552,"")</f>
        <v/>
      </c>
      <c r="L552" s="13" t="n">
        <v>66082</v>
      </c>
      <c r="M552" s="13">
        <f>IFERROR($L552/$H552,"")</f>
        <v/>
      </c>
      <c r="N552" s="11" t="n">
        <v>46219</v>
      </c>
      <c r="O552" s="10">
        <f>IF($N552="","No","Yes")</f>
        <v/>
      </c>
      <c r="P552" s="12">
        <f>IF(OR($F552="",$G552=""),0,IF(AND($F552&lt;=README!$B$4,README!$B$4&lt;=$G552),1,0))</f>
        <v/>
      </c>
      <c r="Q552" s="12">
        <f>IF(OR($F552="",$G552=""),0,IF(AND($F552&lt;=DATE(README!$B$5,12,31),$G552&gt;=DATE(README!$B$5,1,1)),1,0))</f>
        <v/>
      </c>
      <c r="R552" s="10" t="inlineStr">
        <is>
          <t>GUP-VEH0038</t>
        </is>
      </c>
      <c r="S552" s="11" t="n">
        <v>46162</v>
      </c>
      <c r="T552" s="10" t="inlineStr">
        <is>
          <t>859</t>
        </is>
      </c>
      <c r="U552" s="10" t="inlineStr">
        <is>
          <t>VEHICLE</t>
        </is>
      </c>
      <c r="V552" s="10" t="inlineStr">
        <is>
          <t>T</t>
        </is>
      </c>
      <c r="W552" s="10" t="inlineStr">
        <is>
          <t>VIVEK B</t>
        </is>
      </c>
    </row>
    <row r="553">
      <c r="A553" s="10" t="inlineStr">
        <is>
          <t>TN57CD3636</t>
        </is>
      </c>
      <c r="B553" s="10" t="inlineStr">
        <is>
          <t>SOCKS</t>
        </is>
      </c>
      <c r="C553" s="10" t="inlineStr">
        <is>
          <t>VEHICLE OUTSIDE SERVICES</t>
        </is>
      </c>
      <c r="D553" s="10" t="inlineStr">
        <is>
          <t xml:space="preserve">MAINTENANCE SERVICE </t>
        </is>
      </c>
      <c r="E553" s="10" t="inlineStr">
        <is>
          <t>APRIL</t>
        </is>
      </c>
      <c r="F553" s="11" t="n">
        <v>46113</v>
      </c>
      <c r="G553" s="11" t="n">
        <v>46142</v>
      </c>
      <c r="H553" s="12">
        <f>IF(OR($F553="",$G553=""),"",$G553-$F553+1)</f>
        <v/>
      </c>
      <c r="I553" s="10">
        <f>IF($F553="","",IF(MONTH($F553)&gt;=4,YEAR($F553)&amp;"-"&amp;TEXT(YEAR($F553)+1-2000,"00"),YEAR($F553)-1&amp;"-"&amp;TEXT(YEAR($F553)-2000,"00")))</f>
        <v/>
      </c>
      <c r="J553" s="13" t="n">
        <v>18715.27</v>
      </c>
      <c r="K553" s="14">
        <f>IFERROR($L553/$J553,"")</f>
        <v/>
      </c>
      <c r="L553" s="13" t="n">
        <v>18715.27</v>
      </c>
      <c r="M553" s="13">
        <f>IFERROR($L553/$H553,"")</f>
        <v/>
      </c>
      <c r="N553" s="11" t="n">
        <v>46137</v>
      </c>
      <c r="O553" s="10">
        <f>IF($N553="","No","Yes")</f>
        <v/>
      </c>
      <c r="P553" s="12">
        <f>IF(OR($F553="",$G553=""),0,IF(AND($F553&lt;=README!$B$4,README!$B$4&lt;=$G553),1,0))</f>
        <v/>
      </c>
      <c r="Q553" s="12">
        <f>IF(OR($F553="",$G553=""),0,IF(AND($F553&lt;=DATE(README!$B$5,12,31),$G553&gt;=DATE(README!$B$5,1,1)),1,0))</f>
        <v/>
      </c>
      <c r="R553" s="10" t="inlineStr">
        <is>
          <t>GUP-VEH0031</t>
        </is>
      </c>
      <c r="S553" s="11" t="n">
        <v>46114</v>
      </c>
      <c r="T553" s="10" t="inlineStr">
        <is>
          <t>810</t>
        </is>
      </c>
      <c r="U553" s="10" t="inlineStr">
        <is>
          <t>VEHICLE</t>
        </is>
      </c>
      <c r="V553" s="10" t="inlineStr">
        <is>
          <t>T</t>
        </is>
      </c>
      <c r="W553" s="10" t="inlineStr">
        <is>
          <t>VIVEK B</t>
        </is>
      </c>
    </row>
    <row r="554">
      <c r="A554" s="10" t="inlineStr">
        <is>
          <t>TN57CD3636</t>
        </is>
      </c>
      <c r="B554" s="10" t="inlineStr">
        <is>
          <t>SOCKS</t>
        </is>
      </c>
      <c r="C554" s="10" t="inlineStr">
        <is>
          <t>VEHICLE OUTSIDE SERVICES</t>
        </is>
      </c>
      <c r="D554" s="10" t="inlineStr">
        <is>
          <t>MAINTENANCE SERVICE - 2</t>
        </is>
      </c>
      <c r="E554" s="10" t="inlineStr">
        <is>
          <t>JUNE</t>
        </is>
      </c>
      <c r="F554" s="11" t="n">
        <v>46174</v>
      </c>
      <c r="G554" s="11" t="n">
        <v>46203</v>
      </c>
      <c r="H554" s="12">
        <f>IF(OR($F554="",$G554=""),"",$G554-$F554+1)</f>
        <v/>
      </c>
      <c r="I554" s="10">
        <f>IF($F554="","",IF(MONTH($F554)&gt;=4,YEAR($F554)&amp;"-"&amp;TEXT(YEAR($F554)+1-2000,"00"),YEAR($F554)-1&amp;"-"&amp;TEXT(YEAR($F554)-2000,"00")))</f>
        <v/>
      </c>
      <c r="J554" s="13" t="n">
        <v>7000</v>
      </c>
      <c r="K554" s="14">
        <f>IFERROR($L554/$J554,"")</f>
        <v/>
      </c>
      <c r="L554" s="13" t="n">
        <v>7000</v>
      </c>
      <c r="M554" s="13">
        <f>IFERROR($L554/$H554,"")</f>
        <v/>
      </c>
      <c r="N554" s="11" t="n">
        <v>46200</v>
      </c>
      <c r="O554" s="10">
        <f>IF($N554="","No","Yes")</f>
        <v/>
      </c>
      <c r="P554" s="12">
        <f>IF(OR($F554="",$G554=""),0,IF(AND($F554&lt;=README!$B$4,README!$B$4&lt;=$G554),1,0))</f>
        <v/>
      </c>
      <c r="Q554" s="12">
        <f>IF(OR($F554="",$G554=""),0,IF(AND($F554&lt;=DATE(README!$B$5,12,31),$G554&gt;=DATE(README!$B$5,1,1)),1,0))</f>
        <v/>
      </c>
      <c r="R554" s="10" t="inlineStr">
        <is>
          <t>GUP-VEH0031</t>
        </is>
      </c>
      <c r="S554" s="11" t="n">
        <v>46114</v>
      </c>
      <c r="T554" s="10" t="inlineStr">
        <is>
          <t>810</t>
        </is>
      </c>
      <c r="U554" s="10" t="inlineStr">
        <is>
          <t>VEHICLE</t>
        </is>
      </c>
      <c r="V554" s="10" t="inlineStr">
        <is>
          <t>T</t>
        </is>
      </c>
      <c r="W554" s="10" t="inlineStr">
        <is>
          <t>VIVEK B</t>
        </is>
      </c>
    </row>
    <row r="555">
      <c r="A555" s="10" t="inlineStr">
        <is>
          <t>TN57CD3636</t>
        </is>
      </c>
      <c r="B555" s="10" t="inlineStr">
        <is>
          <t>SOCKS</t>
        </is>
      </c>
      <c r="C555" s="10" t="inlineStr">
        <is>
          <t>ROAD TAX</t>
        </is>
      </c>
      <c r="D555" s="10" t="inlineStr">
        <is>
          <t>ROAD TAX</t>
        </is>
      </c>
      <c r="E555" s="10" t="inlineStr">
        <is>
          <t>QUARTER - II</t>
        </is>
      </c>
      <c r="F555" s="11" t="n">
        <v>46204</v>
      </c>
      <c r="G555" s="11" t="n">
        <v>46295</v>
      </c>
      <c r="H555" s="12">
        <f>IF(OR($F555="",$G555=""),"",$G555-$F555+1)</f>
        <v/>
      </c>
      <c r="I555" s="10">
        <f>IF($F555="","",IF(MONTH($F555)&gt;=4,YEAR($F555)&amp;"-"&amp;TEXT(YEAR($F555)+1-2000,"00"),YEAR($F555)-1&amp;"-"&amp;TEXT(YEAR($F555)-2000,"00")))</f>
        <v/>
      </c>
      <c r="J555" s="13" t="n">
        <v>29704</v>
      </c>
      <c r="K555" s="14">
        <f>IFERROR($L555/$J555,"")</f>
        <v/>
      </c>
      <c r="L555" s="13" t="n">
        <v>29704</v>
      </c>
      <c r="M555" s="13">
        <f>IFERROR($L555/$H555,"")</f>
        <v/>
      </c>
      <c r="N555" s="11" t="n">
        <v>46196</v>
      </c>
      <c r="O555" s="10">
        <f>IF($N555="","No","Yes")</f>
        <v/>
      </c>
      <c r="P555" s="12">
        <f>IF(OR($F555="",$G555=""),0,IF(AND($F555&lt;=README!$B$4,README!$B$4&lt;=$G555),1,0))</f>
        <v/>
      </c>
      <c r="Q555" s="12">
        <f>IF(OR($F555="",$G555=""),0,IF(AND($F555&lt;=DATE(README!$B$5,12,31),$G555&gt;=DATE(README!$B$5,1,1)),1,0))</f>
        <v/>
      </c>
      <c r="R555" s="10" t="inlineStr">
        <is>
          <t>GUP-VEH0030</t>
        </is>
      </c>
      <c r="S555" s="11" t="n">
        <v>46113</v>
      </c>
      <c r="T555" s="10" t="inlineStr">
        <is>
          <t>796</t>
        </is>
      </c>
      <c r="U555" s="10" t="inlineStr">
        <is>
          <t>VEHICLE</t>
        </is>
      </c>
      <c r="V555" s="10" t="inlineStr">
        <is>
          <t>T</t>
        </is>
      </c>
      <c r="W555" s="10" t="inlineStr">
        <is>
          <t>VIVEK B</t>
        </is>
      </c>
    </row>
    <row r="556">
      <c r="A556" s="10" t="inlineStr">
        <is>
          <t>TN57CE3434</t>
        </is>
      </c>
      <c r="B556" s="10" t="inlineStr">
        <is>
          <t>WOVEN</t>
        </is>
      </c>
      <c r="C556" s="10" t="inlineStr">
        <is>
          <t>ROAD TAX</t>
        </is>
      </c>
      <c r="D556" s="10" t="inlineStr">
        <is>
          <t>ROAD TAX</t>
        </is>
      </c>
      <c r="E556" s="10" t="inlineStr">
        <is>
          <t>YEARLY</t>
        </is>
      </c>
      <c r="F556" s="11" t="n">
        <v>45383</v>
      </c>
      <c r="G556" s="11" t="n">
        <v>45747</v>
      </c>
      <c r="H556" s="12">
        <f>IF(OR($F556="",$G556=""),"",$G556-$F556+1)</f>
        <v/>
      </c>
      <c r="I556" s="10">
        <f>IF($F556="","",IF(MONTH($F556)&gt;=4,YEAR($F556)&amp;"-"&amp;TEXT(YEAR($F556)+1-2000,"00"),YEAR($F556)-1&amp;"-"&amp;TEXT(YEAR($F556)-2000,"00")))</f>
        <v/>
      </c>
      <c r="J556" s="13" t="n">
        <v>32734</v>
      </c>
      <c r="K556" s="14">
        <f>IFERROR($L556/$J556,"")</f>
        <v/>
      </c>
      <c r="L556" s="13" t="n">
        <v>32734</v>
      </c>
      <c r="M556" s="13">
        <f>IFERROR($L556/$H556,"")</f>
        <v/>
      </c>
      <c r="N556" s="11" t="n">
        <v>45910</v>
      </c>
      <c r="O556" s="10">
        <f>IF($N556="","No","Yes")</f>
        <v/>
      </c>
      <c r="P556" s="12">
        <f>IF(OR($F556="",$G556=""),0,IF(AND($F556&lt;=README!$B$4,README!$B$4&lt;=$G556),1,0))</f>
        <v/>
      </c>
      <c r="Q556" s="12">
        <f>IF(OR($F556="",$G556=""),0,IF(AND($F556&lt;=DATE(README!$B$5,12,31),$G556&gt;=DATE(README!$B$5,1,1)),1,0))</f>
        <v/>
      </c>
      <c r="R556" s="10" t="inlineStr">
        <is>
          <t>GUT-VEH0016</t>
        </is>
      </c>
      <c r="S556" s="11" t="n">
        <v>46023</v>
      </c>
      <c r="T556" s="10" t="inlineStr">
        <is>
          <t>5</t>
        </is>
      </c>
      <c r="U556" s="10" t="inlineStr">
        <is>
          <t>VEHICLE</t>
        </is>
      </c>
      <c r="V556" s="10" t="inlineStr">
        <is>
          <t>T</t>
        </is>
      </c>
      <c r="W556" s="10" t="inlineStr">
        <is>
          <t>VIVEK B</t>
        </is>
      </c>
    </row>
    <row r="557">
      <c r="A557" s="10" t="inlineStr">
        <is>
          <t>TN57CE3434</t>
        </is>
      </c>
      <c r="B557" s="10" t="inlineStr">
        <is>
          <t>WOVEN</t>
        </is>
      </c>
      <c r="C557" s="10" t="inlineStr">
        <is>
          <t>ROAD TAX</t>
        </is>
      </c>
      <c r="D557" s="10" t="inlineStr">
        <is>
          <t>ROAD TAX</t>
        </is>
      </c>
      <c r="E557" s="10" t="inlineStr">
        <is>
          <t>YEARLY</t>
        </is>
      </c>
      <c r="F557" s="11" t="n">
        <v>45383</v>
      </c>
      <c r="G557" s="11" t="n">
        <v>45747</v>
      </c>
      <c r="H557" s="12">
        <f>IF(OR($F557="",$G557=""),"",$G557-$F557+1)</f>
        <v/>
      </c>
      <c r="I557" s="10">
        <f>IF($F557="","",IF(MONTH($F557)&gt;=4,YEAR($F557)&amp;"-"&amp;TEXT(YEAR($F557)+1-2000,"00"),YEAR($F557)-1&amp;"-"&amp;TEXT(YEAR($F557)-2000,"00")))</f>
        <v/>
      </c>
      <c r="J557" s="13" t="n">
        <v>32724</v>
      </c>
      <c r="K557" s="14">
        <f>IFERROR($L557/$J557,"")</f>
        <v/>
      </c>
      <c r="L557" s="13" t="n">
        <v>32724</v>
      </c>
      <c r="M557" s="13">
        <f>IFERROR($L557/$H557,"")</f>
        <v/>
      </c>
      <c r="N557" s="11" t="n">
        <v>45840</v>
      </c>
      <c r="O557" s="10">
        <f>IF($N557="","No","Yes")</f>
        <v/>
      </c>
      <c r="P557" s="12">
        <f>IF(OR($F557="",$G557=""),0,IF(AND($F557&lt;=README!$B$4,README!$B$4&lt;=$G557),1,0))</f>
        <v/>
      </c>
      <c r="Q557" s="12">
        <f>IF(OR($F557="",$G557=""),0,IF(AND($F557&lt;=DATE(README!$B$5,12,31),$G557&gt;=DATE(README!$B$5,1,1)),1,0))</f>
        <v/>
      </c>
      <c r="R557" s="10" t="inlineStr">
        <is>
          <t>GUT-VEH0016</t>
        </is>
      </c>
      <c r="S557" s="11" t="n">
        <v>46023</v>
      </c>
      <c r="T557" s="10" t="inlineStr">
        <is>
          <t>5</t>
        </is>
      </c>
      <c r="U557" s="10" t="inlineStr">
        <is>
          <t>VEHICLE</t>
        </is>
      </c>
      <c r="V557" s="10" t="inlineStr">
        <is>
          <t>T</t>
        </is>
      </c>
      <c r="W557" s="10" t="inlineStr">
        <is>
          <t>VIVEK B</t>
        </is>
      </c>
    </row>
    <row r="558">
      <c r="A558" s="10" t="inlineStr">
        <is>
          <t>TN57CE3434</t>
        </is>
      </c>
      <c r="B558" s="10" t="inlineStr">
        <is>
          <t>WOVEN</t>
        </is>
      </c>
      <c r="C558" s="10" t="inlineStr">
        <is>
          <t>VEHICLE INSURANCE</t>
        </is>
      </c>
      <c r="D558" s="10" t="inlineStr">
        <is>
          <t>VEHICLE INSURANCE</t>
        </is>
      </c>
      <c r="E558" s="10" t="inlineStr">
        <is>
          <t>YEARLY</t>
        </is>
      </c>
      <c r="F558" s="11" t="n">
        <v>45748</v>
      </c>
      <c r="G558" s="11" t="n">
        <v>46112</v>
      </c>
      <c r="H558" s="12">
        <f>IF(OR($F558="",$G558=""),"",$G558-$F558+1)</f>
        <v/>
      </c>
      <c r="I558" s="10">
        <f>IF($F558="","",IF(MONTH($F558)&gt;=4,YEAR($F558)&amp;"-"&amp;TEXT(YEAR($F558)+1-2000,"00"),YEAR($F558)-1&amp;"-"&amp;TEXT(YEAR($F558)-2000,"00")))</f>
        <v/>
      </c>
      <c r="J558" s="13" t="n">
        <v>81223</v>
      </c>
      <c r="K558" s="14">
        <f>IFERROR($L558/$J558,"")</f>
        <v/>
      </c>
      <c r="L558" s="13" t="n">
        <v>81223</v>
      </c>
      <c r="M558" s="13">
        <f>IFERROR($L558/$H558,"")</f>
        <v/>
      </c>
      <c r="N558" s="11" t="n">
        <v>45994</v>
      </c>
      <c r="O558" s="10">
        <f>IF($N558="","No","Yes")</f>
        <v/>
      </c>
      <c r="P558" s="12">
        <f>IF(OR($F558="",$G558=""),0,IF(AND($F558&lt;=README!$B$4,README!$B$4&lt;=$G558),1,0))</f>
        <v/>
      </c>
      <c r="Q558" s="12">
        <f>IF(OR($F558="",$G558=""),0,IF(AND($F558&lt;=DATE(README!$B$5,12,31),$G558&gt;=DATE(README!$B$5,1,1)),1,0))</f>
        <v/>
      </c>
      <c r="R558" s="10" t="inlineStr">
        <is>
          <t>GUT-VEH0019</t>
        </is>
      </c>
      <c r="S558" s="11" t="n">
        <v>45799</v>
      </c>
      <c r="T558" s="10" t="inlineStr">
        <is>
          <t>5</t>
        </is>
      </c>
      <c r="U558" s="10" t="inlineStr">
        <is>
          <t>VEHICLE</t>
        </is>
      </c>
      <c r="V558" s="10" t="inlineStr">
        <is>
          <t>T</t>
        </is>
      </c>
      <c r="W558" s="10" t="inlineStr">
        <is>
          <t>VIVEK B</t>
        </is>
      </c>
    </row>
    <row r="559">
      <c r="A559" s="10" t="inlineStr">
        <is>
          <t>TN57CE3434</t>
        </is>
      </c>
      <c r="B559" s="10" t="inlineStr">
        <is>
          <t>WOVEN</t>
        </is>
      </c>
      <c r="C559" s="10" t="inlineStr">
        <is>
          <t>ROAD TAX</t>
        </is>
      </c>
      <c r="D559" s="10" t="inlineStr">
        <is>
          <t>ROAD TAX</t>
        </is>
      </c>
      <c r="E559" s="10" t="inlineStr">
        <is>
          <t>QUARTER - IV</t>
        </is>
      </c>
      <c r="F559" s="11" t="n">
        <v>46023</v>
      </c>
      <c r="G559" s="11" t="n">
        <v>46112</v>
      </c>
      <c r="H559" s="12">
        <f>IF(OR($F559="",$G559=""),"",$G559-$F559+1)</f>
        <v/>
      </c>
      <c r="I559" s="10">
        <f>IF($F559="","",IF(MONTH($F559)&gt;=4,YEAR($F559)&amp;"-"&amp;TEXT(YEAR($F559)+1-2000,"00"),YEAR($F559)-1&amp;"-"&amp;TEXT(YEAR($F559)-2000,"00")))</f>
        <v/>
      </c>
      <c r="J559" s="13" t="n">
        <v>32734</v>
      </c>
      <c r="K559" s="14">
        <f>IFERROR($L559/$J559,"")</f>
        <v/>
      </c>
      <c r="L559" s="13" t="n">
        <v>32734</v>
      </c>
      <c r="M559" s="13">
        <f>IFERROR($L559/$H559,"")</f>
        <v/>
      </c>
      <c r="N559" s="11" t="n">
        <v>46065</v>
      </c>
      <c r="O559" s="10">
        <f>IF($N559="","No","Yes")</f>
        <v/>
      </c>
      <c r="P559" s="12">
        <f>IF(OR($F559="",$G559=""),0,IF(AND($F559&lt;=README!$B$4,README!$B$4&lt;=$G559),1,0))</f>
        <v/>
      </c>
      <c r="Q559" s="12">
        <f>IF(OR($F559="",$G559=""),0,IF(AND($F559&lt;=DATE(README!$B$5,12,31),$G559&gt;=DATE(README!$B$5,1,1)),1,0))</f>
        <v/>
      </c>
      <c r="R559" s="10" t="inlineStr">
        <is>
          <t>GUT-VEH0016</t>
        </is>
      </c>
      <c r="S559" s="11" t="n">
        <v>46023</v>
      </c>
      <c r="T559" s="10" t="inlineStr">
        <is>
          <t>5</t>
        </is>
      </c>
      <c r="U559" s="10" t="inlineStr">
        <is>
          <t>VEHICLE</t>
        </is>
      </c>
      <c r="V559" s="10" t="inlineStr">
        <is>
          <t>T</t>
        </is>
      </c>
      <c r="W559" s="10" t="inlineStr">
        <is>
          <t>VIVEK B</t>
        </is>
      </c>
    </row>
    <row r="560">
      <c r="A560" s="10" t="inlineStr">
        <is>
          <t>TN57CE3434</t>
        </is>
      </c>
      <c r="B560" s="10" t="inlineStr">
        <is>
          <t>WOVEN</t>
        </is>
      </c>
      <c r="C560" s="10" t="inlineStr">
        <is>
          <t>ROAD TAX</t>
        </is>
      </c>
      <c r="D560" s="10" t="inlineStr">
        <is>
          <t>ROAD TAX</t>
        </is>
      </c>
      <c r="E560" s="10" t="inlineStr">
        <is>
          <t>QUARTER - I</t>
        </is>
      </c>
      <c r="F560" s="11" t="n">
        <v>46113</v>
      </c>
      <c r="G560" s="11" t="n">
        <v>46203</v>
      </c>
      <c r="H560" s="12">
        <f>IF(OR($F560="",$G560=""),"",$G560-$F560+1)</f>
        <v/>
      </c>
      <c r="I560" s="10">
        <f>IF($F560="","",IF(MONTH($F560)&gt;=4,YEAR($F560)&amp;"-"&amp;TEXT(YEAR($F560)+1-2000,"00"),YEAR($F560)-1&amp;"-"&amp;TEXT(YEAR($F560)-2000,"00")))</f>
        <v/>
      </c>
      <c r="J560" s="13" t="n">
        <v>33946</v>
      </c>
      <c r="K560" s="14">
        <f>IFERROR($L560/$J560,"")</f>
        <v/>
      </c>
      <c r="L560" s="13" t="n">
        <v>33946</v>
      </c>
      <c r="M560" s="13">
        <f>IFERROR($L560/$H560,"")</f>
        <v/>
      </c>
      <c r="N560" s="11" t="n">
        <v>46088</v>
      </c>
      <c r="O560" s="10">
        <f>IF($N560="","No","Yes")</f>
        <v/>
      </c>
      <c r="P560" s="12">
        <f>IF(OR($F560="",$G560=""),0,IF(AND($F560&lt;=README!$B$4,README!$B$4&lt;=$G560),1,0))</f>
        <v/>
      </c>
      <c r="Q560" s="12">
        <f>IF(OR($F560="",$G560=""),0,IF(AND($F560&lt;=DATE(README!$B$5,12,31),$G560&gt;=DATE(README!$B$5,1,1)),1,0))</f>
        <v/>
      </c>
      <c r="R560" s="10" t="inlineStr">
        <is>
          <t>GUT-VEH0029</t>
        </is>
      </c>
      <c r="S560" s="11" t="n">
        <v>46087</v>
      </c>
      <c r="T560" s="10" t="inlineStr">
        <is>
          <t>5</t>
        </is>
      </c>
      <c r="U560" s="10" t="inlineStr">
        <is>
          <t>VEHICLE</t>
        </is>
      </c>
      <c r="V560" s="10" t="inlineStr">
        <is>
          <t>T</t>
        </is>
      </c>
      <c r="W560" s="10" t="inlineStr">
        <is>
          <t>VIVEK B</t>
        </is>
      </c>
    </row>
    <row r="561">
      <c r="A561" s="10" t="inlineStr">
        <is>
          <t>TN57CE3434</t>
        </is>
      </c>
      <c r="B561" s="10" t="inlineStr">
        <is>
          <t>WOVEN</t>
        </is>
      </c>
      <c r="C561" s="10" t="inlineStr">
        <is>
          <t>ROAD TAX</t>
        </is>
      </c>
      <c r="D561" s="10" t="inlineStr">
        <is>
          <t>ROAD TAX</t>
        </is>
      </c>
      <c r="E561" s="10" t="inlineStr">
        <is>
          <t>QUARTER - II</t>
        </is>
      </c>
      <c r="F561" s="11" t="n">
        <v>46204</v>
      </c>
      <c r="G561" s="11" t="n">
        <v>46295</v>
      </c>
      <c r="H561" s="12">
        <f>IF(OR($F561="",$G561=""),"",$G561-$F561+1)</f>
        <v/>
      </c>
      <c r="I561" s="10">
        <f>IF($F561="","",IF(MONTH($F561)&gt;=4,YEAR($F561)&amp;"-"&amp;TEXT(YEAR($F561)+1-2000,"00"),YEAR($F561)-1&amp;"-"&amp;TEXT(YEAR($F561)-2000,"00")))</f>
        <v/>
      </c>
      <c r="J561" s="13" t="n">
        <v>33946</v>
      </c>
      <c r="K561" s="14">
        <f>IFERROR($L561/$J561,"")</f>
        <v/>
      </c>
      <c r="L561" s="13" t="n">
        <v>33946</v>
      </c>
      <c r="M561" s="13">
        <f>IFERROR($L561/$H561,"")</f>
        <v/>
      </c>
      <c r="N561" s="11" t="n">
        <v>46196</v>
      </c>
      <c r="O561" s="10">
        <f>IF($N561="","No","Yes")</f>
        <v/>
      </c>
      <c r="P561" s="12">
        <f>IF(OR($F561="",$G561=""),0,IF(AND($F561&lt;=README!$B$4,README!$B$4&lt;=$G561),1,0))</f>
        <v/>
      </c>
      <c r="Q561" s="12">
        <f>IF(OR($F561="",$G561=""),0,IF(AND($F561&lt;=DATE(README!$B$5,12,31),$G561&gt;=DATE(README!$B$5,1,1)),1,0))</f>
        <v/>
      </c>
      <c r="R561" s="10" t="inlineStr">
        <is>
          <t>GUT-VEH0038</t>
        </is>
      </c>
      <c r="S561" s="11" t="n">
        <v>46193</v>
      </c>
      <c r="T561" s="10" t="inlineStr">
        <is>
          <t>5</t>
        </is>
      </c>
      <c r="U561" s="10" t="inlineStr">
        <is>
          <t>VEHICLE</t>
        </is>
      </c>
      <c r="V561" s="10" t="inlineStr">
        <is>
          <t>T</t>
        </is>
      </c>
      <c r="W561" s="10" t="inlineStr">
        <is>
          <t>VIVEK B</t>
        </is>
      </c>
    </row>
    <row r="562">
      <c r="A562" s="10" t="inlineStr">
        <is>
          <t>TN57CE3636</t>
        </is>
      </c>
      <c r="B562" s="10" t="inlineStr">
        <is>
          <t>SOCKS</t>
        </is>
      </c>
      <c r="C562" s="10" t="inlineStr">
        <is>
          <t>ADBLU</t>
        </is>
      </c>
      <c r="D562" s="10" t="inlineStr">
        <is>
          <t>ADBLU</t>
        </is>
      </c>
      <c r="E562" s="10" t="inlineStr">
        <is>
          <t>YEARLY</t>
        </is>
      </c>
      <c r="F562" s="11" t="n">
        <v>45383</v>
      </c>
      <c r="G562" s="11" t="n">
        <v>45747</v>
      </c>
      <c r="H562" s="12">
        <f>IF(OR($F562="",$G562=""),"",$G562-$F562+1)</f>
        <v/>
      </c>
      <c r="I562" s="10">
        <f>IF($F562="","",IF(MONTH($F562)&gt;=4,YEAR($F562)&amp;"-"&amp;TEXT(YEAR($F562)+1-2000,"00"),YEAR($F562)-1&amp;"-"&amp;TEXT(YEAR($F562)-2000,"00")))</f>
        <v/>
      </c>
      <c r="J562" s="13" t="n">
        <v>61</v>
      </c>
      <c r="K562" s="14">
        <f>IFERROR($L562/$J562,"")</f>
        <v/>
      </c>
      <c r="L562" s="13" t="n">
        <v>7625</v>
      </c>
      <c r="M562" s="13">
        <f>IFERROR($L562/$H562,"")</f>
        <v/>
      </c>
      <c r="N562" s="11" t="n">
        <v>45479</v>
      </c>
      <c r="O562" s="10">
        <f>IF($N562="","No","Yes")</f>
        <v/>
      </c>
      <c r="P562" s="12">
        <f>IF(OR($F562="",$G562=""),0,IF(AND($F562&lt;=README!$B$4,README!$B$4&lt;=$G562),1,0))</f>
        <v/>
      </c>
      <c r="Q562" s="12">
        <f>IF(OR($F562="",$G562=""),0,IF(AND($F562&lt;=DATE(README!$B$5,12,31),$G562&gt;=DATE(README!$B$5,1,1)),1,0))</f>
        <v/>
      </c>
      <c r="R562" s="10" t="inlineStr">
        <is>
          <t>GUP-VEH0008</t>
        </is>
      </c>
      <c r="S562" s="11" t="n">
        <v>45461</v>
      </c>
      <c r="T562" s="10" t="inlineStr">
        <is>
          <t>541</t>
        </is>
      </c>
      <c r="U562" s="10" t="inlineStr">
        <is>
          <t>VEHICLE</t>
        </is>
      </c>
      <c r="V562" s="10" t="inlineStr">
        <is>
          <t>T</t>
        </is>
      </c>
      <c r="W562" s="10" t="inlineStr">
        <is>
          <t>VIVEK B</t>
        </is>
      </c>
    </row>
    <row r="563">
      <c r="A563" s="10" t="inlineStr">
        <is>
          <t>TN57CE3636</t>
        </is>
      </c>
      <c r="B563" s="10" t="inlineStr">
        <is>
          <t>SOCKS</t>
        </is>
      </c>
      <c r="C563" s="10" t="inlineStr">
        <is>
          <t>ADBLU</t>
        </is>
      </c>
      <c r="D563" s="10" t="inlineStr">
        <is>
          <t>ADBLU</t>
        </is>
      </c>
      <c r="E563" s="10" t="inlineStr">
        <is>
          <t>YEARLY</t>
        </is>
      </c>
      <c r="F563" s="11" t="n">
        <v>45383</v>
      </c>
      <c r="G563" s="11" t="n">
        <v>45747</v>
      </c>
      <c r="H563" s="12">
        <f>IF(OR($F563="",$G563=""),"",$G563-$F563+1)</f>
        <v/>
      </c>
      <c r="I563" s="10">
        <f>IF($F563="","",IF(MONTH($F563)&gt;=4,YEAR($F563)&amp;"-"&amp;TEXT(YEAR($F563)+1-2000,"00"),YEAR($F563)-1&amp;"-"&amp;TEXT(YEAR($F563)-2000,"00")))</f>
        <v/>
      </c>
      <c r="J563" s="13" t="n">
        <v>61</v>
      </c>
      <c r="K563" s="14">
        <f>IFERROR($L563/$J563,"")</f>
        <v/>
      </c>
      <c r="L563" s="13" t="n">
        <v>7930</v>
      </c>
      <c r="M563" s="13">
        <f>IFERROR($L563/$H563,"")</f>
        <v/>
      </c>
      <c r="N563" s="11" t="n">
        <v>45623</v>
      </c>
      <c r="O563" s="10">
        <f>IF($N563="","No","Yes")</f>
        <v/>
      </c>
      <c r="P563" s="12">
        <f>IF(OR($F563="",$G563=""),0,IF(AND($F563&lt;=README!$B$4,README!$B$4&lt;=$G563),1,0))</f>
        <v/>
      </c>
      <c r="Q563" s="12">
        <f>IF(OR($F563="",$G563=""),0,IF(AND($F563&lt;=DATE(README!$B$5,12,31),$G563&gt;=DATE(README!$B$5,1,1)),1,0))</f>
        <v/>
      </c>
      <c r="R563" s="10" t="inlineStr">
        <is>
          <t>GUP-VEH0008</t>
        </is>
      </c>
      <c r="S563" s="11" t="n">
        <v>45461</v>
      </c>
      <c r="T563" s="10" t="inlineStr">
        <is>
          <t>541</t>
        </is>
      </c>
      <c r="U563" s="10" t="inlineStr">
        <is>
          <t>VEHICLE</t>
        </is>
      </c>
      <c r="V563" s="10" t="inlineStr">
        <is>
          <t>T</t>
        </is>
      </c>
      <c r="W563" s="10" t="inlineStr">
        <is>
          <t>VIVEK B</t>
        </is>
      </c>
    </row>
    <row r="564">
      <c r="A564" s="10" t="inlineStr">
        <is>
          <t>TN57CE3636</t>
        </is>
      </c>
      <c r="B564" s="10" t="inlineStr">
        <is>
          <t>SOCKS</t>
        </is>
      </c>
      <c r="C564" s="10" t="inlineStr">
        <is>
          <t>ADBLU</t>
        </is>
      </c>
      <c r="D564" s="10" t="inlineStr">
        <is>
          <t>ADBLU</t>
        </is>
      </c>
      <c r="E564" s="10" t="inlineStr">
        <is>
          <t>YEARLY</t>
        </is>
      </c>
      <c r="F564" s="11" t="n">
        <v>45383</v>
      </c>
      <c r="G564" s="11" t="n">
        <v>45747</v>
      </c>
      <c r="H564" s="12">
        <f>IF(OR($F564="",$G564=""),"",$G564-$F564+1)</f>
        <v/>
      </c>
      <c r="I564" s="10">
        <f>IF($F564="","",IF(MONTH($F564)&gt;=4,YEAR($F564)&amp;"-"&amp;TEXT(YEAR($F564)+1-2000,"00"),YEAR($F564)-1&amp;"-"&amp;TEXT(YEAR($F564)-2000,"00")))</f>
        <v/>
      </c>
      <c r="J564" s="13" t="n">
        <v>61</v>
      </c>
      <c r="K564" s="14">
        <f>IFERROR($L564/$J564,"")</f>
        <v/>
      </c>
      <c r="L564" s="13" t="n">
        <v>7930</v>
      </c>
      <c r="M564" s="13">
        <f>IFERROR($L564/$H564,"")</f>
        <v/>
      </c>
      <c r="N564" s="11" t="n">
        <v>45602</v>
      </c>
      <c r="O564" s="10">
        <f>IF($N564="","No","Yes")</f>
        <v/>
      </c>
      <c r="P564" s="12">
        <f>IF(OR($F564="",$G564=""),0,IF(AND($F564&lt;=README!$B$4,README!$B$4&lt;=$G564),1,0))</f>
        <v/>
      </c>
      <c r="Q564" s="12">
        <f>IF(OR($F564="",$G564=""),0,IF(AND($F564&lt;=DATE(README!$B$5,12,31),$G564&gt;=DATE(README!$B$5,1,1)),1,0))</f>
        <v/>
      </c>
      <c r="R564" s="10" t="inlineStr">
        <is>
          <t>GUP-VEH0008</t>
        </is>
      </c>
      <c r="S564" s="11" t="n">
        <v>45461</v>
      </c>
      <c r="T564" s="10" t="inlineStr">
        <is>
          <t>541</t>
        </is>
      </c>
      <c r="U564" s="10" t="inlineStr">
        <is>
          <t>VEHICLE</t>
        </is>
      </c>
      <c r="V564" s="10" t="inlineStr">
        <is>
          <t>T</t>
        </is>
      </c>
      <c r="W564" s="10" t="inlineStr">
        <is>
          <t>VIVEK B</t>
        </is>
      </c>
    </row>
    <row r="565">
      <c r="A565" s="10" t="inlineStr">
        <is>
          <t>TN57CE3636</t>
        </is>
      </c>
      <c r="B565" s="10" t="inlineStr">
        <is>
          <t>SOCKS</t>
        </is>
      </c>
      <c r="C565" s="10" t="inlineStr">
        <is>
          <t>ADBLU</t>
        </is>
      </c>
      <c r="D565" s="10" t="inlineStr">
        <is>
          <t>ADBLU</t>
        </is>
      </c>
      <c r="E565" s="10" t="inlineStr">
        <is>
          <t>YEARLY</t>
        </is>
      </c>
      <c r="F565" s="11" t="n">
        <v>45383</v>
      </c>
      <c r="G565" s="11" t="n">
        <v>45747</v>
      </c>
      <c r="H565" s="12">
        <f>IF(OR($F565="",$G565=""),"",$G565-$F565+1)</f>
        <v/>
      </c>
      <c r="I565" s="10">
        <f>IF($F565="","",IF(MONTH($F565)&gt;=4,YEAR($F565)&amp;"-"&amp;TEXT(YEAR($F565)+1-2000,"00"),YEAR($F565)-1&amp;"-"&amp;TEXT(YEAR($F565)-2000,"00")))</f>
        <v/>
      </c>
      <c r="J565" s="13" t="n">
        <v>61</v>
      </c>
      <c r="K565" s="14">
        <f>IFERROR($L565/$J565,"")</f>
        <v/>
      </c>
      <c r="L565" s="13" t="n">
        <v>7930</v>
      </c>
      <c r="M565" s="13">
        <f>IFERROR($L565/$H565,"")</f>
        <v/>
      </c>
      <c r="N565" s="11" t="n">
        <v>45700</v>
      </c>
      <c r="O565" s="10">
        <f>IF($N565="","No","Yes")</f>
        <v/>
      </c>
      <c r="P565" s="12">
        <f>IF(OR($F565="",$G565=""),0,IF(AND($F565&lt;=README!$B$4,README!$B$4&lt;=$G565),1,0))</f>
        <v/>
      </c>
      <c r="Q565" s="12">
        <f>IF(OR($F565="",$G565=""),0,IF(AND($F565&lt;=DATE(README!$B$5,12,31),$G565&gt;=DATE(README!$B$5,1,1)),1,0))</f>
        <v/>
      </c>
      <c r="R565" s="10" t="inlineStr">
        <is>
          <t>GUP-VEH0008</t>
        </is>
      </c>
      <c r="S565" s="11" t="n">
        <v>45461</v>
      </c>
      <c r="T565" s="10" t="inlineStr">
        <is>
          <t>541</t>
        </is>
      </c>
      <c r="U565" s="10" t="inlineStr">
        <is>
          <t>VEHICLE</t>
        </is>
      </c>
      <c r="V565" s="10" t="inlineStr">
        <is>
          <t>T</t>
        </is>
      </c>
      <c r="W565" s="10" t="inlineStr">
        <is>
          <t>VIVEK B</t>
        </is>
      </c>
    </row>
    <row r="566">
      <c r="A566" s="10" t="inlineStr">
        <is>
          <t>TN57CE3636</t>
        </is>
      </c>
      <c r="B566" s="10" t="inlineStr">
        <is>
          <t>SOCKS</t>
        </is>
      </c>
      <c r="C566" s="10" t="inlineStr">
        <is>
          <t>ADBLU</t>
        </is>
      </c>
      <c r="D566" s="10" t="inlineStr">
        <is>
          <t>ADBLU</t>
        </is>
      </c>
      <c r="E566" s="10" t="inlineStr">
        <is>
          <t>YEARLY</t>
        </is>
      </c>
      <c r="F566" s="11" t="n">
        <v>45383</v>
      </c>
      <c r="G566" s="11" t="n">
        <v>45747</v>
      </c>
      <c r="H566" s="12">
        <f>IF(OR($F566="",$G566=""),"",$G566-$F566+1)</f>
        <v/>
      </c>
      <c r="I566" s="10">
        <f>IF($F566="","",IF(MONTH($F566)&gt;=4,YEAR($F566)&amp;"-"&amp;TEXT(YEAR($F566)+1-2000,"00"),YEAR($F566)-1&amp;"-"&amp;TEXT(YEAR($F566)-2000,"00")))</f>
        <v/>
      </c>
      <c r="J566" s="13" t="n">
        <v>61</v>
      </c>
      <c r="K566" s="14">
        <f>IFERROR($L566/$J566,"")</f>
        <v/>
      </c>
      <c r="L566" s="13" t="n">
        <v>7930</v>
      </c>
      <c r="M566" s="13">
        <f>IFERROR($L566/$H566,"")</f>
        <v/>
      </c>
      <c r="N566" s="11" t="n">
        <v>45700</v>
      </c>
      <c r="O566" s="10">
        <f>IF($N566="","No","Yes")</f>
        <v/>
      </c>
      <c r="P566" s="12">
        <f>IF(OR($F566="",$G566=""),0,IF(AND($F566&lt;=README!$B$4,README!$B$4&lt;=$G566),1,0))</f>
        <v/>
      </c>
      <c r="Q566" s="12">
        <f>IF(OR($F566="",$G566=""),0,IF(AND($F566&lt;=DATE(README!$B$5,12,31),$G566&gt;=DATE(README!$B$5,1,1)),1,0))</f>
        <v/>
      </c>
      <c r="R566" s="10" t="inlineStr">
        <is>
          <t>GUP-VEH0008</t>
        </is>
      </c>
      <c r="S566" s="11" t="n">
        <v>45461</v>
      </c>
      <c r="T566" s="10" t="inlineStr">
        <is>
          <t>541</t>
        </is>
      </c>
      <c r="U566" s="10" t="inlineStr">
        <is>
          <t>VEHICLE</t>
        </is>
      </c>
      <c r="V566" s="10" t="inlineStr">
        <is>
          <t>T</t>
        </is>
      </c>
      <c r="W566" s="10" t="inlineStr">
        <is>
          <t>VIVEK B</t>
        </is>
      </c>
    </row>
    <row r="567">
      <c r="A567" s="10" t="inlineStr">
        <is>
          <t>TN57CE3636</t>
        </is>
      </c>
      <c r="B567" s="10" t="inlineStr">
        <is>
          <t>SOCKS</t>
        </is>
      </c>
      <c r="C567" s="10" t="inlineStr">
        <is>
          <t>ROAD TAX</t>
        </is>
      </c>
      <c r="D567" s="10" t="inlineStr">
        <is>
          <t>ROAD TAX</t>
        </is>
      </c>
      <c r="E567" s="10" t="inlineStr">
        <is>
          <t>YEARLY</t>
        </is>
      </c>
      <c r="F567" s="11" t="n">
        <v>45383</v>
      </c>
      <c r="G567" s="11" t="n">
        <v>45747</v>
      </c>
      <c r="H567" s="12">
        <f>IF(OR($F567="",$G567=""),"",$G567-$F567+1)</f>
        <v/>
      </c>
      <c r="I567" s="10">
        <f>IF($F567="","",IF(MONTH($F567)&gt;=4,YEAR($F567)&amp;"-"&amp;TEXT(YEAR($F567)+1-2000,"00"),YEAR($F567)-1&amp;"-"&amp;TEXT(YEAR($F567)-2000,"00")))</f>
        <v/>
      </c>
      <c r="J567" s="13" t="n">
        <v>32724</v>
      </c>
      <c r="K567" s="14">
        <f>IFERROR($L567/$J567,"")</f>
        <v/>
      </c>
      <c r="L567" s="13" t="n">
        <v>32724</v>
      </c>
      <c r="M567" s="13">
        <f>IFERROR($L567/$H567,"")</f>
        <v/>
      </c>
      <c r="N567" s="11" t="n">
        <v>45649</v>
      </c>
      <c r="O567" s="10">
        <f>IF($N567="","No","Yes")</f>
        <v/>
      </c>
      <c r="P567" s="12">
        <f>IF(OR($F567="",$G567=""),0,IF(AND($F567&lt;=README!$B$4,README!$B$4&lt;=$G567),1,0))</f>
        <v/>
      </c>
      <c r="Q567" s="12">
        <f>IF(OR($F567="",$G567=""),0,IF(AND($F567&lt;=DATE(README!$B$5,12,31),$G567&gt;=DATE(README!$B$5,1,1)),1,0))</f>
        <v/>
      </c>
      <c r="R567" s="10" t="inlineStr">
        <is>
          <t>GUP-VEH0011</t>
        </is>
      </c>
      <c r="S567" s="11" t="n">
        <v>45477</v>
      </c>
      <c r="T567" s="10" t="inlineStr">
        <is>
          <t>548</t>
        </is>
      </c>
      <c r="U567" s="10" t="inlineStr">
        <is>
          <t>VEHICLE</t>
        </is>
      </c>
      <c r="V567" s="10" t="inlineStr">
        <is>
          <t>T</t>
        </is>
      </c>
      <c r="W567" s="10" t="inlineStr">
        <is>
          <t>VIVEK B</t>
        </is>
      </c>
    </row>
    <row r="568">
      <c r="A568" s="10" t="inlineStr">
        <is>
          <t>TN57CE3636</t>
        </is>
      </c>
      <c r="B568" s="10" t="inlineStr">
        <is>
          <t>SOCKS</t>
        </is>
      </c>
      <c r="C568" s="10" t="inlineStr">
        <is>
          <t>ROAD TAX</t>
        </is>
      </c>
      <c r="D568" s="10" t="inlineStr">
        <is>
          <t>ROAD TAX</t>
        </is>
      </c>
      <c r="E568" s="10" t="inlineStr">
        <is>
          <t>YEARLY</t>
        </is>
      </c>
      <c r="F568" s="11" t="n">
        <v>45383</v>
      </c>
      <c r="G568" s="11" t="n">
        <v>45747</v>
      </c>
      <c r="H568" s="12">
        <f>IF(OR($F568="",$G568=""),"",$G568-$F568+1)</f>
        <v/>
      </c>
      <c r="I568" s="10">
        <f>IF($F568="","",IF(MONTH($F568)&gt;=4,YEAR($F568)&amp;"-"&amp;TEXT(YEAR($F568)+1-2000,"00"),YEAR($F568)-1&amp;"-"&amp;TEXT(YEAR($F568)-2000,"00")))</f>
        <v/>
      </c>
      <c r="J568" s="13" t="n">
        <v>32724</v>
      </c>
      <c r="K568" s="14">
        <f>IFERROR($L568/$J568,"")</f>
        <v/>
      </c>
      <c r="L568" s="13" t="n">
        <v>32724</v>
      </c>
      <c r="M568" s="13">
        <f>IFERROR($L568/$H568,"")</f>
        <v/>
      </c>
      <c r="N568" s="11" t="n">
        <v>45569</v>
      </c>
      <c r="O568" s="10">
        <f>IF($N568="","No","Yes")</f>
        <v/>
      </c>
      <c r="P568" s="12">
        <f>IF(OR($F568="",$G568=""),0,IF(AND($F568&lt;=README!$B$4,README!$B$4&lt;=$G568),1,0))</f>
        <v/>
      </c>
      <c r="Q568" s="12">
        <f>IF(OR($F568="",$G568=""),0,IF(AND($F568&lt;=DATE(README!$B$5,12,31),$G568&gt;=DATE(README!$B$5,1,1)),1,0))</f>
        <v/>
      </c>
      <c r="R568" s="10" t="inlineStr">
        <is>
          <t>GUP-VEH0011</t>
        </is>
      </c>
      <c r="S568" s="11" t="n">
        <v>45477</v>
      </c>
      <c r="T568" s="10" t="inlineStr">
        <is>
          <t>548</t>
        </is>
      </c>
      <c r="U568" s="10" t="inlineStr">
        <is>
          <t>VEHICLE</t>
        </is>
      </c>
      <c r="V568" s="10" t="inlineStr">
        <is>
          <t>T</t>
        </is>
      </c>
      <c r="W568" s="10" t="inlineStr">
        <is>
          <t>VIVEK B</t>
        </is>
      </c>
    </row>
    <row r="569">
      <c r="A569" s="10" t="inlineStr">
        <is>
          <t>TN57CE3636</t>
        </is>
      </c>
      <c r="B569" s="10" t="inlineStr">
        <is>
          <t>SOCKS</t>
        </is>
      </c>
      <c r="C569" s="10" t="inlineStr">
        <is>
          <t>ROAD TAX</t>
        </is>
      </c>
      <c r="D569" s="10" t="inlineStr">
        <is>
          <t>ROAD TAX</t>
        </is>
      </c>
      <c r="E569" s="10" t="inlineStr">
        <is>
          <t>YEARLY</t>
        </is>
      </c>
      <c r="F569" s="11" t="n">
        <v>45383</v>
      </c>
      <c r="G569" s="11" t="n">
        <v>45747</v>
      </c>
      <c r="H569" s="12">
        <f>IF(OR($F569="",$G569=""),"",$G569-$F569+1)</f>
        <v/>
      </c>
      <c r="I569" s="10">
        <f>IF($F569="","",IF(MONTH($F569)&gt;=4,YEAR($F569)&amp;"-"&amp;TEXT(YEAR($F569)+1-2000,"00"),YEAR($F569)-1&amp;"-"&amp;TEXT(YEAR($F569)-2000,"00")))</f>
        <v/>
      </c>
      <c r="J569" s="13" t="n">
        <v>32724</v>
      </c>
      <c r="K569" s="14">
        <f>IFERROR($L569/$J569,"")</f>
        <v/>
      </c>
      <c r="L569" s="13" t="n">
        <v>32724</v>
      </c>
      <c r="M569" s="13">
        <f>IFERROR($L569/$H569,"")</f>
        <v/>
      </c>
      <c r="N569" s="11" t="n">
        <v>45481</v>
      </c>
      <c r="O569" s="10">
        <f>IF($N569="","No","Yes")</f>
        <v/>
      </c>
      <c r="P569" s="12">
        <f>IF(OR($F569="",$G569=""),0,IF(AND($F569&lt;=README!$B$4,README!$B$4&lt;=$G569),1,0))</f>
        <v/>
      </c>
      <c r="Q569" s="12">
        <f>IF(OR($F569="",$G569=""),0,IF(AND($F569&lt;=DATE(README!$B$5,12,31),$G569&gt;=DATE(README!$B$5,1,1)),1,0))</f>
        <v/>
      </c>
      <c r="R569" s="10" t="inlineStr">
        <is>
          <t>GUP-VEH0011</t>
        </is>
      </c>
      <c r="S569" s="11" t="n">
        <v>45477</v>
      </c>
      <c r="T569" s="10" t="inlineStr">
        <is>
          <t>548</t>
        </is>
      </c>
      <c r="U569" s="10" t="inlineStr">
        <is>
          <t>VEHICLE</t>
        </is>
      </c>
      <c r="V569" s="10" t="inlineStr">
        <is>
          <t>T</t>
        </is>
      </c>
      <c r="W569" s="10" t="inlineStr">
        <is>
          <t>VIVEK B</t>
        </is>
      </c>
    </row>
    <row r="570">
      <c r="A570" s="10" t="inlineStr">
        <is>
          <t>TN57CE3636</t>
        </is>
      </c>
      <c r="B570" s="10" t="inlineStr">
        <is>
          <t>SOCKS</t>
        </is>
      </c>
      <c r="C570" s="10" t="inlineStr">
        <is>
          <t>TYRE</t>
        </is>
      </c>
      <c r="D570" s="10" t="inlineStr">
        <is>
          <t>TYRE</t>
        </is>
      </c>
      <c r="E570" s="10" t="inlineStr">
        <is>
          <t>YEARLY</t>
        </is>
      </c>
      <c r="F570" s="11" t="n">
        <v>45383</v>
      </c>
      <c r="G570" s="11" t="n">
        <v>45747</v>
      </c>
      <c r="H570" s="12">
        <f>IF(OR($F570="",$G570=""),"",$G570-$F570+1)</f>
        <v/>
      </c>
      <c r="I570" s="10">
        <f>IF($F570="","",IF(MONTH($F570)&gt;=4,YEAR($F570)&amp;"-"&amp;TEXT(YEAR($F570)+1-2000,"00"),YEAR($F570)-1&amp;"-"&amp;TEXT(YEAR($F570)-2000,"00")))</f>
        <v/>
      </c>
      <c r="J570" s="13" t="n">
        <v>30200</v>
      </c>
      <c r="K570" s="14">
        <f>IFERROR($L570/$J570,"")</f>
        <v/>
      </c>
      <c r="L570" s="13" t="n">
        <v>60400</v>
      </c>
      <c r="M570" s="13">
        <f>IFERROR($L570/$H570,"")</f>
        <v/>
      </c>
      <c r="N570" s="11" t="n">
        <v>45443</v>
      </c>
      <c r="O570" s="10">
        <f>IF($N570="","No","Yes")</f>
        <v/>
      </c>
      <c r="P570" s="12">
        <f>IF(OR($F570="",$G570=""),0,IF(AND($F570&lt;=README!$B$4,README!$B$4&lt;=$G570),1,0))</f>
        <v/>
      </c>
      <c r="Q570" s="12">
        <f>IF(OR($F570="",$G570=""),0,IF(AND($F570&lt;=DATE(README!$B$5,12,31),$G570&gt;=DATE(README!$B$5,1,1)),1,0))</f>
        <v/>
      </c>
      <c r="R570" s="10" t="inlineStr">
        <is>
          <t>GUP-VEH0006</t>
        </is>
      </c>
      <c r="S570" s="11" t="n">
        <v>45442</v>
      </c>
      <c r="T570" s="10" t="inlineStr">
        <is>
          <t>522</t>
        </is>
      </c>
      <c r="U570" s="10" t="inlineStr">
        <is>
          <t>VEHICLE</t>
        </is>
      </c>
      <c r="V570" s="10" t="inlineStr">
        <is>
          <t>T</t>
        </is>
      </c>
      <c r="W570" s="10" t="inlineStr">
        <is>
          <t>VIVEK B</t>
        </is>
      </c>
    </row>
    <row r="571">
      <c r="A571" s="10" t="inlineStr">
        <is>
          <t>TN57CE3636</t>
        </is>
      </c>
      <c r="B571" s="10" t="inlineStr">
        <is>
          <t>SOCKS</t>
        </is>
      </c>
      <c r="C571" s="10" t="inlineStr">
        <is>
          <t>VEHICLE INSURANCE</t>
        </is>
      </c>
      <c r="D571" s="10" t="inlineStr">
        <is>
          <t>VEHICLE INSURANCE</t>
        </is>
      </c>
      <c r="E571" s="10" t="inlineStr">
        <is>
          <t>YEARLY</t>
        </is>
      </c>
      <c r="F571" s="11" t="n">
        <v>45383</v>
      </c>
      <c r="G571" s="11" t="n">
        <v>45747</v>
      </c>
      <c r="H571" s="12">
        <f>IF(OR($F571="",$G571=""),"",$G571-$F571+1)</f>
        <v/>
      </c>
      <c r="I571" s="10">
        <f>IF($F571="","",IF(MONTH($F571)&gt;=4,YEAR($F571)&amp;"-"&amp;TEXT(YEAR($F571)+1-2000,"00"),YEAR($F571)-1&amp;"-"&amp;TEXT(YEAR($F571)-2000,"00")))</f>
        <v/>
      </c>
      <c r="J571" s="13" t="n">
        <v>79453</v>
      </c>
      <c r="K571" s="14">
        <f>IFERROR($L571/$J571,"")</f>
        <v/>
      </c>
      <c r="L571" s="13" t="n">
        <v>79453</v>
      </c>
      <c r="M571" s="13">
        <f>IFERROR($L571/$H571,"")</f>
        <v/>
      </c>
      <c r="N571" s="11" t="n">
        <v>45541</v>
      </c>
      <c r="O571" s="10">
        <f>IF($N571="","No","Yes")</f>
        <v/>
      </c>
      <c r="P571" s="12">
        <f>IF(OR($F571="",$G571=""),0,IF(AND($F571&lt;=README!$B$4,README!$B$4&lt;=$G571),1,0))</f>
        <v/>
      </c>
      <c r="Q571" s="12">
        <f>IF(OR($F571="",$G571=""),0,IF(AND($F571&lt;=DATE(README!$B$5,12,31),$G571&gt;=DATE(README!$B$5,1,1)),1,0))</f>
        <v/>
      </c>
      <c r="R571" s="10" t="inlineStr">
        <is>
          <t>GUP-VEH0013</t>
        </is>
      </c>
      <c r="S571" s="11" t="n">
        <v>45478</v>
      </c>
      <c r="T571" s="10" t="inlineStr">
        <is>
          <t>550</t>
        </is>
      </c>
      <c r="U571" s="10" t="inlineStr">
        <is>
          <t>VEHICLE</t>
        </is>
      </c>
      <c r="V571" s="10" t="inlineStr">
        <is>
          <t>T</t>
        </is>
      </c>
      <c r="W571" s="10" t="inlineStr">
        <is>
          <t>VIVEK B</t>
        </is>
      </c>
    </row>
    <row r="572">
      <c r="A572" s="10" t="inlineStr">
        <is>
          <t>TN57CE3636</t>
        </is>
      </c>
      <c r="B572" s="10" t="inlineStr">
        <is>
          <t>SOCKS</t>
        </is>
      </c>
      <c r="C572" s="10" t="inlineStr">
        <is>
          <t>VEHICLE OUTSIDE SERVICES</t>
        </is>
      </c>
      <c r="D572" s="10" t="inlineStr">
        <is>
          <t>MAINTENANCE SERVICE - 2</t>
        </is>
      </c>
      <c r="E572" s="10" t="inlineStr">
        <is>
          <t>YEARLY</t>
        </is>
      </c>
      <c r="F572" s="11" t="n">
        <v>45383</v>
      </c>
      <c r="G572" s="11" t="n">
        <v>45747</v>
      </c>
      <c r="H572" s="12">
        <f>IF(OR($F572="",$G572=""),"",$G572-$F572+1)</f>
        <v/>
      </c>
      <c r="I572" s="10">
        <f>IF($F572="","",IF(MONTH($F572)&gt;=4,YEAR($F572)&amp;"-"&amp;TEXT(YEAR($F572)+1-2000,"00"),YEAR($F572)-1&amp;"-"&amp;TEXT(YEAR($F572)-2000,"00")))</f>
        <v/>
      </c>
      <c r="J572" s="13" t="n">
        <v>10455.11</v>
      </c>
      <c r="K572" s="14">
        <f>IFERROR($L572/$J572,"")</f>
        <v/>
      </c>
      <c r="L572" s="13" t="n">
        <v>10455.11</v>
      </c>
      <c r="M572" s="13">
        <f>IFERROR($L572/$H572,"")</f>
        <v/>
      </c>
      <c r="N572" s="11" t="n">
        <v>45605</v>
      </c>
      <c r="O572" s="10">
        <f>IF($N572="","No","Yes")</f>
        <v/>
      </c>
      <c r="P572" s="12">
        <f>IF(OR($F572="",$G572=""),0,IF(AND($F572&lt;=README!$B$4,README!$B$4&lt;=$G572),1,0))</f>
        <v/>
      </c>
      <c r="Q572" s="12">
        <f>IF(OR($F572="",$G572=""),0,IF(AND($F572&lt;=DATE(README!$B$5,12,31),$G572&gt;=DATE(README!$B$5,1,1)),1,0))</f>
        <v/>
      </c>
      <c r="R572" s="10" t="inlineStr">
        <is>
          <t>GUP-VEH0012</t>
        </is>
      </c>
      <c r="S572" s="11" t="n">
        <v>45477</v>
      </c>
      <c r="T572" s="10" t="inlineStr">
        <is>
          <t>549</t>
        </is>
      </c>
      <c r="U572" s="10" t="inlineStr">
        <is>
          <t>VEHICLE</t>
        </is>
      </c>
      <c r="V572" s="10" t="inlineStr">
        <is>
          <t>T</t>
        </is>
      </c>
      <c r="W572" s="10" t="inlineStr">
        <is>
          <t>VIVEK B</t>
        </is>
      </c>
    </row>
    <row r="573">
      <c r="A573" s="10" t="inlineStr">
        <is>
          <t>TN57CE3636</t>
        </is>
      </c>
      <c r="B573" s="10" t="inlineStr">
        <is>
          <t>SOCKS</t>
        </is>
      </c>
      <c r="C573" s="10" t="inlineStr">
        <is>
          <t>VEHICLE OUTSIDE SERVICES</t>
        </is>
      </c>
      <c r="D573" s="10" t="inlineStr">
        <is>
          <t xml:space="preserve">MAINTENANCE SERVICE </t>
        </is>
      </c>
      <c r="E573" s="10" t="inlineStr">
        <is>
          <t>YEARLY</t>
        </is>
      </c>
      <c r="F573" s="11" t="n">
        <v>45383</v>
      </c>
      <c r="G573" s="11" t="n">
        <v>45747</v>
      </c>
      <c r="H573" s="12">
        <f>IF(OR($F573="",$G573=""),"",$G573-$F573+1)</f>
        <v/>
      </c>
      <c r="I573" s="10">
        <f>IF($F573="","",IF(MONTH($F573)&gt;=4,YEAR($F573)&amp;"-"&amp;TEXT(YEAR($F573)+1-2000,"00"),YEAR($F573)-1&amp;"-"&amp;TEXT(YEAR($F573)-2000,"00")))</f>
        <v/>
      </c>
      <c r="J573" s="13" t="n">
        <v>53830.79</v>
      </c>
      <c r="K573" s="14">
        <f>IFERROR($L573/$J573,"")</f>
        <v/>
      </c>
      <c r="L573" s="13" t="n">
        <v>53830.79</v>
      </c>
      <c r="M573" s="13">
        <f>IFERROR($L573/$H573,"")</f>
        <v/>
      </c>
      <c r="N573" s="11" t="n">
        <v>45535</v>
      </c>
      <c r="O573" s="10">
        <f>IF($N573="","No","Yes")</f>
        <v/>
      </c>
      <c r="P573" s="12">
        <f>IF(OR($F573="",$G573=""),0,IF(AND($F573&lt;=README!$B$4,README!$B$4&lt;=$G573),1,0))</f>
        <v/>
      </c>
      <c r="Q573" s="12">
        <f>IF(OR($F573="",$G573=""),0,IF(AND($F573&lt;=DATE(README!$B$5,12,31),$G573&gt;=DATE(README!$B$5,1,1)),1,0))</f>
        <v/>
      </c>
      <c r="R573" s="10" t="inlineStr">
        <is>
          <t>GUP-VEH0012</t>
        </is>
      </c>
      <c r="S573" s="11" t="n">
        <v>45477</v>
      </c>
      <c r="T573" s="10" t="inlineStr">
        <is>
          <t>549</t>
        </is>
      </c>
      <c r="U573" s="10" t="inlineStr">
        <is>
          <t>VEHICLE</t>
        </is>
      </c>
      <c r="V573" s="10" t="inlineStr">
        <is>
          <t>T</t>
        </is>
      </c>
      <c r="W573" s="10" t="inlineStr">
        <is>
          <t>VIVEK B</t>
        </is>
      </c>
    </row>
    <row r="574">
      <c r="A574" s="10" t="inlineStr">
        <is>
          <t>TN57CE3636</t>
        </is>
      </c>
      <c r="B574" s="10" t="inlineStr">
        <is>
          <t>SOCKS</t>
        </is>
      </c>
      <c r="C574" s="10" t="inlineStr">
        <is>
          <t>VEHICLE OUTSIDE SERVICES</t>
        </is>
      </c>
      <c r="D574" s="10" t="inlineStr">
        <is>
          <t>MAINTENANCE SERVICE - 3</t>
        </is>
      </c>
      <c r="E574" s="10" t="inlineStr">
        <is>
          <t>YEARLY</t>
        </is>
      </c>
      <c r="F574" s="11" t="n">
        <v>45383</v>
      </c>
      <c r="G574" s="11" t="n">
        <v>45747</v>
      </c>
      <c r="H574" s="12">
        <f>IF(OR($F574="",$G574=""),"",$G574-$F574+1)</f>
        <v/>
      </c>
      <c r="I574" s="10">
        <f>IF($F574="","",IF(MONTH($F574)&gt;=4,YEAR($F574)&amp;"-"&amp;TEXT(YEAR($F574)+1-2000,"00"),YEAR($F574)-1&amp;"-"&amp;TEXT(YEAR($F574)-2000,"00")))</f>
        <v/>
      </c>
      <c r="J574" s="13" t="n">
        <v>29215.38</v>
      </c>
      <c r="K574" s="14">
        <f>IFERROR($L574/$J574,"")</f>
        <v/>
      </c>
      <c r="L574" s="13" t="n">
        <v>29215.38</v>
      </c>
      <c r="M574" s="13">
        <f>IFERROR($L574/$H574,"")</f>
        <v/>
      </c>
      <c r="N574" s="11" t="n">
        <v>45691</v>
      </c>
      <c r="O574" s="10">
        <f>IF($N574="","No","Yes")</f>
        <v/>
      </c>
      <c r="P574" s="12">
        <f>IF(OR($F574="",$G574=""),0,IF(AND($F574&lt;=README!$B$4,README!$B$4&lt;=$G574),1,0))</f>
        <v/>
      </c>
      <c r="Q574" s="12">
        <f>IF(OR($F574="",$G574=""),0,IF(AND($F574&lt;=DATE(README!$B$5,12,31),$G574&gt;=DATE(README!$B$5,1,1)),1,0))</f>
        <v/>
      </c>
      <c r="R574" s="10" t="inlineStr">
        <is>
          <t>GUP-VEH0012</t>
        </is>
      </c>
      <c r="S574" s="11" t="n">
        <v>45477</v>
      </c>
      <c r="T574" s="10" t="inlineStr">
        <is>
          <t>549</t>
        </is>
      </c>
      <c r="U574" s="10" t="inlineStr">
        <is>
          <t>VEHICLE</t>
        </is>
      </c>
      <c r="V574" s="10" t="inlineStr">
        <is>
          <t>T</t>
        </is>
      </c>
      <c r="W574" s="10" t="inlineStr">
        <is>
          <t>VIVEK B</t>
        </is>
      </c>
    </row>
    <row r="575">
      <c r="A575" s="10" t="inlineStr">
        <is>
          <t>TN57CE3636</t>
        </is>
      </c>
      <c r="B575" s="10" t="inlineStr">
        <is>
          <t>SOCKS</t>
        </is>
      </c>
      <c r="C575" s="10" t="inlineStr">
        <is>
          <t>ROAD TAX</t>
        </is>
      </c>
      <c r="D575" s="10" t="inlineStr">
        <is>
          <t>ROAD TAX</t>
        </is>
      </c>
      <c r="E575" s="10" t="inlineStr">
        <is>
          <t>QUARTER - I</t>
        </is>
      </c>
      <c r="F575" s="11" t="n">
        <v>45748</v>
      </c>
      <c r="G575" s="11" t="n">
        <v>45838</v>
      </c>
      <c r="H575" s="12">
        <f>IF(OR($F575="",$G575=""),"",$G575-$F575+1)</f>
        <v/>
      </c>
      <c r="I575" s="10">
        <f>IF($F575="","",IF(MONTH($F575)&gt;=4,YEAR($F575)&amp;"-"&amp;TEXT(YEAR($F575)+1-2000,"00"),YEAR($F575)-1&amp;"-"&amp;TEXT(YEAR($F575)-2000,"00")))</f>
        <v/>
      </c>
      <c r="J575" s="13" t="n">
        <v>32724</v>
      </c>
      <c r="K575" s="14">
        <f>IFERROR($L575/$J575,"")</f>
        <v/>
      </c>
      <c r="L575" s="13" t="n">
        <v>32724</v>
      </c>
      <c r="M575" s="13">
        <f>IFERROR($L575/$H575,"")</f>
        <v/>
      </c>
      <c r="N575" s="11" t="n">
        <v>46030</v>
      </c>
      <c r="O575" s="10">
        <f>IF($N575="","No","Yes")</f>
        <v/>
      </c>
      <c r="P575" s="12">
        <f>IF(OR($F575="",$G575=""),0,IF(AND($F575&lt;=README!$B$4,README!$B$4&lt;=$G575),1,0))</f>
        <v/>
      </c>
      <c r="Q575" s="12">
        <f>IF(OR($F575="",$G575=""),0,IF(AND($F575&lt;=DATE(README!$B$5,12,31),$G575&gt;=DATE(README!$B$5,1,1)),1,0))</f>
        <v/>
      </c>
      <c r="R575" s="10" t="inlineStr">
        <is>
          <t>GUP-VEH0014</t>
        </is>
      </c>
      <c r="S575" s="11" t="n">
        <v>45748</v>
      </c>
      <c r="T575" s="10" t="inlineStr">
        <is>
          <t>609</t>
        </is>
      </c>
      <c r="U575" s="10" t="inlineStr">
        <is>
          <t>VEHICLE</t>
        </is>
      </c>
      <c r="V575" s="10" t="inlineStr">
        <is>
          <t>T</t>
        </is>
      </c>
      <c r="W575" s="10" t="inlineStr">
        <is>
          <t>VIVEK B</t>
        </is>
      </c>
    </row>
    <row r="576">
      <c r="A576" s="10" t="inlineStr">
        <is>
          <t>TN57CE3636</t>
        </is>
      </c>
      <c r="B576" s="10" t="inlineStr">
        <is>
          <t>SOCKS</t>
        </is>
      </c>
      <c r="C576" s="10" t="inlineStr">
        <is>
          <t>RTO EXPENSE</t>
        </is>
      </c>
      <c r="D576" s="10" t="inlineStr">
        <is>
          <t>RTO EXPENSE</t>
        </is>
      </c>
      <c r="E576" s="10" t="inlineStr">
        <is>
          <t>YEARLY</t>
        </is>
      </c>
      <c r="F576" s="11" t="n">
        <v>45748</v>
      </c>
      <c r="G576" s="11" t="n">
        <v>46112</v>
      </c>
      <c r="H576" s="12">
        <f>IF(OR($F576="",$G576=""),"",$G576-$F576+1)</f>
        <v/>
      </c>
      <c r="I576" s="10">
        <f>IF($F576="","",IF(MONTH($F576)&gt;=4,YEAR($F576)&amp;"-"&amp;TEXT(YEAR($F576)+1-2000,"00"),YEAR($F576)-1&amp;"-"&amp;TEXT(YEAR($F576)-2000,"00")))</f>
        <v/>
      </c>
      <c r="J576" s="13" t="n">
        <v>10400</v>
      </c>
      <c r="K576" s="14">
        <f>IFERROR($L576/$J576,"")</f>
        <v/>
      </c>
      <c r="L576" s="13" t="n">
        <v>10400</v>
      </c>
      <c r="M576" s="13">
        <f>IFERROR($L576/$H576,"")</f>
        <v/>
      </c>
      <c r="N576" s="11" t="n">
        <v>46028</v>
      </c>
      <c r="O576" s="10">
        <f>IF($N576="","No","Yes")</f>
        <v/>
      </c>
      <c r="P576" s="12">
        <f>IF(OR($F576="",$G576=""),0,IF(AND($F576&lt;=README!$B$4,README!$B$4&lt;=$G576),1,0))</f>
        <v/>
      </c>
      <c r="Q576" s="12">
        <f>IF(OR($F576="",$G576=""),0,IF(AND($F576&lt;=DATE(README!$B$5,12,31),$G576&gt;=DATE(README!$B$5,1,1)),1,0))</f>
        <v/>
      </c>
      <c r="R576" s="10" t="inlineStr">
        <is>
          <t>GUP-VEH0022</t>
        </is>
      </c>
      <c r="S576" s="11" t="n">
        <v>45834</v>
      </c>
      <c r="T576" s="10" t="inlineStr">
        <is>
          <t>655</t>
        </is>
      </c>
      <c r="U576" s="10" t="inlineStr">
        <is>
          <t>VEHICLE</t>
        </is>
      </c>
      <c r="V576" s="10" t="inlineStr">
        <is>
          <t>T</t>
        </is>
      </c>
      <c r="W576" s="10" t="inlineStr">
        <is>
          <t>VIVEK B</t>
        </is>
      </c>
    </row>
    <row r="577">
      <c r="A577" s="10" t="inlineStr">
        <is>
          <t>TN57CE3636</t>
        </is>
      </c>
      <c r="B577" s="10" t="inlineStr">
        <is>
          <t>SOCKS</t>
        </is>
      </c>
      <c r="C577" s="10" t="inlineStr">
        <is>
          <t>TYRE</t>
        </is>
      </c>
      <c r="D577" s="10" t="inlineStr">
        <is>
          <t>TYRE</t>
        </is>
      </c>
      <c r="E577" s="10" t="inlineStr">
        <is>
          <t>YEARLY</t>
        </is>
      </c>
      <c r="F577" s="11" t="n">
        <v>45748</v>
      </c>
      <c r="G577" s="11" t="n">
        <v>46112</v>
      </c>
      <c r="H577" s="12">
        <f>IF(OR($F577="",$G577=""),"",$G577-$F577+1)</f>
        <v/>
      </c>
      <c r="I577" s="10">
        <f>IF($F577="","",IF(MONTH($F577)&gt;=4,YEAR($F577)&amp;"-"&amp;TEXT(YEAR($F577)+1-2000,"00"),YEAR($F577)-1&amp;"-"&amp;TEXT(YEAR($F577)-2000,"00")))</f>
        <v/>
      </c>
      <c r="J577" s="13" t="n">
        <v>30300</v>
      </c>
      <c r="K577" s="14">
        <f>IFERROR($L577/$J577,"")</f>
        <v/>
      </c>
      <c r="L577" s="13" t="n">
        <v>30300</v>
      </c>
      <c r="M577" s="13">
        <f>IFERROR($L577/$H577,"")</f>
        <v/>
      </c>
      <c r="N577" s="11" t="n">
        <v>45986</v>
      </c>
      <c r="O577" s="10">
        <f>IF($N577="","No","Yes")</f>
        <v/>
      </c>
      <c r="P577" s="12">
        <f>IF(OR($F577="",$G577=""),0,IF(AND($F577&lt;=README!$B$4,README!$B$4&lt;=$G577),1,0))</f>
        <v/>
      </c>
      <c r="Q577" s="12">
        <f>IF(OR($F577="",$G577=""),0,IF(AND($F577&lt;=DATE(README!$B$5,12,31),$G577&gt;=DATE(README!$B$5,1,1)),1,0))</f>
        <v/>
      </c>
      <c r="R577" s="10" t="inlineStr">
        <is>
          <t>GUP-VEH0025</t>
        </is>
      </c>
      <c r="S577" s="11" t="n">
        <v>45957</v>
      </c>
      <c r="T577" s="10" t="inlineStr">
        <is>
          <t>726</t>
        </is>
      </c>
      <c r="U577" s="10" t="inlineStr">
        <is>
          <t>VEHICLE</t>
        </is>
      </c>
      <c r="V577" s="10" t="inlineStr">
        <is>
          <t>T</t>
        </is>
      </c>
      <c r="W577" s="10" t="inlineStr">
        <is>
          <t>VIVEK B</t>
        </is>
      </c>
    </row>
    <row r="578">
      <c r="A578" s="10" t="inlineStr">
        <is>
          <t>TN57CE3636</t>
        </is>
      </c>
      <c r="B578" s="10" t="inlineStr">
        <is>
          <t>SOCKS</t>
        </is>
      </c>
      <c r="C578" s="10" t="inlineStr">
        <is>
          <t>VEHICLE INSURANCE</t>
        </is>
      </c>
      <c r="D578" s="10" t="inlineStr">
        <is>
          <t>VEHICLE INSURANCE</t>
        </is>
      </c>
      <c r="E578" s="10" t="inlineStr">
        <is>
          <t>YEARLY</t>
        </is>
      </c>
      <c r="F578" s="11" t="n">
        <v>45748</v>
      </c>
      <c r="G578" s="11" t="n">
        <v>46112</v>
      </c>
      <c r="H578" s="12">
        <f>IF(OR($F578="",$G578=""),"",$G578-$F578+1)</f>
        <v/>
      </c>
      <c r="I578" s="10">
        <f>IF($F578="","",IF(MONTH($F578)&gt;=4,YEAR($F578)&amp;"-"&amp;TEXT(YEAR($F578)+1-2000,"00"),YEAR($F578)-1&amp;"-"&amp;TEXT(YEAR($F578)-2000,"00")))</f>
        <v/>
      </c>
      <c r="J578" s="13" t="n">
        <v>78377</v>
      </c>
      <c r="K578" s="14">
        <f>IFERROR($L578/$J578,"")</f>
        <v/>
      </c>
      <c r="L578" s="13" t="n">
        <v>78377</v>
      </c>
      <c r="M578" s="13">
        <f>IFERROR($L578/$H578,"")</f>
        <v/>
      </c>
      <c r="N578" s="11" t="n">
        <v>45905</v>
      </c>
      <c r="O578" s="10">
        <f>IF($N578="","No","Yes")</f>
        <v/>
      </c>
      <c r="P578" s="12">
        <f>IF(OR($F578="",$G578=""),0,IF(AND($F578&lt;=README!$B$4,README!$B$4&lt;=$G578),1,0))</f>
        <v/>
      </c>
      <c r="Q578" s="12">
        <f>IF(OR($F578="",$G578=""),0,IF(AND($F578&lt;=DATE(README!$B$5,12,31),$G578&gt;=DATE(README!$B$5,1,1)),1,0))</f>
        <v/>
      </c>
      <c r="R578" s="10" t="inlineStr">
        <is>
          <t>GUP-VEH0020</t>
        </is>
      </c>
      <c r="S578" s="11" t="n">
        <v>45799</v>
      </c>
      <c r="T578" s="10" t="inlineStr">
        <is>
          <t>645</t>
        </is>
      </c>
      <c r="U578" s="10" t="inlineStr">
        <is>
          <t>VEHICLE</t>
        </is>
      </c>
      <c r="V578" s="10" t="inlineStr">
        <is>
          <t>T</t>
        </is>
      </c>
      <c r="W578" s="10" t="inlineStr">
        <is>
          <t>VIVEK B</t>
        </is>
      </c>
    </row>
    <row r="579">
      <c r="A579" s="10" t="inlineStr">
        <is>
          <t>TN57CE3636</t>
        </is>
      </c>
      <c r="B579" s="10" t="inlineStr">
        <is>
          <t>GENERAL</t>
        </is>
      </c>
      <c r="C579" s="10" t="inlineStr">
        <is>
          <t>VEHICLE OUTSIDE SERVICES</t>
        </is>
      </c>
      <c r="D579" s="10" t="inlineStr">
        <is>
          <t>MAINTENANCE SERVICE - 2</t>
        </is>
      </c>
      <c r="E579" s="10" t="inlineStr">
        <is>
          <t>YEARLY</t>
        </is>
      </c>
      <c r="F579" s="11" t="n">
        <v>45748</v>
      </c>
      <c r="G579" s="11" t="n">
        <v>46112</v>
      </c>
      <c r="H579" s="12">
        <f>IF(OR($F579="",$G579=""),"",$G579-$F579+1)</f>
        <v/>
      </c>
      <c r="I579" s="10">
        <f>IF($F579="","",IF(MONTH($F579)&gt;=4,YEAR($F579)&amp;"-"&amp;TEXT(YEAR($F579)+1-2000,"00"),YEAR($F579)-1&amp;"-"&amp;TEXT(YEAR($F579)-2000,"00")))</f>
        <v/>
      </c>
      <c r="J579" s="13" t="n">
        <v>3300</v>
      </c>
      <c r="K579" s="14">
        <f>IFERROR($L579/$J579,"")</f>
        <v/>
      </c>
      <c r="L579" s="13" t="n">
        <v>3300</v>
      </c>
      <c r="M579" s="13">
        <f>IFERROR($L579/$H579,"")</f>
        <v/>
      </c>
      <c r="N579" s="11" t="n">
        <v>45925</v>
      </c>
      <c r="O579" s="10">
        <f>IF($N579="","No","Yes")</f>
        <v/>
      </c>
      <c r="P579" s="12">
        <f>IF(OR($F579="",$G579=""),0,IF(AND($F579&lt;=README!$B$4,README!$B$4&lt;=$G579),1,0))</f>
        <v/>
      </c>
      <c r="Q579" s="12">
        <f>IF(OR($F579="",$G579=""),0,IF(AND($F579&lt;=DATE(README!$B$5,12,31),$G579&gt;=DATE(README!$B$5,1,1)),1,0))</f>
        <v/>
      </c>
      <c r="R579" s="10" t="inlineStr">
        <is>
          <t>GUP-VEH0019</t>
        </is>
      </c>
      <c r="S579" s="11" t="n">
        <v>45777</v>
      </c>
      <c r="T579" s="10" t="inlineStr">
        <is>
          <t>638</t>
        </is>
      </c>
      <c r="U579" s="10" t="inlineStr">
        <is>
          <t>VEHICLE</t>
        </is>
      </c>
      <c r="V579" s="10" t="inlineStr">
        <is>
          <t>T</t>
        </is>
      </c>
      <c r="W579" s="10" t="inlineStr">
        <is>
          <t>VIVEK B</t>
        </is>
      </c>
    </row>
    <row r="580">
      <c r="A580" s="10" t="inlineStr">
        <is>
          <t>TN57CE3636</t>
        </is>
      </c>
      <c r="B580" s="10" t="inlineStr">
        <is>
          <t>GENERAL</t>
        </is>
      </c>
      <c r="C580" s="10" t="inlineStr">
        <is>
          <t>VEHICLE OUTSIDE SERVICES</t>
        </is>
      </c>
      <c r="D580" s="10" t="inlineStr">
        <is>
          <t xml:space="preserve">MAINTENANCE SERVICE </t>
        </is>
      </c>
      <c r="E580" s="10" t="inlineStr">
        <is>
          <t>YEARLY</t>
        </is>
      </c>
      <c r="F580" s="11" t="n">
        <v>45748</v>
      </c>
      <c r="G580" s="11" t="n">
        <v>46112</v>
      </c>
      <c r="H580" s="12">
        <f>IF(OR($F580="",$G580=""),"",$G580-$F580+1)</f>
        <v/>
      </c>
      <c r="I580" s="10">
        <f>IF($F580="","",IF(MONTH($F580)&gt;=4,YEAR($F580)&amp;"-"&amp;TEXT(YEAR($F580)+1-2000,"00"),YEAR($F580)-1&amp;"-"&amp;TEXT(YEAR($F580)-2000,"00")))</f>
        <v/>
      </c>
      <c r="J580" s="13" t="n">
        <v>36005.49</v>
      </c>
      <c r="K580" s="14">
        <f>IFERROR($L580/$J580,"")</f>
        <v/>
      </c>
      <c r="L580" s="13" t="n">
        <v>36005.49</v>
      </c>
      <c r="M580" s="13">
        <f>IFERROR($L580/$H580,"")</f>
        <v/>
      </c>
      <c r="N580" s="11" t="n">
        <v>45869</v>
      </c>
      <c r="O580" s="10">
        <f>IF($N580="","No","Yes")</f>
        <v/>
      </c>
      <c r="P580" s="12">
        <f>IF(OR($F580="",$G580=""),0,IF(AND($F580&lt;=README!$B$4,README!$B$4&lt;=$G580),1,0))</f>
        <v/>
      </c>
      <c r="Q580" s="12">
        <f>IF(OR($F580="",$G580=""),0,IF(AND($F580&lt;=DATE(README!$B$5,12,31),$G580&gt;=DATE(README!$B$5,1,1)),1,0))</f>
        <v/>
      </c>
      <c r="R580" s="10" t="inlineStr">
        <is>
          <t>GUP-VEH0019</t>
        </is>
      </c>
      <c r="S580" s="11" t="n">
        <v>45777</v>
      </c>
      <c r="T580" s="10" t="inlineStr">
        <is>
          <t>638</t>
        </is>
      </c>
      <c r="U580" s="10" t="inlineStr">
        <is>
          <t>VEHICLE</t>
        </is>
      </c>
      <c r="V580" s="10" t="inlineStr">
        <is>
          <t>T</t>
        </is>
      </c>
      <c r="W580" s="10" t="inlineStr">
        <is>
          <t>VIVEK B</t>
        </is>
      </c>
    </row>
    <row r="581">
      <c r="A581" s="10" t="inlineStr">
        <is>
          <t>TN57CE3636</t>
        </is>
      </c>
      <c r="B581" s="10" t="inlineStr">
        <is>
          <t>SOCKS</t>
        </is>
      </c>
      <c r="C581" s="10" t="inlineStr">
        <is>
          <t>ROAD TAX</t>
        </is>
      </c>
      <c r="D581" s="10" t="inlineStr">
        <is>
          <t>ROAD TAX</t>
        </is>
      </c>
      <c r="E581" s="10" t="inlineStr">
        <is>
          <t>QUARTER - II</t>
        </is>
      </c>
      <c r="F581" s="11" t="n">
        <v>45839</v>
      </c>
      <c r="G581" s="11" t="n">
        <v>45930</v>
      </c>
      <c r="H581" s="12">
        <f>IF(OR($F581="",$G581=""),"",$G581-$F581+1)</f>
        <v/>
      </c>
      <c r="I581" s="10">
        <f>IF($F581="","",IF(MONTH($F581)&gt;=4,YEAR($F581)&amp;"-"&amp;TEXT(YEAR($F581)+1-2000,"00"),YEAR($F581)-1&amp;"-"&amp;TEXT(YEAR($F581)-2000,"00")))</f>
        <v/>
      </c>
      <c r="J581" s="13" t="n">
        <v>32724</v>
      </c>
      <c r="K581" s="14">
        <f>IFERROR($L581/$J581,"")</f>
        <v/>
      </c>
      <c r="L581" s="13" t="n">
        <v>32724</v>
      </c>
      <c r="M581" s="13">
        <f>IFERROR($L581/$H581,"")</f>
        <v/>
      </c>
      <c r="N581" s="11" t="n">
        <v>46030</v>
      </c>
      <c r="O581" s="10">
        <f>IF($N581="","No","Yes")</f>
        <v/>
      </c>
      <c r="P581" s="12">
        <f>IF(OR($F581="",$G581=""),0,IF(AND($F581&lt;=README!$B$4,README!$B$4&lt;=$G581),1,0))</f>
        <v/>
      </c>
      <c r="Q581" s="12">
        <f>IF(OR($F581="",$G581=""),0,IF(AND($F581&lt;=DATE(README!$B$5,12,31),$G581&gt;=DATE(README!$B$5,1,1)),1,0))</f>
        <v/>
      </c>
      <c r="R581" s="10" t="inlineStr">
        <is>
          <t>GUP-VEH0014</t>
        </is>
      </c>
      <c r="S581" s="11" t="n">
        <v>45748</v>
      </c>
      <c r="T581" s="10" t="inlineStr">
        <is>
          <t>609</t>
        </is>
      </c>
      <c r="U581" s="10" t="inlineStr">
        <is>
          <t>VEHICLE</t>
        </is>
      </c>
      <c r="V581" s="10" t="inlineStr">
        <is>
          <t>T</t>
        </is>
      </c>
      <c r="W581" s="10" t="inlineStr">
        <is>
          <t>VIVEK B</t>
        </is>
      </c>
    </row>
    <row r="582">
      <c r="A582" s="10" t="inlineStr">
        <is>
          <t>TN57CE3636</t>
        </is>
      </c>
      <c r="B582" s="10" t="inlineStr">
        <is>
          <t>SOCKS</t>
        </is>
      </c>
      <c r="C582" s="10" t="inlineStr">
        <is>
          <t>ROAD TAX</t>
        </is>
      </c>
      <c r="D582" s="10" t="inlineStr">
        <is>
          <t>ROAD TAX</t>
        </is>
      </c>
      <c r="E582" s="10" t="inlineStr">
        <is>
          <t>QUARTER - III</t>
        </is>
      </c>
      <c r="F582" s="11" t="n">
        <v>45931</v>
      </c>
      <c r="G582" s="11" t="n">
        <v>46022</v>
      </c>
      <c r="H582" s="12">
        <f>IF(OR($F582="",$G582=""),"",$G582-$F582+1)</f>
        <v/>
      </c>
      <c r="I582" s="10">
        <f>IF($F582="","",IF(MONTH($F582)&gt;=4,YEAR($F582)&amp;"-"&amp;TEXT(YEAR($F582)+1-2000,"00"),YEAR($F582)-1&amp;"-"&amp;TEXT(YEAR($F582)-2000,"00")))</f>
        <v/>
      </c>
      <c r="J582" s="13" t="n">
        <v>32734</v>
      </c>
      <c r="K582" s="14">
        <f>IFERROR($L582/$J582,"")</f>
        <v/>
      </c>
      <c r="L582" s="13" t="n">
        <v>32734</v>
      </c>
      <c r="M582" s="13">
        <f>IFERROR($L582/$H582,"")</f>
        <v/>
      </c>
      <c r="N582" s="11" t="n">
        <v>46030</v>
      </c>
      <c r="O582" s="10">
        <f>IF($N582="","No","Yes")</f>
        <v/>
      </c>
      <c r="P582" s="12">
        <f>IF(OR($F582="",$G582=""),0,IF(AND($F582&lt;=README!$B$4,README!$B$4&lt;=$G582),1,0))</f>
        <v/>
      </c>
      <c r="Q582" s="12">
        <f>IF(OR($F582="",$G582=""),0,IF(AND($F582&lt;=DATE(README!$B$5,12,31),$G582&gt;=DATE(README!$B$5,1,1)),1,0))</f>
        <v/>
      </c>
      <c r="R582" s="10" t="inlineStr">
        <is>
          <t>GUP-VEH0014</t>
        </is>
      </c>
      <c r="S582" s="11" t="n">
        <v>45748</v>
      </c>
      <c r="T582" s="10" t="inlineStr">
        <is>
          <t>609</t>
        </is>
      </c>
      <c r="U582" s="10" t="inlineStr">
        <is>
          <t>VEHICLE</t>
        </is>
      </c>
      <c r="V582" s="10" t="inlineStr">
        <is>
          <t>T</t>
        </is>
      </c>
      <c r="W582" s="10" t="inlineStr">
        <is>
          <t>VIVEK B</t>
        </is>
      </c>
    </row>
    <row r="583">
      <c r="A583" s="10" t="inlineStr">
        <is>
          <t>TN57CE3636</t>
        </is>
      </c>
      <c r="B583" s="10" t="inlineStr">
        <is>
          <t>GENERAL</t>
        </is>
      </c>
      <c r="C583" s="10" t="inlineStr">
        <is>
          <t>VEHICLE OUTSIDE SERVICES</t>
        </is>
      </c>
      <c r="D583" s="10" t="inlineStr">
        <is>
          <t>MAINTENANCE SERVICE - 3</t>
        </is>
      </c>
      <c r="E583" s="10" t="inlineStr">
        <is>
          <t>NOVEMBER</t>
        </is>
      </c>
      <c r="F583" s="11" t="n">
        <v>45962</v>
      </c>
      <c r="G583" s="11" t="n">
        <v>45991</v>
      </c>
      <c r="H583" s="12">
        <f>IF(OR($F583="",$G583=""),"",$G583-$F583+1)</f>
        <v/>
      </c>
      <c r="I583" s="10">
        <f>IF($F583="","",IF(MONTH($F583)&gt;=4,YEAR($F583)&amp;"-"&amp;TEXT(YEAR($F583)+1-2000,"00"),YEAR($F583)-1&amp;"-"&amp;TEXT(YEAR($F583)-2000,"00")))</f>
        <v/>
      </c>
      <c r="J583" s="13" t="n">
        <v>39749.29</v>
      </c>
      <c r="K583" s="14">
        <f>IFERROR($L583/$J583,"")</f>
        <v/>
      </c>
      <c r="L583" s="13" t="n">
        <v>39749.29</v>
      </c>
      <c r="M583" s="13">
        <f>IFERROR($L583/$H583,"")</f>
        <v/>
      </c>
      <c r="N583" s="11" t="n">
        <v>45978</v>
      </c>
      <c r="O583" s="10">
        <f>IF($N583="","No","Yes")</f>
        <v/>
      </c>
      <c r="P583" s="12">
        <f>IF(OR($F583="",$G583=""),0,IF(AND($F583&lt;=README!$B$4,README!$B$4&lt;=$G583),1,0))</f>
        <v/>
      </c>
      <c r="Q583" s="12">
        <f>IF(OR($F583="",$G583=""),0,IF(AND($F583&lt;=DATE(README!$B$5,12,31),$G583&gt;=DATE(README!$B$5,1,1)),1,0))</f>
        <v/>
      </c>
      <c r="R583" s="10" t="inlineStr">
        <is>
          <t>GUP-VEH0019</t>
        </is>
      </c>
      <c r="S583" s="11" t="n">
        <v>45777</v>
      </c>
      <c r="T583" s="10" t="inlineStr">
        <is>
          <t>638</t>
        </is>
      </c>
      <c r="U583" s="10" t="inlineStr">
        <is>
          <t>VEHICLE</t>
        </is>
      </c>
      <c r="V583" s="10" t="inlineStr">
        <is>
          <t>T</t>
        </is>
      </c>
      <c r="W583" s="10" t="inlineStr">
        <is>
          <t>VIVEK B</t>
        </is>
      </c>
    </row>
    <row r="584">
      <c r="A584" s="10" t="inlineStr">
        <is>
          <t>TN57CE3636</t>
        </is>
      </c>
      <c r="B584" s="10" t="inlineStr">
        <is>
          <t>SOCKS</t>
        </is>
      </c>
      <c r="C584" s="10" t="inlineStr">
        <is>
          <t>RTO EXPENSE</t>
        </is>
      </c>
      <c r="D584" s="10" t="inlineStr">
        <is>
          <t>HP-LOAN CLOSURE</t>
        </is>
      </c>
      <c r="E584" s="10" t="inlineStr">
        <is>
          <t>DECEMBER</t>
        </is>
      </c>
      <c r="F584" s="11" t="n">
        <v>45992</v>
      </c>
      <c r="G584" s="11" t="n">
        <v>46022</v>
      </c>
      <c r="H584" s="12">
        <f>IF(OR($F584="",$G584=""),"",$G584-$F584+1)</f>
        <v/>
      </c>
      <c r="I584" s="10">
        <f>IF($F584="","",IF(MONTH($F584)&gt;=4,YEAR($F584)&amp;"-"&amp;TEXT(YEAR($F584)+1-2000,"00"),YEAR($F584)-1&amp;"-"&amp;TEXT(YEAR($F584)-2000,"00")))</f>
        <v/>
      </c>
      <c r="J584" s="13" t="n">
        <v>1300</v>
      </c>
      <c r="K584" s="14">
        <f>IFERROR($L584/$J584,"")</f>
        <v/>
      </c>
      <c r="L584" s="13" t="n">
        <v>1300</v>
      </c>
      <c r="M584" s="13">
        <f>IFERROR($L584/$H584,"")</f>
        <v/>
      </c>
      <c r="N584" s="11" t="n">
        <v>45994</v>
      </c>
      <c r="O584" s="10">
        <f>IF($N584="","No","Yes")</f>
        <v/>
      </c>
      <c r="P584" s="12">
        <f>IF(OR($F584="",$G584=""),0,IF(AND($F584&lt;=README!$B$4,README!$B$4&lt;=$G584),1,0))</f>
        <v/>
      </c>
      <c r="Q584" s="12">
        <f>IF(OR($F584="",$G584=""),0,IF(AND($F584&lt;=DATE(README!$B$5,12,31),$G584&gt;=DATE(README!$B$5,1,1)),1,0))</f>
        <v/>
      </c>
      <c r="R584" s="10" t="inlineStr">
        <is>
          <t>GUP-VEH0022</t>
        </is>
      </c>
      <c r="S584" s="11" t="n">
        <v>45834</v>
      </c>
      <c r="T584" s="10" t="inlineStr">
        <is>
          <t>655</t>
        </is>
      </c>
      <c r="U584" s="10" t="inlineStr">
        <is>
          <t>VEHICLE</t>
        </is>
      </c>
      <c r="V584" s="10" t="inlineStr">
        <is>
          <t>T</t>
        </is>
      </c>
      <c r="W584" s="10" t="inlineStr">
        <is>
          <t>VIVEK B</t>
        </is>
      </c>
    </row>
    <row r="585">
      <c r="A585" s="10" t="inlineStr">
        <is>
          <t>TN57CE3636</t>
        </is>
      </c>
      <c r="B585" s="10" t="inlineStr">
        <is>
          <t>SOCKS</t>
        </is>
      </c>
      <c r="C585" s="10" t="inlineStr">
        <is>
          <t>ROAD TAX</t>
        </is>
      </c>
      <c r="D585" s="10" t="inlineStr">
        <is>
          <t>ROAD TAX</t>
        </is>
      </c>
      <c r="E585" s="10" t="inlineStr">
        <is>
          <t>QUARTER - IV</t>
        </is>
      </c>
      <c r="F585" s="11" t="n">
        <v>46023</v>
      </c>
      <c r="G585" s="11" t="n">
        <v>46112</v>
      </c>
      <c r="H585" s="12">
        <f>IF(OR($F585="",$G585=""),"",$G585-$F585+1)</f>
        <v/>
      </c>
      <c r="I585" s="10">
        <f>IF($F585="","",IF(MONTH($F585)&gt;=4,YEAR($F585)&amp;"-"&amp;TEXT(YEAR($F585)+1-2000,"00"),YEAR($F585)-1&amp;"-"&amp;TEXT(YEAR($F585)-2000,"00")))</f>
        <v/>
      </c>
      <c r="J585" s="13" t="n">
        <v>32734</v>
      </c>
      <c r="K585" s="14">
        <f>IFERROR($L585/$J585,"")</f>
        <v/>
      </c>
      <c r="L585" s="13" t="n">
        <v>32734</v>
      </c>
      <c r="M585" s="13">
        <f>IFERROR($L585/$H585,"")</f>
        <v/>
      </c>
      <c r="N585" s="11" t="n">
        <v>46030</v>
      </c>
      <c r="O585" s="10">
        <f>IF($N585="","No","Yes")</f>
        <v/>
      </c>
      <c r="P585" s="12">
        <f>IF(OR($F585="",$G585=""),0,IF(AND($F585&lt;=README!$B$4,README!$B$4&lt;=$G585),1,0))</f>
        <v/>
      </c>
      <c r="Q585" s="12">
        <f>IF(OR($F585="",$G585=""),0,IF(AND($F585&lt;=DATE(README!$B$5,12,31),$G585&gt;=DATE(README!$B$5,1,1)),1,0))</f>
        <v/>
      </c>
      <c r="R585" s="10" t="inlineStr">
        <is>
          <t>GUP-VEH0014</t>
        </is>
      </c>
      <c r="S585" s="11" t="n">
        <v>45748</v>
      </c>
      <c r="T585" s="10" t="inlineStr">
        <is>
          <t>609</t>
        </is>
      </c>
      <c r="U585" s="10" t="inlineStr">
        <is>
          <t>VEHICLE</t>
        </is>
      </c>
      <c r="V585" s="10" t="inlineStr">
        <is>
          <t>T</t>
        </is>
      </c>
      <c r="W585" s="10" t="inlineStr">
        <is>
          <t>VIVEK B</t>
        </is>
      </c>
    </row>
    <row r="586">
      <c r="A586" s="10" t="inlineStr">
        <is>
          <t>TN57CE3636</t>
        </is>
      </c>
      <c r="B586" s="10" t="inlineStr">
        <is>
          <t>SOCKS</t>
        </is>
      </c>
      <c r="C586" s="10" t="inlineStr">
        <is>
          <t>FC WORK</t>
        </is>
      </c>
      <c r="D586" s="10" t="inlineStr">
        <is>
          <t>FC WORK</t>
        </is>
      </c>
      <c r="E586" s="10" t="inlineStr">
        <is>
          <t>FEBRUARY</t>
        </is>
      </c>
      <c r="F586" s="11" t="n">
        <v>46054</v>
      </c>
      <c r="G586" s="11" t="n">
        <v>46081</v>
      </c>
      <c r="H586" s="12">
        <f>IF(OR($F586="",$G586=""),"",$G586-$F586+1)</f>
        <v/>
      </c>
      <c r="I586" s="10">
        <f>IF($F586="","",IF(MONTH($F586)&gt;=4,YEAR($F586)&amp;"-"&amp;TEXT(YEAR($F586)+1-2000,"00"),YEAR($F586)-1&amp;"-"&amp;TEXT(YEAR($F586)-2000,"00")))</f>
        <v/>
      </c>
      <c r="J586" s="13" t="n">
        <v>51560</v>
      </c>
      <c r="K586" s="14">
        <f>IFERROR($L586/$J586,"")</f>
        <v/>
      </c>
      <c r="L586" s="13" t="n">
        <v>51560</v>
      </c>
      <c r="M586" s="13">
        <f>IFERROR($L586/$H586,"")</f>
        <v/>
      </c>
      <c r="N586" s="11" t="n">
        <v>46072</v>
      </c>
      <c r="O586" s="10">
        <f>IF($N586="","No","Yes")</f>
        <v/>
      </c>
      <c r="P586" s="12">
        <f>IF(OR($F586="",$G586=""),0,IF(AND($F586&lt;=README!$B$4,README!$B$4&lt;=$G586),1,0))</f>
        <v/>
      </c>
      <c r="Q586" s="12">
        <f>IF(OR($F586="",$G586=""),0,IF(AND($F586&lt;=DATE(README!$B$5,12,31),$G586&gt;=DATE(README!$B$5,1,1)),1,0))</f>
        <v/>
      </c>
      <c r="R586" s="10" t="inlineStr">
        <is>
          <t>GUP-VEH0021</t>
        </is>
      </c>
      <c r="S586" s="11" t="n">
        <v>45832</v>
      </c>
      <c r="T586" s="10" t="inlineStr">
        <is>
          <t>654</t>
        </is>
      </c>
      <c r="U586" s="10" t="inlineStr">
        <is>
          <t>VEHICLE</t>
        </is>
      </c>
      <c r="V586" s="10" t="inlineStr">
        <is>
          <t>T</t>
        </is>
      </c>
      <c r="W586" s="10" t="inlineStr">
        <is>
          <t>VIVEK B</t>
        </is>
      </c>
    </row>
    <row r="587">
      <c r="A587" s="10" t="inlineStr">
        <is>
          <t>TN57CE3636</t>
        </is>
      </c>
      <c r="B587" s="10" t="inlineStr">
        <is>
          <t>SOCKS</t>
        </is>
      </c>
      <c r="C587" s="10" t="inlineStr">
        <is>
          <t>ROAD TAX</t>
        </is>
      </c>
      <c r="D587" s="10" t="inlineStr">
        <is>
          <t>ROAD TAX</t>
        </is>
      </c>
      <c r="E587" s="10" t="inlineStr">
        <is>
          <t>QUARTER - I</t>
        </is>
      </c>
      <c r="F587" s="11" t="n">
        <v>46113</v>
      </c>
      <c r="G587" s="11" t="n">
        <v>46203</v>
      </c>
      <c r="H587" s="12">
        <f>IF(OR($F587="",$G587=""),"",$G587-$F587+1)</f>
        <v/>
      </c>
      <c r="I587" s="10">
        <f>IF($F587="","",IF(MONTH($F587)&gt;=4,YEAR($F587)&amp;"-"&amp;TEXT(YEAR($F587)+1-2000,"00"),YEAR($F587)-1&amp;"-"&amp;TEXT(YEAR($F587)-2000,"00")))</f>
        <v/>
      </c>
      <c r="J587" s="13" t="n">
        <v>32734</v>
      </c>
      <c r="K587" s="14">
        <f>IFERROR($L587/$J587,"")</f>
        <v/>
      </c>
      <c r="L587" s="13" t="n">
        <v>32734</v>
      </c>
      <c r="M587" s="13">
        <f>IFERROR($L587/$H587,"")</f>
        <v/>
      </c>
      <c r="N587" s="11" t="n">
        <v>46088</v>
      </c>
      <c r="O587" s="10">
        <f>IF($N587="","No","Yes")</f>
        <v/>
      </c>
      <c r="P587" s="12">
        <f>IF(OR($F587="",$G587=""),0,IF(AND($F587&lt;=README!$B$4,README!$B$4&lt;=$G587),1,0))</f>
        <v/>
      </c>
      <c r="Q587" s="12">
        <f>IF(OR($F587="",$G587=""),0,IF(AND($F587&lt;=DATE(README!$B$5,12,31),$G587&gt;=DATE(README!$B$5,1,1)),1,0))</f>
        <v/>
      </c>
      <c r="R587" s="10" t="inlineStr">
        <is>
          <t>GUP-VEH0030</t>
        </is>
      </c>
      <c r="S587" s="11" t="n">
        <v>46113</v>
      </c>
      <c r="T587" s="10" t="inlineStr">
        <is>
          <t>796</t>
        </is>
      </c>
      <c r="U587" s="10" t="inlineStr">
        <is>
          <t>VEHICLE</t>
        </is>
      </c>
      <c r="V587" s="10" t="inlineStr">
        <is>
          <t>T</t>
        </is>
      </c>
      <c r="W587" s="10" t="inlineStr">
        <is>
          <t>VIVEK B</t>
        </is>
      </c>
    </row>
    <row r="588">
      <c r="A588" s="10" t="inlineStr">
        <is>
          <t>TN57CE3636</t>
        </is>
      </c>
      <c r="B588" s="10" t="inlineStr">
        <is>
          <t>SOCKS</t>
        </is>
      </c>
      <c r="C588" s="10" t="inlineStr">
        <is>
          <t>ROAD TAX</t>
        </is>
      </c>
      <c r="D588" s="10" t="inlineStr">
        <is>
          <t>ROAD TAX</t>
        </is>
      </c>
      <c r="E588" s="10" t="inlineStr">
        <is>
          <t>QUARTER - II</t>
        </is>
      </c>
      <c r="F588" s="11" t="n">
        <v>46204</v>
      </c>
      <c r="G588" s="11" t="n">
        <v>46295</v>
      </c>
      <c r="H588" s="12">
        <f>IF(OR($F588="",$G588=""),"",$G588-$F588+1)</f>
        <v/>
      </c>
      <c r="I588" s="10">
        <f>IF($F588="","",IF(MONTH($F588)&gt;=4,YEAR($F588)&amp;"-"&amp;TEXT(YEAR($F588)+1-2000,"00"),YEAR($F588)-1&amp;"-"&amp;TEXT(YEAR($F588)-2000,"00")))</f>
        <v/>
      </c>
      <c r="J588" s="13" t="n">
        <v>32734</v>
      </c>
      <c r="K588" s="14">
        <f>IFERROR($L588/$J588,"")</f>
        <v/>
      </c>
      <c r="L588" s="13" t="n">
        <v>32734</v>
      </c>
      <c r="M588" s="13">
        <f>IFERROR($L588/$H588,"")</f>
        <v/>
      </c>
      <c r="N588" s="11" t="n">
        <v>46196</v>
      </c>
      <c r="O588" s="10">
        <f>IF($N588="","No","Yes")</f>
        <v/>
      </c>
      <c r="P588" s="12">
        <f>IF(OR($F588="",$G588=""),0,IF(AND($F588&lt;=README!$B$4,README!$B$4&lt;=$G588),1,0))</f>
        <v/>
      </c>
      <c r="Q588" s="12">
        <f>IF(OR($F588="",$G588=""),0,IF(AND($F588&lt;=DATE(README!$B$5,12,31),$G588&gt;=DATE(README!$B$5,1,1)),1,0))</f>
        <v/>
      </c>
      <c r="R588" s="10" t="inlineStr">
        <is>
          <t>GUP-VEH0030</t>
        </is>
      </c>
      <c r="S588" s="11" t="n">
        <v>46113</v>
      </c>
      <c r="T588" s="10" t="inlineStr">
        <is>
          <t>796</t>
        </is>
      </c>
      <c r="U588" s="10" t="inlineStr">
        <is>
          <t>VEHICLE</t>
        </is>
      </c>
      <c r="V588" s="10" t="inlineStr">
        <is>
          <t>T</t>
        </is>
      </c>
      <c r="W588" s="10" t="inlineStr">
        <is>
          <t>VIVEK B</t>
        </is>
      </c>
    </row>
    <row r="589">
      <c r="A589" s="10" t="inlineStr">
        <is>
          <t>TN57CE3636</t>
        </is>
      </c>
      <c r="B589" s="10" t="inlineStr">
        <is>
          <t>SOCKS</t>
        </is>
      </c>
      <c r="C589" s="10" t="inlineStr">
        <is>
          <t>VEHICLE OUTSIDE SERVICES</t>
        </is>
      </c>
      <c r="D589" s="10" t="inlineStr">
        <is>
          <t>ELETRICAL WORK</t>
        </is>
      </c>
      <c r="E589" s="10" t="inlineStr">
        <is>
          <t>JULY</t>
        </is>
      </c>
      <c r="F589" s="11" t="n">
        <v>46204</v>
      </c>
      <c r="G589" s="11" t="n">
        <v>46234</v>
      </c>
      <c r="H589" s="12">
        <f>IF(OR($F589="",$G589=""),"",$G589-$F589+1)</f>
        <v/>
      </c>
      <c r="I589" s="10">
        <f>IF($F589="","",IF(MONTH($F589)&gt;=4,YEAR($F589)&amp;"-"&amp;TEXT(YEAR($F589)+1-2000,"00"),YEAR($F589)-1&amp;"-"&amp;TEXT(YEAR($F589)-2000,"00")))</f>
        <v/>
      </c>
      <c r="J589" s="13" t="n">
        <v>9440</v>
      </c>
      <c r="K589" s="14">
        <f>IFERROR($L589/$J589,"")</f>
        <v/>
      </c>
      <c r="L589" s="13" t="n">
        <v>9440</v>
      </c>
      <c r="M589" s="13">
        <f>IFERROR($L589/$H589,"")</f>
        <v/>
      </c>
      <c r="N589" s="11" t="n">
        <v>46224</v>
      </c>
      <c r="O589" s="10">
        <f>IF($N589="","No","Yes")</f>
        <v/>
      </c>
      <c r="P589" s="12">
        <f>IF(OR($F589="",$G589=""),0,IF(AND($F589&lt;=README!$B$4,README!$B$4&lt;=$G589),1,0))</f>
        <v/>
      </c>
      <c r="Q589" s="12">
        <f>IF(OR($F589="",$G589=""),0,IF(AND($F589&lt;=DATE(README!$B$5,12,31),$G589&gt;=DATE(README!$B$5,1,1)),1,0))</f>
        <v/>
      </c>
      <c r="R589" s="10" t="inlineStr">
        <is>
          <t>GUP-VEH0031</t>
        </is>
      </c>
      <c r="S589" s="11" t="n">
        <v>46114</v>
      </c>
      <c r="T589" s="10" t="inlineStr">
        <is>
          <t>810</t>
        </is>
      </c>
      <c r="U589" s="10" t="inlineStr">
        <is>
          <t>VEHICLE</t>
        </is>
      </c>
      <c r="V589" s="10" t="inlineStr">
        <is>
          <t>T</t>
        </is>
      </c>
      <c r="W589" s="10" t="inlineStr">
        <is>
          <t>VIVEK B</t>
        </is>
      </c>
    </row>
    <row r="590">
      <c r="A590" s="10" t="inlineStr">
        <is>
          <t>TN57CE3636</t>
        </is>
      </c>
      <c r="B590" s="10" t="inlineStr">
        <is>
          <t>SOCKS</t>
        </is>
      </c>
      <c r="C590" s="10" t="inlineStr">
        <is>
          <t>VEHICLE OUTSIDE SERVICES</t>
        </is>
      </c>
      <c r="D590" s="10" t="inlineStr">
        <is>
          <t xml:space="preserve">MAINTENANCE SERVICE </t>
        </is>
      </c>
      <c r="E590" s="10" t="inlineStr">
        <is>
          <t>JULY</t>
        </is>
      </c>
      <c r="F590" s="11" t="n">
        <v>46204</v>
      </c>
      <c r="G590" s="11" t="n">
        <v>46234</v>
      </c>
      <c r="H590" s="12">
        <f>IF(OR($F590="",$G590=""),"",$G590-$F590+1)</f>
        <v/>
      </c>
      <c r="I590" s="10">
        <f>IF($F590="","",IF(MONTH($F590)&gt;=4,YEAR($F590)&amp;"-"&amp;TEXT(YEAR($F590)+1-2000,"00"),YEAR($F590)-1&amp;"-"&amp;TEXT(YEAR($F590)-2000,"00")))</f>
        <v/>
      </c>
      <c r="J590" s="13" t="n">
        <v>5640</v>
      </c>
      <c r="K590" s="14">
        <f>IFERROR($L590/$J590,"")</f>
        <v/>
      </c>
      <c r="L590" s="13" t="n">
        <v>5640</v>
      </c>
      <c r="M590" s="13">
        <f>IFERROR($L590/$H590,"")</f>
        <v/>
      </c>
      <c r="N590" s="11" t="n">
        <v>46210</v>
      </c>
      <c r="O590" s="10">
        <f>IF($N590="","No","Yes")</f>
        <v/>
      </c>
      <c r="P590" s="12">
        <f>IF(OR($F590="",$G590=""),0,IF(AND($F590&lt;=README!$B$4,README!$B$4&lt;=$G590),1,0))</f>
        <v/>
      </c>
      <c r="Q590" s="12">
        <f>IF(OR($F590="",$G590=""),0,IF(AND($F590&lt;=DATE(README!$B$5,12,31),$G590&gt;=DATE(README!$B$5,1,1)),1,0))</f>
        <v/>
      </c>
      <c r="R590" s="10" t="inlineStr">
        <is>
          <t>GUP-VEH0031</t>
        </is>
      </c>
      <c r="S590" s="11" t="n">
        <v>46114</v>
      </c>
      <c r="T590" s="10" t="inlineStr">
        <is>
          <t>810</t>
        </is>
      </c>
      <c r="U590" s="10" t="inlineStr">
        <is>
          <t>VEHICLE</t>
        </is>
      </c>
      <c r="V590" s="10" t="inlineStr">
        <is>
          <t>T</t>
        </is>
      </c>
      <c r="W590" s="10" t="inlineStr">
        <is>
          <t>VIVEK B</t>
        </is>
      </c>
    </row>
    <row r="591">
      <c r="A591" s="10" t="inlineStr">
        <is>
          <t>TN57CF3434</t>
        </is>
      </c>
      <c r="B591" s="10" t="inlineStr">
        <is>
          <t>WOVEN</t>
        </is>
      </c>
      <c r="C591" s="10" t="inlineStr">
        <is>
          <t>ROAD TAX</t>
        </is>
      </c>
      <c r="D591" s="10" t="inlineStr">
        <is>
          <t>ROAD TAX</t>
        </is>
      </c>
      <c r="E591" s="10" t="inlineStr">
        <is>
          <t>YEARLY</t>
        </is>
      </c>
      <c r="F591" s="11" t="n">
        <v>45383</v>
      </c>
      <c r="G591" s="11" t="n">
        <v>45747</v>
      </c>
      <c r="H591" s="12">
        <f>IF(OR($F591="",$G591=""),"",$G591-$F591+1)</f>
        <v/>
      </c>
      <c r="I591" s="10">
        <f>IF($F591="","",IF(MONTH($F591)&gt;=4,YEAR($F591)&amp;"-"&amp;TEXT(YEAR($F591)+1-2000,"00"),YEAR($F591)-1&amp;"-"&amp;TEXT(YEAR($F591)-2000,"00")))</f>
        <v/>
      </c>
      <c r="J591" s="13" t="n">
        <v>32734</v>
      </c>
      <c r="K591" s="14">
        <f>IFERROR($L591/$J591,"")</f>
        <v/>
      </c>
      <c r="L591" s="13" t="n">
        <v>32734</v>
      </c>
      <c r="M591" s="13">
        <f>IFERROR($L591/$H591,"")</f>
        <v/>
      </c>
      <c r="N591" s="11" t="n">
        <v>45910</v>
      </c>
      <c r="O591" s="10">
        <f>IF($N591="","No","Yes")</f>
        <v/>
      </c>
      <c r="P591" s="12">
        <f>IF(OR($F591="",$G591=""),0,IF(AND($F591&lt;=README!$B$4,README!$B$4&lt;=$G591),1,0))</f>
        <v/>
      </c>
      <c r="Q591" s="12">
        <f>IF(OR($F591="",$G591=""),0,IF(AND($F591&lt;=DATE(README!$B$5,12,31),$G591&gt;=DATE(README!$B$5,1,1)),1,0))</f>
        <v/>
      </c>
      <c r="R591" s="10" t="inlineStr">
        <is>
          <t>GUT-VEH0016</t>
        </is>
      </c>
      <c r="S591" s="11" t="n">
        <v>46023</v>
      </c>
      <c r="T591" s="10" t="inlineStr">
        <is>
          <t>5</t>
        </is>
      </c>
      <c r="U591" s="10" t="inlineStr">
        <is>
          <t>VEHICLE</t>
        </is>
      </c>
      <c r="V591" s="10" t="inlineStr">
        <is>
          <t>T</t>
        </is>
      </c>
      <c r="W591" s="10" t="inlineStr">
        <is>
          <t>VIVEK B</t>
        </is>
      </c>
    </row>
    <row r="592">
      <c r="A592" s="10" t="inlineStr">
        <is>
          <t>TN57CF3434</t>
        </is>
      </c>
      <c r="B592" s="10" t="inlineStr">
        <is>
          <t>WOVEN</t>
        </is>
      </c>
      <c r="C592" s="10" t="inlineStr">
        <is>
          <t>ROAD TAX</t>
        </is>
      </c>
      <c r="D592" s="10" t="inlineStr">
        <is>
          <t>ROAD TAX</t>
        </is>
      </c>
      <c r="E592" s="10" t="inlineStr">
        <is>
          <t>YEARLY</t>
        </is>
      </c>
      <c r="F592" s="11" t="n">
        <v>45383</v>
      </c>
      <c r="G592" s="11" t="n">
        <v>45747</v>
      </c>
      <c r="H592" s="12">
        <f>IF(OR($F592="",$G592=""),"",$G592-$F592+1)</f>
        <v/>
      </c>
      <c r="I592" s="10">
        <f>IF($F592="","",IF(MONTH($F592)&gt;=4,YEAR($F592)&amp;"-"&amp;TEXT(YEAR($F592)+1-2000,"00"),YEAR($F592)-1&amp;"-"&amp;TEXT(YEAR($F592)-2000,"00")))</f>
        <v/>
      </c>
      <c r="J592" s="13" t="n">
        <v>32724</v>
      </c>
      <c r="K592" s="14">
        <f>IFERROR($L592/$J592,"")</f>
        <v/>
      </c>
      <c r="L592" s="13" t="n">
        <v>32724</v>
      </c>
      <c r="M592" s="13">
        <f>IFERROR($L592/$H592,"")</f>
        <v/>
      </c>
      <c r="N592" s="11" t="n">
        <v>45840</v>
      </c>
      <c r="O592" s="10">
        <f>IF($N592="","No","Yes")</f>
        <v/>
      </c>
      <c r="P592" s="12">
        <f>IF(OR($F592="",$G592=""),0,IF(AND($F592&lt;=README!$B$4,README!$B$4&lt;=$G592),1,0))</f>
        <v/>
      </c>
      <c r="Q592" s="12">
        <f>IF(OR($F592="",$G592=""),0,IF(AND($F592&lt;=DATE(README!$B$5,12,31),$G592&gt;=DATE(README!$B$5,1,1)),1,0))</f>
        <v/>
      </c>
      <c r="R592" s="10" t="inlineStr">
        <is>
          <t>GUT-VEH0016</t>
        </is>
      </c>
      <c r="S592" s="11" t="n">
        <v>46023</v>
      </c>
      <c r="T592" s="10" t="inlineStr">
        <is>
          <t>5</t>
        </is>
      </c>
      <c r="U592" s="10" t="inlineStr">
        <is>
          <t>VEHICLE</t>
        </is>
      </c>
      <c r="V592" s="10" t="inlineStr">
        <is>
          <t>T</t>
        </is>
      </c>
      <c r="W592" s="10" t="inlineStr">
        <is>
          <t>VIVEK B</t>
        </is>
      </c>
    </row>
    <row r="593">
      <c r="A593" s="10" t="inlineStr">
        <is>
          <t>TN57CF3434</t>
        </is>
      </c>
      <c r="B593" s="10" t="inlineStr">
        <is>
          <t>WOVEN</t>
        </is>
      </c>
      <c r="C593" s="10" t="inlineStr">
        <is>
          <t>VEHICLE INSURANCE</t>
        </is>
      </c>
      <c r="D593" s="10" t="inlineStr">
        <is>
          <t>VEHICLE INSURANCE</t>
        </is>
      </c>
      <c r="E593" s="10" t="inlineStr">
        <is>
          <t>YEARLY</t>
        </is>
      </c>
      <c r="F593" s="11" t="n">
        <v>45748</v>
      </c>
      <c r="G593" s="11" t="n">
        <v>46112</v>
      </c>
      <c r="H593" s="12">
        <f>IF(OR($F593="",$G593=""),"",$G593-$F593+1)</f>
        <v/>
      </c>
      <c r="I593" s="10">
        <f>IF($F593="","",IF(MONTH($F593)&gt;=4,YEAR($F593)&amp;"-"&amp;TEXT(YEAR($F593)+1-2000,"00"),YEAR($F593)-1&amp;"-"&amp;TEXT(YEAR($F593)-2000,"00")))</f>
        <v/>
      </c>
      <c r="J593" s="13" t="n">
        <v>81223</v>
      </c>
      <c r="K593" s="14">
        <f>IFERROR($L593/$J593,"")</f>
        <v/>
      </c>
      <c r="L593" s="13" t="n">
        <v>81223</v>
      </c>
      <c r="M593" s="13">
        <f>IFERROR($L593/$H593,"")</f>
        <v/>
      </c>
      <c r="N593" s="11" t="n">
        <v>45994</v>
      </c>
      <c r="O593" s="10">
        <f>IF($N593="","No","Yes")</f>
        <v/>
      </c>
      <c r="P593" s="12">
        <f>IF(OR($F593="",$G593=""),0,IF(AND($F593&lt;=README!$B$4,README!$B$4&lt;=$G593),1,0))</f>
        <v/>
      </c>
      <c r="Q593" s="12">
        <f>IF(OR($F593="",$G593=""),0,IF(AND($F593&lt;=DATE(README!$B$5,12,31),$G593&gt;=DATE(README!$B$5,1,1)),1,0))</f>
        <v/>
      </c>
      <c r="R593" s="10" t="inlineStr">
        <is>
          <t>GUT-VEH0019</t>
        </is>
      </c>
      <c r="S593" s="11" t="n">
        <v>45799</v>
      </c>
      <c r="T593" s="10" t="inlineStr">
        <is>
          <t>5</t>
        </is>
      </c>
      <c r="U593" s="10" t="inlineStr">
        <is>
          <t>VEHICLE</t>
        </is>
      </c>
      <c r="V593" s="10" t="inlineStr">
        <is>
          <t>T</t>
        </is>
      </c>
      <c r="W593" s="10" t="inlineStr">
        <is>
          <t>VIVEK B</t>
        </is>
      </c>
    </row>
    <row r="594">
      <c r="A594" s="10" t="inlineStr">
        <is>
          <t>TN57CF3434</t>
        </is>
      </c>
      <c r="B594" s="10" t="inlineStr">
        <is>
          <t>WOVEN</t>
        </is>
      </c>
      <c r="C594" s="10" t="inlineStr">
        <is>
          <t>ROAD TAX</t>
        </is>
      </c>
      <c r="D594" s="10" t="inlineStr">
        <is>
          <t>ROAD TAX</t>
        </is>
      </c>
      <c r="E594" s="10" t="inlineStr">
        <is>
          <t>QUARTER - IV</t>
        </is>
      </c>
      <c r="F594" s="11" t="n">
        <v>46023</v>
      </c>
      <c r="G594" s="11" t="n">
        <v>46112</v>
      </c>
      <c r="H594" s="12">
        <f>IF(OR($F594="",$G594=""),"",$G594-$F594+1)</f>
        <v/>
      </c>
      <c r="I594" s="10">
        <f>IF($F594="","",IF(MONTH($F594)&gt;=4,YEAR($F594)&amp;"-"&amp;TEXT(YEAR($F594)+1-2000,"00"),YEAR($F594)-1&amp;"-"&amp;TEXT(YEAR($F594)-2000,"00")))</f>
        <v/>
      </c>
      <c r="J594" s="13" t="n">
        <v>32734</v>
      </c>
      <c r="K594" s="14">
        <f>IFERROR($L594/$J594,"")</f>
        <v/>
      </c>
      <c r="L594" s="13" t="n">
        <v>32734</v>
      </c>
      <c r="M594" s="13">
        <f>IFERROR($L594/$H594,"")</f>
        <v/>
      </c>
      <c r="N594" s="11" t="n">
        <v>46065</v>
      </c>
      <c r="O594" s="10">
        <f>IF($N594="","No","Yes")</f>
        <v/>
      </c>
      <c r="P594" s="12">
        <f>IF(OR($F594="",$G594=""),0,IF(AND($F594&lt;=README!$B$4,README!$B$4&lt;=$G594),1,0))</f>
        <v/>
      </c>
      <c r="Q594" s="12">
        <f>IF(OR($F594="",$G594=""),0,IF(AND($F594&lt;=DATE(README!$B$5,12,31),$G594&gt;=DATE(README!$B$5,1,1)),1,0))</f>
        <v/>
      </c>
      <c r="R594" s="10" t="inlineStr">
        <is>
          <t>GUT-VEH0016</t>
        </is>
      </c>
      <c r="S594" s="11" t="n">
        <v>46023</v>
      </c>
      <c r="T594" s="10" t="inlineStr">
        <is>
          <t>5</t>
        </is>
      </c>
      <c r="U594" s="10" t="inlineStr">
        <is>
          <t>VEHICLE</t>
        </is>
      </c>
      <c r="V594" s="10" t="inlineStr">
        <is>
          <t>T</t>
        </is>
      </c>
      <c r="W594" s="10" t="inlineStr">
        <is>
          <t>VIVEK B</t>
        </is>
      </c>
    </row>
    <row r="595">
      <c r="A595" s="10" t="inlineStr">
        <is>
          <t>TN57CF3434</t>
        </is>
      </c>
      <c r="B595" s="10" t="inlineStr">
        <is>
          <t>WOVEN</t>
        </is>
      </c>
      <c r="C595" s="10" t="inlineStr">
        <is>
          <t>ROAD TAX</t>
        </is>
      </c>
      <c r="D595" s="10" t="inlineStr">
        <is>
          <t>ROAD TAX</t>
        </is>
      </c>
      <c r="E595" s="10" t="inlineStr">
        <is>
          <t>QUARTER - I</t>
        </is>
      </c>
      <c r="F595" s="11" t="n">
        <v>46113</v>
      </c>
      <c r="G595" s="11" t="n">
        <v>46203</v>
      </c>
      <c r="H595" s="12">
        <f>IF(OR($F595="",$G595=""),"",$G595-$F595+1)</f>
        <v/>
      </c>
      <c r="I595" s="10">
        <f>IF($F595="","",IF(MONTH($F595)&gt;=4,YEAR($F595)&amp;"-"&amp;TEXT(YEAR($F595)+1-2000,"00"),YEAR($F595)-1&amp;"-"&amp;TEXT(YEAR($F595)-2000,"00")))</f>
        <v/>
      </c>
      <c r="J595" s="13" t="n">
        <v>33946</v>
      </c>
      <c r="K595" s="14">
        <f>IFERROR($L595/$J595,"")</f>
        <v/>
      </c>
      <c r="L595" s="13" t="n">
        <v>33946</v>
      </c>
      <c r="M595" s="13">
        <f>IFERROR($L595/$H595,"")</f>
        <v/>
      </c>
      <c r="N595" s="11" t="n">
        <v>46088</v>
      </c>
      <c r="O595" s="10">
        <f>IF($N595="","No","Yes")</f>
        <v/>
      </c>
      <c r="P595" s="12">
        <f>IF(OR($F595="",$G595=""),0,IF(AND($F595&lt;=README!$B$4,README!$B$4&lt;=$G595),1,0))</f>
        <v/>
      </c>
      <c r="Q595" s="12">
        <f>IF(OR($F595="",$G595=""),0,IF(AND($F595&lt;=DATE(README!$B$5,12,31),$G595&gt;=DATE(README!$B$5,1,1)),1,0))</f>
        <v/>
      </c>
      <c r="R595" s="10" t="inlineStr">
        <is>
          <t>GUT-VEH0029</t>
        </is>
      </c>
      <c r="S595" s="11" t="n">
        <v>46087</v>
      </c>
      <c r="T595" s="10" t="inlineStr">
        <is>
          <t>5</t>
        </is>
      </c>
      <c r="U595" s="10" t="inlineStr">
        <is>
          <t>VEHICLE</t>
        </is>
      </c>
      <c r="V595" s="10" t="inlineStr">
        <is>
          <t>T</t>
        </is>
      </c>
      <c r="W595" s="10" t="inlineStr">
        <is>
          <t>VIVEK B</t>
        </is>
      </c>
    </row>
    <row r="596">
      <c r="A596" s="10" t="inlineStr">
        <is>
          <t>TN57CF3434</t>
        </is>
      </c>
      <c r="B596" s="10" t="inlineStr">
        <is>
          <t>WOVEN</t>
        </is>
      </c>
      <c r="C596" s="10" t="inlineStr">
        <is>
          <t>ROAD TAX</t>
        </is>
      </c>
      <c r="D596" s="10" t="inlineStr">
        <is>
          <t>ROAD TAX</t>
        </is>
      </c>
      <c r="E596" s="10" t="inlineStr">
        <is>
          <t>QUARTER - II</t>
        </is>
      </c>
      <c r="F596" s="11" t="n">
        <v>46204</v>
      </c>
      <c r="G596" s="11" t="n">
        <v>46295</v>
      </c>
      <c r="H596" s="12">
        <f>IF(OR($F596="",$G596=""),"",$G596-$F596+1)</f>
        <v/>
      </c>
      <c r="I596" s="10">
        <f>IF($F596="","",IF(MONTH($F596)&gt;=4,YEAR($F596)&amp;"-"&amp;TEXT(YEAR($F596)+1-2000,"00"),YEAR($F596)-1&amp;"-"&amp;TEXT(YEAR($F596)-2000,"00")))</f>
        <v/>
      </c>
      <c r="J596" s="13" t="n">
        <v>33946</v>
      </c>
      <c r="K596" s="14">
        <f>IFERROR($L596/$J596,"")</f>
        <v/>
      </c>
      <c r="L596" s="13" t="n">
        <v>33946</v>
      </c>
      <c r="M596" s="13">
        <f>IFERROR($L596/$H596,"")</f>
        <v/>
      </c>
      <c r="N596" s="11" t="n">
        <v>46196</v>
      </c>
      <c r="O596" s="10">
        <f>IF($N596="","No","Yes")</f>
        <v/>
      </c>
      <c r="P596" s="12">
        <f>IF(OR($F596="",$G596=""),0,IF(AND($F596&lt;=README!$B$4,README!$B$4&lt;=$G596),1,0))</f>
        <v/>
      </c>
      <c r="Q596" s="12">
        <f>IF(OR($F596="",$G596=""),0,IF(AND($F596&lt;=DATE(README!$B$5,12,31),$G596&gt;=DATE(README!$B$5,1,1)),1,0))</f>
        <v/>
      </c>
      <c r="R596" s="10" t="inlineStr">
        <is>
          <t>GUT-VEH0038</t>
        </is>
      </c>
      <c r="S596" s="11" t="n">
        <v>46193</v>
      </c>
      <c r="T596" s="10" t="inlineStr">
        <is>
          <t>5</t>
        </is>
      </c>
      <c r="U596" s="10" t="inlineStr">
        <is>
          <t>VEHICLE</t>
        </is>
      </c>
      <c r="V596" s="10" t="inlineStr">
        <is>
          <t>T</t>
        </is>
      </c>
      <c r="W596" s="10" t="inlineStr">
        <is>
          <t>VIVEK B</t>
        </is>
      </c>
    </row>
    <row r="597">
      <c r="A597" s="10" t="inlineStr">
        <is>
          <t>TN57CF3636</t>
        </is>
      </c>
      <c r="B597" s="10" t="inlineStr">
        <is>
          <t>WOVEN</t>
        </is>
      </c>
      <c r="C597" s="10" t="inlineStr">
        <is>
          <t>ROAD TAX</t>
        </is>
      </c>
      <c r="D597" s="10" t="inlineStr">
        <is>
          <t>ROAD TAX</t>
        </is>
      </c>
      <c r="E597" s="10" t="inlineStr">
        <is>
          <t>YEARLY</t>
        </is>
      </c>
      <c r="F597" s="11" t="n">
        <v>45383</v>
      </c>
      <c r="G597" s="11" t="n">
        <v>45747</v>
      </c>
      <c r="H597" s="12">
        <f>IF(OR($F597="",$G597=""),"",$G597-$F597+1)</f>
        <v/>
      </c>
      <c r="I597" s="10">
        <f>IF($F597="","",IF(MONTH($F597)&gt;=4,YEAR($F597)&amp;"-"&amp;TEXT(YEAR($F597)+1-2000,"00"),YEAR($F597)-1&amp;"-"&amp;TEXT(YEAR($F597)-2000,"00")))</f>
        <v/>
      </c>
      <c r="J597" s="13" t="n">
        <v>32734</v>
      </c>
      <c r="K597" s="14">
        <f>IFERROR($L597/$J597,"")</f>
        <v/>
      </c>
      <c r="L597" s="13" t="n">
        <v>32734</v>
      </c>
      <c r="M597" s="13">
        <f>IFERROR($L597/$H597,"")</f>
        <v/>
      </c>
      <c r="N597" s="11" t="n">
        <v>45910</v>
      </c>
      <c r="O597" s="10">
        <f>IF($N597="","No","Yes")</f>
        <v/>
      </c>
      <c r="P597" s="12">
        <f>IF(OR($F597="",$G597=""),0,IF(AND($F597&lt;=README!$B$4,README!$B$4&lt;=$G597),1,0))</f>
        <v/>
      </c>
      <c r="Q597" s="12">
        <f>IF(OR($F597="",$G597=""),0,IF(AND($F597&lt;=DATE(README!$B$5,12,31),$G597&gt;=DATE(README!$B$5,1,1)),1,0))</f>
        <v/>
      </c>
      <c r="R597" s="10" t="inlineStr">
        <is>
          <t>GUT-VEH0016</t>
        </is>
      </c>
      <c r="S597" s="11" t="n">
        <v>46023</v>
      </c>
      <c r="T597" s="10" t="inlineStr">
        <is>
          <t>5</t>
        </is>
      </c>
      <c r="U597" s="10" t="inlineStr">
        <is>
          <t>VEHICLE</t>
        </is>
      </c>
      <c r="V597" s="10" t="inlineStr">
        <is>
          <t>T</t>
        </is>
      </c>
      <c r="W597" s="10" t="inlineStr">
        <is>
          <t>VIVEK B</t>
        </is>
      </c>
    </row>
    <row r="598">
      <c r="A598" s="10" t="inlineStr">
        <is>
          <t>TN57CF3636</t>
        </is>
      </c>
      <c r="B598" s="10" t="inlineStr">
        <is>
          <t>WOVEN</t>
        </is>
      </c>
      <c r="C598" s="10" t="inlineStr">
        <is>
          <t>ROAD TAX</t>
        </is>
      </c>
      <c r="D598" s="10" t="inlineStr">
        <is>
          <t>ROAD TAX</t>
        </is>
      </c>
      <c r="E598" s="10" t="inlineStr">
        <is>
          <t>YEARLY</t>
        </is>
      </c>
      <c r="F598" s="11" t="n">
        <v>45383</v>
      </c>
      <c r="G598" s="11" t="n">
        <v>45747</v>
      </c>
      <c r="H598" s="12">
        <f>IF(OR($F598="",$G598=""),"",$G598-$F598+1)</f>
        <v/>
      </c>
      <c r="I598" s="10">
        <f>IF($F598="","",IF(MONTH($F598)&gt;=4,YEAR($F598)&amp;"-"&amp;TEXT(YEAR($F598)+1-2000,"00"),YEAR($F598)-1&amp;"-"&amp;TEXT(YEAR($F598)-2000,"00")))</f>
        <v/>
      </c>
      <c r="J598" s="13" t="n">
        <v>32724</v>
      </c>
      <c r="K598" s="14">
        <f>IFERROR($L598/$J598,"")</f>
        <v/>
      </c>
      <c r="L598" s="13" t="n">
        <v>32724</v>
      </c>
      <c r="M598" s="13">
        <f>IFERROR($L598/$H598,"")</f>
        <v/>
      </c>
      <c r="N598" s="11" t="n">
        <v>45840</v>
      </c>
      <c r="O598" s="10">
        <f>IF($N598="","No","Yes")</f>
        <v/>
      </c>
      <c r="P598" s="12">
        <f>IF(OR($F598="",$G598=""),0,IF(AND($F598&lt;=README!$B$4,README!$B$4&lt;=$G598),1,0))</f>
        <v/>
      </c>
      <c r="Q598" s="12">
        <f>IF(OR($F598="",$G598=""),0,IF(AND($F598&lt;=DATE(README!$B$5,12,31),$G598&gt;=DATE(README!$B$5,1,1)),1,0))</f>
        <v/>
      </c>
      <c r="R598" s="10" t="inlineStr">
        <is>
          <t>GUT-VEH0016</t>
        </is>
      </c>
      <c r="S598" s="11" t="n">
        <v>46023</v>
      </c>
      <c r="T598" s="10" t="inlineStr">
        <is>
          <t>5</t>
        </is>
      </c>
      <c r="U598" s="10" t="inlineStr">
        <is>
          <t>VEHICLE</t>
        </is>
      </c>
      <c r="V598" s="10" t="inlineStr">
        <is>
          <t>T</t>
        </is>
      </c>
      <c r="W598" s="10" t="inlineStr">
        <is>
          <t>VIVEK B</t>
        </is>
      </c>
    </row>
    <row r="599">
      <c r="A599" s="10" t="inlineStr">
        <is>
          <t>TN57CF3636</t>
        </is>
      </c>
      <c r="B599" s="10" t="inlineStr">
        <is>
          <t>WOVEN</t>
        </is>
      </c>
      <c r="C599" s="10" t="inlineStr">
        <is>
          <t>ROAD TAX</t>
        </is>
      </c>
      <c r="D599" s="10" t="inlineStr">
        <is>
          <t>ROAD TAX</t>
        </is>
      </c>
      <c r="E599" s="10" t="inlineStr">
        <is>
          <t>YEARLY</t>
        </is>
      </c>
      <c r="F599" s="11" t="n">
        <v>45383</v>
      </c>
      <c r="G599" s="11" t="n">
        <v>45747</v>
      </c>
      <c r="H599" s="12">
        <f>IF(OR($F599="",$G599=""),"",$G599-$F599+1)</f>
        <v/>
      </c>
      <c r="I599" s="10">
        <f>IF($F599="","",IF(MONTH($F599)&gt;=4,YEAR($F599)&amp;"-"&amp;TEXT(YEAR($F599)+1-2000,"00"),YEAR($F599)-1&amp;"-"&amp;TEXT(YEAR($F599)-2000,"00")))</f>
        <v/>
      </c>
      <c r="J599" s="13" t="n">
        <v>32724</v>
      </c>
      <c r="K599" s="14">
        <f>IFERROR($L599/$J599,"")</f>
        <v/>
      </c>
      <c r="L599" s="13" t="n">
        <v>32724</v>
      </c>
      <c r="M599" s="13">
        <f>IFERROR($L599/$H599,"")</f>
        <v/>
      </c>
      <c r="N599" s="11" t="n">
        <v>45727</v>
      </c>
      <c r="O599" s="10">
        <f>IF($N599="","No","Yes")</f>
        <v/>
      </c>
      <c r="P599" s="12">
        <f>IF(OR($F599="",$G599=""),0,IF(AND($F599&lt;=README!$B$4,README!$B$4&lt;=$G599),1,0))</f>
        <v/>
      </c>
      <c r="Q599" s="12">
        <f>IF(OR($F599="",$G599=""),0,IF(AND($F599&lt;=DATE(README!$B$5,12,31),$G599&gt;=DATE(README!$B$5,1,1)),1,0))</f>
        <v/>
      </c>
      <c r="R599" s="10" t="inlineStr">
        <is>
          <t>GUT-VEH0016</t>
        </is>
      </c>
      <c r="S599" s="11" t="n">
        <v>46023</v>
      </c>
      <c r="T599" s="10" t="inlineStr">
        <is>
          <t>5</t>
        </is>
      </c>
      <c r="U599" s="10" t="inlineStr">
        <is>
          <t>VEHICLE</t>
        </is>
      </c>
      <c r="V599" s="10" t="inlineStr">
        <is>
          <t>T</t>
        </is>
      </c>
      <c r="W599" s="10" t="inlineStr">
        <is>
          <t>VIVEK B</t>
        </is>
      </c>
    </row>
    <row r="600">
      <c r="A600" s="10" t="inlineStr">
        <is>
          <t>TN57CF3636</t>
        </is>
      </c>
      <c r="B600" s="10" t="inlineStr">
        <is>
          <t>WOVEN</t>
        </is>
      </c>
      <c r="C600" s="10" t="inlineStr">
        <is>
          <t>VEHICLE INSURANCE</t>
        </is>
      </c>
      <c r="D600" s="10" t="inlineStr">
        <is>
          <t>VEHICLE INSURANCE</t>
        </is>
      </c>
      <c r="E600" s="10" t="inlineStr">
        <is>
          <t>YEARLY</t>
        </is>
      </c>
      <c r="F600" s="11" t="n">
        <v>45748</v>
      </c>
      <c r="G600" s="11" t="n">
        <v>46112</v>
      </c>
      <c r="H600" s="12">
        <f>IF(OR($F600="",$G600=""),"",$G600-$F600+1)</f>
        <v/>
      </c>
      <c r="I600" s="10">
        <f>IF($F600="","",IF(MONTH($F600)&gt;=4,YEAR($F600)&amp;"-"&amp;TEXT(YEAR($F600)+1-2000,"00"),YEAR($F600)-1&amp;"-"&amp;TEXT(YEAR($F600)-2000,"00")))</f>
        <v/>
      </c>
      <c r="J600" s="13" t="n">
        <v>82653</v>
      </c>
      <c r="K600" s="14">
        <f>IFERROR($L600/$J600,"")</f>
        <v/>
      </c>
      <c r="L600" s="13" t="n">
        <v>82653</v>
      </c>
      <c r="M600" s="13">
        <f>IFERROR($L600/$H600,"")</f>
        <v/>
      </c>
      <c r="N600" s="11" t="n">
        <v>45881</v>
      </c>
      <c r="O600" s="10">
        <f>IF($N600="","No","Yes")</f>
        <v/>
      </c>
      <c r="P600" s="12">
        <f>IF(OR($F600="",$G600=""),0,IF(AND($F600&lt;=README!$B$4,README!$B$4&lt;=$G600),1,0))</f>
        <v/>
      </c>
      <c r="Q600" s="12">
        <f>IF(OR($F600="",$G600=""),0,IF(AND($F600&lt;=DATE(README!$B$5,12,31),$G600&gt;=DATE(README!$B$5,1,1)),1,0))</f>
        <v/>
      </c>
      <c r="R600" s="10" t="inlineStr">
        <is>
          <t>GUT-VEH0019</t>
        </is>
      </c>
      <c r="S600" s="11" t="n">
        <v>45799</v>
      </c>
      <c r="T600" s="10" t="inlineStr">
        <is>
          <t>5</t>
        </is>
      </c>
      <c r="U600" s="10" t="inlineStr">
        <is>
          <t>VEHICLE</t>
        </is>
      </c>
      <c r="V600" s="10" t="inlineStr">
        <is>
          <t>T</t>
        </is>
      </c>
      <c r="W600" s="10" t="inlineStr">
        <is>
          <t>VIVEK B</t>
        </is>
      </c>
    </row>
    <row r="601">
      <c r="A601" s="10" t="inlineStr">
        <is>
          <t>TN57CF3636</t>
        </is>
      </c>
      <c r="B601" s="10" t="inlineStr"/>
      <c r="C601" s="10" t="inlineStr">
        <is>
          <t>VEHICLE OUTSIDE SERVICES</t>
        </is>
      </c>
      <c r="D601" s="10" t="inlineStr">
        <is>
          <t>GLASS STICKERS</t>
        </is>
      </c>
      <c r="E601" s="10" t="inlineStr">
        <is>
          <t>YEARLY</t>
        </is>
      </c>
      <c r="F601" s="11" t="n">
        <v>45748</v>
      </c>
      <c r="G601" s="11" t="n">
        <v>46112</v>
      </c>
      <c r="H601" s="12">
        <f>IF(OR($F601="",$G601=""),"",$G601-$F601+1)</f>
        <v/>
      </c>
      <c r="I601" s="10">
        <f>IF($F601="","",IF(MONTH($F601)&gt;=4,YEAR($F601)&amp;"-"&amp;TEXT(YEAR($F601)+1-2000,"00"),YEAR($F601)-1&amp;"-"&amp;TEXT(YEAR($F601)-2000,"00")))</f>
        <v/>
      </c>
      <c r="J601" s="13" t="n">
        <v>5340</v>
      </c>
      <c r="K601" s="14">
        <f>IFERROR($L601/$J601,"")</f>
        <v/>
      </c>
      <c r="L601" s="13" t="n">
        <v>5340</v>
      </c>
      <c r="M601" s="13">
        <f>IFERROR($L601/$H601,"")</f>
        <v/>
      </c>
      <c r="N601" s="11" t="n">
        <v>45850</v>
      </c>
      <c r="O601" s="10">
        <f>IF($N601="","No","Yes")</f>
        <v/>
      </c>
      <c r="P601" s="12">
        <f>IF(OR($F601="",$G601=""),0,IF(AND($F601&lt;=README!$B$4,README!$B$4&lt;=$G601),1,0))</f>
        <v/>
      </c>
      <c r="Q601" s="12">
        <f>IF(OR($F601="",$G601=""),0,IF(AND($F601&lt;=DATE(README!$B$5,12,31),$G601&gt;=DATE(README!$B$5,1,1)),1,0))</f>
        <v/>
      </c>
      <c r="R601" s="10" t="inlineStr">
        <is>
          <t>GUT-VEH0021</t>
        </is>
      </c>
      <c r="S601" s="11" t="n">
        <v>45812</v>
      </c>
      <c r="T601" s="10" t="inlineStr">
        <is>
          <t>5</t>
        </is>
      </c>
      <c r="U601" s="10" t="inlineStr">
        <is>
          <t>VEHICLE</t>
        </is>
      </c>
      <c r="V601" s="10" t="inlineStr">
        <is>
          <t>T</t>
        </is>
      </c>
      <c r="W601" s="10" t="inlineStr">
        <is>
          <t>VIVEK B</t>
        </is>
      </c>
    </row>
    <row r="602">
      <c r="A602" s="10" t="inlineStr">
        <is>
          <t>TN57CF3636</t>
        </is>
      </c>
      <c r="B602" s="10" t="inlineStr">
        <is>
          <t>WOVEN</t>
        </is>
      </c>
      <c r="C602" s="10" t="inlineStr">
        <is>
          <t>ROAD TAX</t>
        </is>
      </c>
      <c r="D602" s="10" t="inlineStr">
        <is>
          <t>ROAD TAX</t>
        </is>
      </c>
      <c r="E602" s="10" t="inlineStr">
        <is>
          <t>QUARTER - IV</t>
        </is>
      </c>
      <c r="F602" s="11" t="n">
        <v>46023</v>
      </c>
      <c r="G602" s="11" t="n">
        <v>46112</v>
      </c>
      <c r="H602" s="12">
        <f>IF(OR($F602="",$G602=""),"",$G602-$F602+1)</f>
        <v/>
      </c>
      <c r="I602" s="10">
        <f>IF($F602="","",IF(MONTH($F602)&gt;=4,YEAR($F602)&amp;"-"&amp;TEXT(YEAR($F602)+1-2000,"00"),YEAR($F602)-1&amp;"-"&amp;TEXT(YEAR($F602)-2000,"00")))</f>
        <v/>
      </c>
      <c r="J602" s="13" t="n">
        <v>32734</v>
      </c>
      <c r="K602" s="14">
        <f>IFERROR($L602/$J602,"")</f>
        <v/>
      </c>
      <c r="L602" s="13" t="n">
        <v>32734</v>
      </c>
      <c r="M602" s="13">
        <f>IFERROR($L602/$H602,"")</f>
        <v/>
      </c>
      <c r="N602" s="11" t="n">
        <v>46065</v>
      </c>
      <c r="O602" s="10">
        <f>IF($N602="","No","Yes")</f>
        <v/>
      </c>
      <c r="P602" s="12">
        <f>IF(OR($F602="",$G602=""),0,IF(AND($F602&lt;=README!$B$4,README!$B$4&lt;=$G602),1,0))</f>
        <v/>
      </c>
      <c r="Q602" s="12">
        <f>IF(OR($F602="",$G602=""),0,IF(AND($F602&lt;=DATE(README!$B$5,12,31),$G602&gt;=DATE(README!$B$5,1,1)),1,0))</f>
        <v/>
      </c>
      <c r="R602" s="10" t="inlineStr">
        <is>
          <t>GUT-VEH0016</t>
        </is>
      </c>
      <c r="S602" s="11" t="n">
        <v>46023</v>
      </c>
      <c r="T602" s="10" t="inlineStr">
        <is>
          <t>5</t>
        </is>
      </c>
      <c r="U602" s="10" t="inlineStr">
        <is>
          <t>VEHICLE</t>
        </is>
      </c>
      <c r="V602" s="10" t="inlineStr">
        <is>
          <t>T</t>
        </is>
      </c>
      <c r="W602" s="10" t="inlineStr">
        <is>
          <t>VIVEK B</t>
        </is>
      </c>
    </row>
    <row r="603">
      <c r="A603" s="10" t="inlineStr">
        <is>
          <t>TN57CF3636</t>
        </is>
      </c>
      <c r="B603" s="10" t="inlineStr"/>
      <c r="C603" s="10" t="inlineStr">
        <is>
          <t>VEHICLE OUTSIDE SERVICES</t>
        </is>
      </c>
      <c r="D603" s="10" t="inlineStr">
        <is>
          <t xml:space="preserve">MAINTENANCE SERVICE </t>
        </is>
      </c>
      <c r="E603" s="10" t="inlineStr">
        <is>
          <t>MARCH</t>
        </is>
      </c>
      <c r="F603" s="11" t="n">
        <v>46082</v>
      </c>
      <c r="G603" s="11" t="n">
        <v>46112</v>
      </c>
      <c r="H603" s="12">
        <f>IF(OR($F603="",$G603=""),"",$G603-$F603+1)</f>
        <v/>
      </c>
      <c r="I603" s="10">
        <f>IF($F603="","",IF(MONTH($F603)&gt;=4,YEAR($F603)&amp;"-"&amp;TEXT(YEAR($F603)+1-2000,"00"),YEAR($F603)-1&amp;"-"&amp;TEXT(YEAR($F603)-2000,"00")))</f>
        <v/>
      </c>
      <c r="J603" s="13" t="n">
        <v>28282.02</v>
      </c>
      <c r="K603" s="14">
        <f>IFERROR($L603/$J603,"")</f>
        <v/>
      </c>
      <c r="L603" s="13" t="n">
        <v>28282.02</v>
      </c>
      <c r="M603" s="13">
        <f>IFERROR($L603/$H603,"")</f>
        <v/>
      </c>
      <c r="N603" s="11" t="n">
        <v>46088</v>
      </c>
      <c r="O603" s="10">
        <f>IF($N603="","No","Yes")</f>
        <v/>
      </c>
      <c r="P603" s="12">
        <f>IF(OR($F603="",$G603=""),0,IF(AND($F603&lt;=README!$B$4,README!$B$4&lt;=$G603),1,0))</f>
        <v/>
      </c>
      <c r="Q603" s="12">
        <f>IF(OR($F603="",$G603=""),0,IF(AND($F603&lt;=DATE(README!$B$5,12,31),$G603&gt;=DATE(README!$B$5,1,1)),1,0))</f>
        <v/>
      </c>
      <c r="R603" s="10" t="inlineStr">
        <is>
          <t>GUT-VEH0021</t>
        </is>
      </c>
      <c r="S603" s="11" t="n">
        <v>45812</v>
      </c>
      <c r="T603" s="10" t="inlineStr">
        <is>
          <t>5</t>
        </is>
      </c>
      <c r="U603" s="10" t="inlineStr">
        <is>
          <t>VEHICLE</t>
        </is>
      </c>
      <c r="V603" s="10" t="inlineStr">
        <is>
          <t>T</t>
        </is>
      </c>
      <c r="W603" s="10" t="inlineStr">
        <is>
          <t>VIVEK B</t>
        </is>
      </c>
    </row>
    <row r="604">
      <c r="A604" s="10" t="inlineStr">
        <is>
          <t>TN57CF3636</t>
        </is>
      </c>
      <c r="B604" s="10" t="inlineStr">
        <is>
          <t>WOVEN</t>
        </is>
      </c>
      <c r="C604" s="10" t="inlineStr">
        <is>
          <t>ROAD TAX</t>
        </is>
      </c>
      <c r="D604" s="10" t="inlineStr">
        <is>
          <t>ROAD TAX</t>
        </is>
      </c>
      <c r="E604" s="10" t="inlineStr">
        <is>
          <t>QUARTER - I</t>
        </is>
      </c>
      <c r="F604" s="11" t="n">
        <v>46113</v>
      </c>
      <c r="G604" s="11" t="n">
        <v>46203</v>
      </c>
      <c r="H604" s="12">
        <f>IF(OR($F604="",$G604=""),"",$G604-$F604+1)</f>
        <v/>
      </c>
      <c r="I604" s="10">
        <f>IF($F604="","",IF(MONTH($F604)&gt;=4,YEAR($F604)&amp;"-"&amp;TEXT(YEAR($F604)+1-2000,"00"),YEAR($F604)-1&amp;"-"&amp;TEXT(YEAR($F604)-2000,"00")))</f>
        <v/>
      </c>
      <c r="J604" s="13" t="n">
        <v>32734</v>
      </c>
      <c r="K604" s="14">
        <f>IFERROR($L604/$J604,"")</f>
        <v/>
      </c>
      <c r="L604" s="13" t="n">
        <v>32734</v>
      </c>
      <c r="M604" s="13">
        <f>IFERROR($L604/$H604,"")</f>
        <v/>
      </c>
      <c r="N604" s="11" t="n">
        <v>46088</v>
      </c>
      <c r="O604" s="10">
        <f>IF($N604="","No","Yes")</f>
        <v/>
      </c>
      <c r="P604" s="12">
        <f>IF(OR($F604="",$G604=""),0,IF(AND($F604&lt;=README!$B$4,README!$B$4&lt;=$G604),1,0))</f>
        <v/>
      </c>
      <c r="Q604" s="12">
        <f>IF(OR($F604="",$G604=""),0,IF(AND($F604&lt;=DATE(README!$B$5,12,31),$G604&gt;=DATE(README!$B$5,1,1)),1,0))</f>
        <v/>
      </c>
      <c r="R604" s="10" t="inlineStr">
        <is>
          <t>GUT-VEH0029</t>
        </is>
      </c>
      <c r="S604" s="11" t="n">
        <v>46087</v>
      </c>
      <c r="T604" s="10" t="inlineStr">
        <is>
          <t>5</t>
        </is>
      </c>
      <c r="U604" s="10" t="inlineStr">
        <is>
          <t>VEHICLE</t>
        </is>
      </c>
      <c r="V604" s="10" t="inlineStr">
        <is>
          <t>T</t>
        </is>
      </c>
      <c r="W604" s="10" t="inlineStr">
        <is>
          <t>VIVEK B</t>
        </is>
      </c>
    </row>
    <row r="605">
      <c r="A605" s="10" t="inlineStr">
        <is>
          <t>TN57CF3636</t>
        </is>
      </c>
      <c r="B605" s="10" t="inlineStr">
        <is>
          <t>WOVEN</t>
        </is>
      </c>
      <c r="C605" s="10" t="inlineStr">
        <is>
          <t>VEHICLE INSURANCE</t>
        </is>
      </c>
      <c r="D605" s="10" t="inlineStr">
        <is>
          <t>VEHICLE INSURANCE</t>
        </is>
      </c>
      <c r="E605" s="10" t="inlineStr">
        <is>
          <t>YEARLY</t>
        </is>
      </c>
      <c r="F605" s="11" t="n">
        <v>46113</v>
      </c>
      <c r="G605" s="11" t="n">
        <v>46477</v>
      </c>
      <c r="H605" s="12">
        <f>IF(OR($F605="",$G605=""),"",$G605-$F605+1)</f>
        <v/>
      </c>
      <c r="I605" s="10">
        <f>IF($F605="","",IF(MONTH($F605)&gt;=4,YEAR($F605)&amp;"-"&amp;TEXT(YEAR($F605)+1-2000,"00"),YEAR($F605)-1&amp;"-"&amp;TEXT(YEAR($F605)-2000,"00")))</f>
        <v/>
      </c>
      <c r="J605" s="13" t="n">
        <v>80970</v>
      </c>
      <c r="K605" s="14">
        <f>IFERROR($L605/$J605,"")</f>
        <v/>
      </c>
      <c r="L605" s="13" t="n">
        <v>80970</v>
      </c>
      <c r="M605" s="13">
        <f>IFERROR($L605/$H605,"")</f>
        <v/>
      </c>
      <c r="N605" s="11" t="n">
        <v>46219</v>
      </c>
      <c r="O605" s="10">
        <f>IF($N605="","No","Yes")</f>
        <v/>
      </c>
      <c r="P605" s="12">
        <f>IF(OR($F605="",$G605=""),0,IF(AND($F605&lt;=README!$B$4,README!$B$4&lt;=$G605),1,0))</f>
        <v/>
      </c>
      <c r="Q605" s="12">
        <f>IF(OR($F605="",$G605=""),0,IF(AND($F605&lt;=DATE(README!$B$5,12,31),$G605&gt;=DATE(README!$B$5,1,1)),1,0))</f>
        <v/>
      </c>
      <c r="R605" s="10" t="inlineStr">
        <is>
          <t>GUT-VEH0035</t>
        </is>
      </c>
      <c r="S605" s="11" t="n">
        <v>46162</v>
      </c>
      <c r="T605" s="10" t="inlineStr">
        <is>
          <t>5</t>
        </is>
      </c>
      <c r="U605" s="10" t="inlineStr">
        <is>
          <t>VEHICLE</t>
        </is>
      </c>
      <c r="V605" s="10" t="inlineStr">
        <is>
          <t>T</t>
        </is>
      </c>
      <c r="W605" s="10" t="inlineStr">
        <is>
          <t>VIVEK B</t>
        </is>
      </c>
    </row>
    <row r="606">
      <c r="A606" s="10" t="inlineStr">
        <is>
          <t>TN57CF3636</t>
        </is>
      </c>
      <c r="B606" s="10" t="inlineStr">
        <is>
          <t>WOVEN</t>
        </is>
      </c>
      <c r="C606" s="10" t="inlineStr">
        <is>
          <t>ROAD TAX</t>
        </is>
      </c>
      <c r="D606" s="10" t="inlineStr">
        <is>
          <t>ROAD TAX</t>
        </is>
      </c>
      <c r="E606" s="10" t="inlineStr">
        <is>
          <t>QUARTER - II</t>
        </is>
      </c>
      <c r="F606" s="11" t="n">
        <v>46204</v>
      </c>
      <c r="G606" s="11" t="n">
        <v>46295</v>
      </c>
      <c r="H606" s="12">
        <f>IF(OR($F606="",$G606=""),"",$G606-$F606+1)</f>
        <v/>
      </c>
      <c r="I606" s="10">
        <f>IF($F606="","",IF(MONTH($F606)&gt;=4,YEAR($F606)&amp;"-"&amp;TEXT(YEAR($F606)+1-2000,"00"),YEAR($F606)-1&amp;"-"&amp;TEXT(YEAR($F606)-2000,"00")))</f>
        <v/>
      </c>
      <c r="J606" s="13" t="n">
        <v>32734</v>
      </c>
      <c r="K606" s="14">
        <f>IFERROR($L606/$J606,"")</f>
        <v/>
      </c>
      <c r="L606" s="13" t="n">
        <v>32734</v>
      </c>
      <c r="M606" s="13">
        <f>IFERROR($L606/$H606,"")</f>
        <v/>
      </c>
      <c r="N606" s="11" t="n">
        <v>46196</v>
      </c>
      <c r="O606" s="10">
        <f>IF($N606="","No","Yes")</f>
        <v/>
      </c>
      <c r="P606" s="12">
        <f>IF(OR($F606="",$G606=""),0,IF(AND($F606&lt;=README!$B$4,README!$B$4&lt;=$G606),1,0))</f>
        <v/>
      </c>
      <c r="Q606" s="12">
        <f>IF(OR($F606="",$G606=""),0,IF(AND($F606&lt;=DATE(README!$B$5,12,31),$G606&gt;=DATE(README!$B$5,1,1)),1,0))</f>
        <v/>
      </c>
      <c r="R606" s="10" t="inlineStr">
        <is>
          <t>GUT-VEH0038</t>
        </is>
      </c>
      <c r="S606" s="11" t="n">
        <v>46193</v>
      </c>
      <c r="T606" s="10" t="inlineStr">
        <is>
          <t>5</t>
        </is>
      </c>
      <c r="U606" s="10" t="inlineStr">
        <is>
          <t>VEHICLE</t>
        </is>
      </c>
      <c r="V606" s="10" t="inlineStr">
        <is>
          <t>T</t>
        </is>
      </c>
      <c r="W606" s="10" t="inlineStr">
        <is>
          <t>VIVEK B</t>
        </is>
      </c>
    </row>
    <row r="607">
      <c r="A607" s="10" t="inlineStr">
        <is>
          <t>TN57CH3636</t>
        </is>
      </c>
      <c r="B607" s="10" t="inlineStr">
        <is>
          <t>WOVEN</t>
        </is>
      </c>
      <c r="C607" s="10" t="inlineStr">
        <is>
          <t>ROAD TAX</t>
        </is>
      </c>
      <c r="D607" s="10" t="inlineStr">
        <is>
          <t>ROAD TAX</t>
        </is>
      </c>
      <c r="E607" s="10" t="inlineStr">
        <is>
          <t>YEARLY</t>
        </is>
      </c>
      <c r="F607" s="11" t="n">
        <v>45383</v>
      </c>
      <c r="G607" s="11" t="n">
        <v>45747</v>
      </c>
      <c r="H607" s="12">
        <f>IF(OR($F607="",$G607=""),"",$G607-$F607+1)</f>
        <v/>
      </c>
      <c r="I607" s="10">
        <f>IF($F607="","",IF(MONTH($F607)&gt;=4,YEAR($F607)&amp;"-"&amp;TEXT(YEAR($F607)+1-2000,"00"),YEAR($F607)-1&amp;"-"&amp;TEXT(YEAR($F607)-2000,"00")))</f>
        <v/>
      </c>
      <c r="J607" s="13" t="n">
        <v>32734</v>
      </c>
      <c r="K607" s="14">
        <f>IFERROR($L607/$J607,"")</f>
        <v/>
      </c>
      <c r="L607" s="13" t="n">
        <v>32734</v>
      </c>
      <c r="M607" s="13">
        <f>IFERROR($L607/$H607,"")</f>
        <v/>
      </c>
      <c r="N607" s="11" t="n">
        <v>45910</v>
      </c>
      <c r="O607" s="10">
        <f>IF($N607="","No","Yes")</f>
        <v/>
      </c>
      <c r="P607" s="12">
        <f>IF(OR($F607="",$G607=""),0,IF(AND($F607&lt;=README!$B$4,README!$B$4&lt;=$G607),1,0))</f>
        <v/>
      </c>
      <c r="Q607" s="12">
        <f>IF(OR($F607="",$G607=""),0,IF(AND($F607&lt;=DATE(README!$B$5,12,31),$G607&gt;=DATE(README!$B$5,1,1)),1,0))</f>
        <v/>
      </c>
      <c r="R607" s="10" t="inlineStr">
        <is>
          <t>GUT-VEH0016</t>
        </is>
      </c>
      <c r="S607" s="11" t="n">
        <v>46023</v>
      </c>
      <c r="T607" s="10" t="inlineStr">
        <is>
          <t>5</t>
        </is>
      </c>
      <c r="U607" s="10" t="inlineStr">
        <is>
          <t>VEHICLE</t>
        </is>
      </c>
      <c r="V607" s="10" t="inlineStr">
        <is>
          <t>T</t>
        </is>
      </c>
      <c r="W607" s="10" t="inlineStr">
        <is>
          <t>VIVEK B</t>
        </is>
      </c>
    </row>
    <row r="608">
      <c r="A608" s="10" t="inlineStr">
        <is>
          <t>TN57CH3636</t>
        </is>
      </c>
      <c r="B608" s="10" t="inlineStr">
        <is>
          <t>WOVEN</t>
        </is>
      </c>
      <c r="C608" s="10" t="inlineStr">
        <is>
          <t>ROAD TAX</t>
        </is>
      </c>
      <c r="D608" s="10" t="inlineStr">
        <is>
          <t>ROAD TAX</t>
        </is>
      </c>
      <c r="E608" s="10" t="inlineStr">
        <is>
          <t>YEARLY</t>
        </is>
      </c>
      <c r="F608" s="11" t="n">
        <v>45383</v>
      </c>
      <c r="G608" s="11" t="n">
        <v>45747</v>
      </c>
      <c r="H608" s="12">
        <f>IF(OR($F608="",$G608=""),"",$G608-$F608+1)</f>
        <v/>
      </c>
      <c r="I608" s="10">
        <f>IF($F608="","",IF(MONTH($F608)&gt;=4,YEAR($F608)&amp;"-"&amp;TEXT(YEAR($F608)+1-2000,"00"),YEAR($F608)-1&amp;"-"&amp;TEXT(YEAR($F608)-2000,"00")))</f>
        <v/>
      </c>
      <c r="J608" s="13" t="n">
        <v>32724</v>
      </c>
      <c r="K608" s="14">
        <f>IFERROR($L608/$J608,"")</f>
        <v/>
      </c>
      <c r="L608" s="13" t="n">
        <v>32724</v>
      </c>
      <c r="M608" s="13">
        <f>IFERROR($L608/$H608,"")</f>
        <v/>
      </c>
      <c r="N608" s="11" t="n">
        <v>45840</v>
      </c>
      <c r="O608" s="10">
        <f>IF($N608="","No","Yes")</f>
        <v/>
      </c>
      <c r="P608" s="12">
        <f>IF(OR($F608="",$G608=""),0,IF(AND($F608&lt;=README!$B$4,README!$B$4&lt;=$G608),1,0))</f>
        <v/>
      </c>
      <c r="Q608" s="12">
        <f>IF(OR($F608="",$G608=""),0,IF(AND($F608&lt;=DATE(README!$B$5,12,31),$G608&gt;=DATE(README!$B$5,1,1)),1,0))</f>
        <v/>
      </c>
      <c r="R608" s="10" t="inlineStr">
        <is>
          <t>GUT-VEH0016</t>
        </is>
      </c>
      <c r="S608" s="11" t="n">
        <v>46023</v>
      </c>
      <c r="T608" s="10" t="inlineStr">
        <is>
          <t>5</t>
        </is>
      </c>
      <c r="U608" s="10" t="inlineStr">
        <is>
          <t>VEHICLE</t>
        </is>
      </c>
      <c r="V608" s="10" t="inlineStr">
        <is>
          <t>T</t>
        </is>
      </c>
      <c r="W608" s="10" t="inlineStr">
        <is>
          <t>VIVEK B</t>
        </is>
      </c>
    </row>
    <row r="609">
      <c r="A609" s="10" t="inlineStr">
        <is>
          <t>TN57CH3636</t>
        </is>
      </c>
      <c r="B609" s="10" t="inlineStr">
        <is>
          <t>WOVEN</t>
        </is>
      </c>
      <c r="C609" s="10" t="inlineStr">
        <is>
          <t>VEHICLE INSURANCE</t>
        </is>
      </c>
      <c r="D609" s="10" t="inlineStr">
        <is>
          <t>VEHICLE INSURANCE</t>
        </is>
      </c>
      <c r="E609" s="10" t="inlineStr">
        <is>
          <t>YEARLY</t>
        </is>
      </c>
      <c r="F609" s="11" t="n">
        <v>45748</v>
      </c>
      <c r="G609" s="11" t="n">
        <v>46112</v>
      </c>
      <c r="H609" s="12">
        <f>IF(OR($F609="",$G609=""),"",$G609-$F609+1)</f>
        <v/>
      </c>
      <c r="I609" s="10">
        <f>IF($F609="","",IF(MONTH($F609)&gt;=4,YEAR($F609)&amp;"-"&amp;TEXT(YEAR($F609)+1-2000,"00"),YEAR($F609)-1&amp;"-"&amp;TEXT(YEAR($F609)-2000,"00")))</f>
        <v/>
      </c>
      <c r="J609" s="13" t="n">
        <v>82653</v>
      </c>
      <c r="K609" s="14">
        <f>IFERROR($L609/$J609,"")</f>
        <v/>
      </c>
      <c r="L609" s="13" t="n">
        <v>82653</v>
      </c>
      <c r="M609" s="13">
        <f>IFERROR($L609/$H609,"")</f>
        <v/>
      </c>
      <c r="N609" s="11" t="n">
        <v>45881</v>
      </c>
      <c r="O609" s="10">
        <f>IF($N609="","No","Yes")</f>
        <v/>
      </c>
      <c r="P609" s="12">
        <f>IF(OR($F609="",$G609=""),0,IF(AND($F609&lt;=README!$B$4,README!$B$4&lt;=$G609),1,0))</f>
        <v/>
      </c>
      <c r="Q609" s="12">
        <f>IF(OR($F609="",$G609=""),0,IF(AND($F609&lt;=DATE(README!$B$5,12,31),$G609&gt;=DATE(README!$B$5,1,1)),1,0))</f>
        <v/>
      </c>
      <c r="R609" s="10" t="inlineStr">
        <is>
          <t>GUT-VEH0019</t>
        </is>
      </c>
      <c r="S609" s="11" t="n">
        <v>45799</v>
      </c>
      <c r="T609" s="10" t="inlineStr">
        <is>
          <t>5</t>
        </is>
      </c>
      <c r="U609" s="10" t="inlineStr">
        <is>
          <t>VEHICLE</t>
        </is>
      </c>
      <c r="V609" s="10" t="inlineStr">
        <is>
          <t>T</t>
        </is>
      </c>
      <c r="W609" s="10" t="inlineStr">
        <is>
          <t>VIVEK B</t>
        </is>
      </c>
    </row>
    <row r="610">
      <c r="A610" s="10" t="inlineStr">
        <is>
          <t>TN57CH3636</t>
        </is>
      </c>
      <c r="B610" s="10" t="inlineStr"/>
      <c r="C610" s="10" t="inlineStr">
        <is>
          <t>VEHICLE OUTSIDE SERVICES</t>
        </is>
      </c>
      <c r="D610" s="10" t="inlineStr">
        <is>
          <t>GLASS STICKERS</t>
        </is>
      </c>
      <c r="E610" s="10" t="inlineStr">
        <is>
          <t>YEARLY</t>
        </is>
      </c>
      <c r="F610" s="11" t="n">
        <v>45748</v>
      </c>
      <c r="G610" s="11" t="n">
        <v>46112</v>
      </c>
      <c r="H610" s="12">
        <f>IF(OR($F610="",$G610=""),"",$G610-$F610+1)</f>
        <v/>
      </c>
      <c r="I610" s="10">
        <f>IF($F610="","",IF(MONTH($F610)&gt;=4,YEAR($F610)&amp;"-"&amp;TEXT(YEAR($F610)+1-2000,"00"),YEAR($F610)-1&amp;"-"&amp;TEXT(YEAR($F610)-2000,"00")))</f>
        <v/>
      </c>
      <c r="J610" s="13" t="n">
        <v>5340</v>
      </c>
      <c r="K610" s="14">
        <f>IFERROR($L610/$J610,"")</f>
        <v/>
      </c>
      <c r="L610" s="13" t="n">
        <v>5340</v>
      </c>
      <c r="M610" s="13">
        <f>IFERROR($L610/$H610,"")</f>
        <v/>
      </c>
      <c r="N610" s="11" t="n">
        <v>45850</v>
      </c>
      <c r="O610" s="10">
        <f>IF($N610="","No","Yes")</f>
        <v/>
      </c>
      <c r="P610" s="12">
        <f>IF(OR($F610="",$G610=""),0,IF(AND($F610&lt;=README!$B$4,README!$B$4&lt;=$G610),1,0))</f>
        <v/>
      </c>
      <c r="Q610" s="12">
        <f>IF(OR($F610="",$G610=""),0,IF(AND($F610&lt;=DATE(README!$B$5,12,31),$G610&gt;=DATE(README!$B$5,1,1)),1,0))</f>
        <v/>
      </c>
      <c r="R610" s="10" t="inlineStr">
        <is>
          <t>GUT-VEH0021</t>
        </is>
      </c>
      <c r="S610" s="11" t="n">
        <v>45812</v>
      </c>
      <c r="T610" s="10" t="inlineStr">
        <is>
          <t>5</t>
        </is>
      </c>
      <c r="U610" s="10" t="inlineStr">
        <is>
          <t>VEHICLE</t>
        </is>
      </c>
      <c r="V610" s="10" t="inlineStr">
        <is>
          <t>T</t>
        </is>
      </c>
      <c r="W610" s="10" t="inlineStr">
        <is>
          <t>VIVEK B</t>
        </is>
      </c>
    </row>
    <row r="611">
      <c r="A611" s="10" t="inlineStr">
        <is>
          <t>TN57CH3636</t>
        </is>
      </c>
      <c r="B611" s="10" t="inlineStr">
        <is>
          <t>WOVEN</t>
        </is>
      </c>
      <c r="C611" s="10" t="inlineStr">
        <is>
          <t>ROAD TAX</t>
        </is>
      </c>
      <c r="D611" s="10" t="inlineStr">
        <is>
          <t>ROAD TAX</t>
        </is>
      </c>
      <c r="E611" s="10" t="inlineStr">
        <is>
          <t>QUARTER - IV</t>
        </is>
      </c>
      <c r="F611" s="11" t="n">
        <v>46023</v>
      </c>
      <c r="G611" s="11" t="n">
        <v>46112</v>
      </c>
      <c r="H611" s="12">
        <f>IF(OR($F611="",$G611=""),"",$G611-$F611+1)</f>
        <v/>
      </c>
      <c r="I611" s="10">
        <f>IF($F611="","",IF(MONTH($F611)&gt;=4,YEAR($F611)&amp;"-"&amp;TEXT(YEAR($F611)+1-2000,"00"),YEAR($F611)-1&amp;"-"&amp;TEXT(YEAR($F611)-2000,"00")))</f>
        <v/>
      </c>
      <c r="J611" s="13" t="n">
        <v>32734</v>
      </c>
      <c r="K611" s="14">
        <f>IFERROR($L611/$J611,"")</f>
        <v/>
      </c>
      <c r="L611" s="13" t="n">
        <v>32734</v>
      </c>
      <c r="M611" s="13">
        <f>IFERROR($L611/$H611,"")</f>
        <v/>
      </c>
      <c r="N611" s="11" t="n">
        <v>46065</v>
      </c>
      <c r="O611" s="10">
        <f>IF($N611="","No","Yes")</f>
        <v/>
      </c>
      <c r="P611" s="12">
        <f>IF(OR($F611="",$G611=""),0,IF(AND($F611&lt;=README!$B$4,README!$B$4&lt;=$G611),1,0))</f>
        <v/>
      </c>
      <c r="Q611" s="12">
        <f>IF(OR($F611="",$G611=""),0,IF(AND($F611&lt;=DATE(README!$B$5,12,31),$G611&gt;=DATE(README!$B$5,1,1)),1,0))</f>
        <v/>
      </c>
      <c r="R611" s="10" t="inlineStr">
        <is>
          <t>GUT-VEH0016</t>
        </is>
      </c>
      <c r="S611" s="11" t="n">
        <v>46023</v>
      </c>
      <c r="T611" s="10" t="inlineStr">
        <is>
          <t>5</t>
        </is>
      </c>
      <c r="U611" s="10" t="inlineStr">
        <is>
          <t>VEHICLE</t>
        </is>
      </c>
      <c r="V611" s="10" t="inlineStr">
        <is>
          <t>T</t>
        </is>
      </c>
      <c r="W611" s="10" t="inlineStr">
        <is>
          <t>VIVEK B</t>
        </is>
      </c>
    </row>
    <row r="612">
      <c r="A612" s="10" t="inlineStr">
        <is>
          <t>TN57CH3636</t>
        </is>
      </c>
      <c r="B612" s="10" t="inlineStr">
        <is>
          <t>WOVEN</t>
        </is>
      </c>
      <c r="C612" s="10" t="inlineStr">
        <is>
          <t>ROAD TAX</t>
        </is>
      </c>
      <c r="D612" s="10" t="inlineStr">
        <is>
          <t>ROAD TAX</t>
        </is>
      </c>
      <c r="E612" s="10" t="inlineStr">
        <is>
          <t>QUARTER - I</t>
        </is>
      </c>
      <c r="F612" s="11" t="n">
        <v>46113</v>
      </c>
      <c r="G612" s="11" t="n">
        <v>46203</v>
      </c>
      <c r="H612" s="12">
        <f>IF(OR($F612="",$G612=""),"",$G612-$F612+1)</f>
        <v/>
      </c>
      <c r="I612" s="10">
        <f>IF($F612="","",IF(MONTH($F612)&gt;=4,YEAR($F612)&amp;"-"&amp;TEXT(YEAR($F612)+1-2000,"00"),YEAR($F612)-1&amp;"-"&amp;TEXT(YEAR($F612)-2000,"00")))</f>
        <v/>
      </c>
      <c r="J612" s="13" t="n">
        <v>32734</v>
      </c>
      <c r="K612" s="14">
        <f>IFERROR($L612/$J612,"")</f>
        <v/>
      </c>
      <c r="L612" s="13" t="n">
        <v>32734</v>
      </c>
      <c r="M612" s="13">
        <f>IFERROR($L612/$H612,"")</f>
        <v/>
      </c>
      <c r="N612" s="11" t="n">
        <v>46088</v>
      </c>
      <c r="O612" s="10">
        <f>IF($N612="","No","Yes")</f>
        <v/>
      </c>
      <c r="P612" s="12">
        <f>IF(OR($F612="",$G612=""),0,IF(AND($F612&lt;=README!$B$4,README!$B$4&lt;=$G612),1,0))</f>
        <v/>
      </c>
      <c r="Q612" s="12">
        <f>IF(OR($F612="",$G612=""),0,IF(AND($F612&lt;=DATE(README!$B$5,12,31),$G612&gt;=DATE(README!$B$5,1,1)),1,0))</f>
        <v/>
      </c>
      <c r="R612" s="10" t="inlineStr">
        <is>
          <t>GUT-VEH0029</t>
        </is>
      </c>
      <c r="S612" s="11" t="n">
        <v>46087</v>
      </c>
      <c r="T612" s="10" t="inlineStr">
        <is>
          <t>5</t>
        </is>
      </c>
      <c r="U612" s="10" t="inlineStr">
        <is>
          <t>VEHICLE</t>
        </is>
      </c>
      <c r="V612" s="10" t="inlineStr">
        <is>
          <t>T</t>
        </is>
      </c>
      <c r="W612" s="10" t="inlineStr">
        <is>
          <t>VIVEK B</t>
        </is>
      </c>
    </row>
    <row r="613">
      <c r="A613" s="10" t="inlineStr">
        <is>
          <t>TN57CH3636</t>
        </is>
      </c>
      <c r="B613" s="10" t="inlineStr">
        <is>
          <t>WOVEN</t>
        </is>
      </c>
      <c r="C613" s="10" t="inlineStr">
        <is>
          <t>VEHICLE INSURANCE</t>
        </is>
      </c>
      <c r="D613" s="10" t="inlineStr">
        <is>
          <t>VEHICLE INSURANCE</t>
        </is>
      </c>
      <c r="E613" s="10" t="inlineStr">
        <is>
          <t>YEARLY</t>
        </is>
      </c>
      <c r="F613" s="11" t="n">
        <v>46113</v>
      </c>
      <c r="G613" s="11" t="n">
        <v>46477</v>
      </c>
      <c r="H613" s="12">
        <f>IF(OR($F613="",$G613=""),"",$G613-$F613+1)</f>
        <v/>
      </c>
      <c r="I613" s="10">
        <f>IF($F613="","",IF(MONTH($F613)&gt;=4,YEAR($F613)&amp;"-"&amp;TEXT(YEAR($F613)+1-2000,"00"),YEAR($F613)-1&amp;"-"&amp;TEXT(YEAR($F613)-2000,"00")))</f>
        <v/>
      </c>
      <c r="J613" s="13" t="n">
        <v>80970</v>
      </c>
      <c r="K613" s="14">
        <f>IFERROR($L613/$J613,"")</f>
        <v/>
      </c>
      <c r="L613" s="13" t="n">
        <v>80970</v>
      </c>
      <c r="M613" s="13">
        <f>IFERROR($L613/$H613,"")</f>
        <v/>
      </c>
      <c r="N613" s="11" t="n">
        <v>46219</v>
      </c>
      <c r="O613" s="10">
        <f>IF($N613="","No","Yes")</f>
        <v/>
      </c>
      <c r="P613" s="12">
        <f>IF(OR($F613="",$G613=""),0,IF(AND($F613&lt;=README!$B$4,README!$B$4&lt;=$G613),1,0))</f>
        <v/>
      </c>
      <c r="Q613" s="12">
        <f>IF(OR($F613="",$G613=""),0,IF(AND($F613&lt;=DATE(README!$B$5,12,31),$G613&gt;=DATE(README!$B$5,1,1)),1,0))</f>
        <v/>
      </c>
      <c r="R613" s="10" t="inlineStr">
        <is>
          <t>GUT-VEH0035</t>
        </is>
      </c>
      <c r="S613" s="11" t="n">
        <v>46162</v>
      </c>
      <c r="T613" s="10" t="inlineStr">
        <is>
          <t>5</t>
        </is>
      </c>
      <c r="U613" s="10" t="inlineStr">
        <is>
          <t>VEHICLE</t>
        </is>
      </c>
      <c r="V613" s="10" t="inlineStr">
        <is>
          <t>T</t>
        </is>
      </c>
      <c r="W613" s="10" t="inlineStr">
        <is>
          <t>VIVEK B</t>
        </is>
      </c>
    </row>
    <row r="614">
      <c r="A614" s="10" t="inlineStr">
        <is>
          <t>TN57CH3636</t>
        </is>
      </c>
      <c r="B614" s="10" t="inlineStr">
        <is>
          <t>WOVEN</t>
        </is>
      </c>
      <c r="C614" s="10" t="inlineStr">
        <is>
          <t>ROAD TAX</t>
        </is>
      </c>
      <c r="D614" s="10" t="inlineStr">
        <is>
          <t>ROAD TAX</t>
        </is>
      </c>
      <c r="E614" s="10" t="inlineStr">
        <is>
          <t>QUARTER - II</t>
        </is>
      </c>
      <c r="F614" s="11" t="n">
        <v>46204</v>
      </c>
      <c r="G614" s="11" t="n">
        <v>46295</v>
      </c>
      <c r="H614" s="12">
        <f>IF(OR($F614="",$G614=""),"",$G614-$F614+1)</f>
        <v/>
      </c>
      <c r="I614" s="10">
        <f>IF($F614="","",IF(MONTH($F614)&gt;=4,YEAR($F614)&amp;"-"&amp;TEXT(YEAR($F614)+1-2000,"00"),YEAR($F614)-1&amp;"-"&amp;TEXT(YEAR($F614)-2000,"00")))</f>
        <v/>
      </c>
      <c r="J614" s="13" t="n">
        <v>32734</v>
      </c>
      <c r="K614" s="14">
        <f>IFERROR($L614/$J614,"")</f>
        <v/>
      </c>
      <c r="L614" s="13" t="n">
        <v>32734</v>
      </c>
      <c r="M614" s="13">
        <f>IFERROR($L614/$H614,"")</f>
        <v/>
      </c>
      <c r="N614" s="11" t="n">
        <v>46196</v>
      </c>
      <c r="O614" s="10">
        <f>IF($N614="","No","Yes")</f>
        <v/>
      </c>
      <c r="P614" s="12">
        <f>IF(OR($F614="",$G614=""),0,IF(AND($F614&lt;=README!$B$4,README!$B$4&lt;=$G614),1,0))</f>
        <v/>
      </c>
      <c r="Q614" s="12">
        <f>IF(OR($F614="",$G614=""),0,IF(AND($F614&lt;=DATE(README!$B$5,12,31),$G614&gt;=DATE(README!$B$5,1,1)),1,0))</f>
        <v/>
      </c>
      <c r="R614" s="10" t="inlineStr">
        <is>
          <t>GUT-VEH0038</t>
        </is>
      </c>
      <c r="S614" s="11" t="n">
        <v>46193</v>
      </c>
      <c r="T614" s="10" t="inlineStr">
        <is>
          <t>5</t>
        </is>
      </c>
      <c r="U614" s="10" t="inlineStr">
        <is>
          <t>VEHICLE</t>
        </is>
      </c>
      <c r="V614" s="10" t="inlineStr">
        <is>
          <t>T</t>
        </is>
      </c>
      <c r="W614" s="10" t="inlineStr">
        <is>
          <t>VIVEK B</t>
        </is>
      </c>
    </row>
    <row r="615">
      <c r="A615" s="10" t="inlineStr">
        <is>
          <t>TN57CJ3434</t>
        </is>
      </c>
      <c r="B615" s="10" t="inlineStr">
        <is>
          <t>GENERAL</t>
        </is>
      </c>
      <c r="C615" s="10" t="inlineStr">
        <is>
          <t>VEHICLE OUTSIDE SERVICES</t>
        </is>
      </c>
      <c r="D615" s="10" t="inlineStr">
        <is>
          <t>GLASS STICKERS</t>
        </is>
      </c>
      <c r="E615" s="10" t="inlineStr">
        <is>
          <t>MARCH</t>
        </is>
      </c>
      <c r="F615" s="11" t="n">
        <v>46082</v>
      </c>
      <c r="G615" s="11" t="n">
        <v>46112</v>
      </c>
      <c r="H615" s="12">
        <f>IF(OR($F615="",$G615=""),"",$G615-$F615+1)</f>
        <v/>
      </c>
      <c r="I615" s="10">
        <f>IF($F615="","",IF(MONTH($F615)&gt;=4,YEAR($F615)&amp;"-"&amp;TEXT(YEAR($F615)+1-2000,"00"),YEAR($F615)-1&amp;"-"&amp;TEXT(YEAR($F615)-2000,"00")))</f>
        <v/>
      </c>
      <c r="J615" s="13" t="n">
        <v>4200</v>
      </c>
      <c r="K615" s="14">
        <f>IFERROR($L615/$J615,"")</f>
        <v/>
      </c>
      <c r="L615" s="13" t="n">
        <v>4200</v>
      </c>
      <c r="M615" s="13">
        <f>IFERROR($L615/$H615,"")</f>
        <v/>
      </c>
      <c r="N615" s="11" t="n">
        <v>46104</v>
      </c>
      <c r="O615" s="10">
        <f>IF($N615="","No","Yes")</f>
        <v/>
      </c>
      <c r="P615" s="12">
        <f>IF(OR($F615="",$G615=""),0,IF(AND($F615&lt;=README!$B$4,README!$B$4&lt;=$G615),1,0))</f>
        <v/>
      </c>
      <c r="Q615" s="12">
        <f>IF(OR($F615="",$G615=""),0,IF(AND($F615&lt;=DATE(README!$B$5,12,31),$G615&gt;=DATE(README!$B$5,1,1)),1,0))</f>
        <v/>
      </c>
      <c r="R615" s="10" t="inlineStr">
        <is>
          <t>GUP-VEH0019</t>
        </is>
      </c>
      <c r="S615" s="11" t="n">
        <v>45777</v>
      </c>
      <c r="T615" s="10" t="inlineStr">
        <is>
          <t>638</t>
        </is>
      </c>
      <c r="U615" s="10" t="inlineStr">
        <is>
          <t>VEHICLE</t>
        </is>
      </c>
      <c r="V615" s="10" t="inlineStr">
        <is>
          <t>T</t>
        </is>
      </c>
      <c r="W615" s="10" t="inlineStr">
        <is>
          <t>VIVEK B</t>
        </is>
      </c>
    </row>
    <row r="616">
      <c r="A616" s="10" t="inlineStr">
        <is>
          <t>TN57CJ3434</t>
        </is>
      </c>
      <c r="B616" s="10" t="inlineStr">
        <is>
          <t>SOCKS</t>
        </is>
      </c>
      <c r="C616" s="10" t="inlineStr">
        <is>
          <t>ROAD TAX</t>
        </is>
      </c>
      <c r="D616" s="10" t="inlineStr">
        <is>
          <t>ROAD TAX</t>
        </is>
      </c>
      <c r="E616" s="10" t="inlineStr">
        <is>
          <t>QUARTER - I</t>
        </is>
      </c>
      <c r="F616" s="11" t="n">
        <v>46113</v>
      </c>
      <c r="G616" s="11" t="n">
        <v>46203</v>
      </c>
      <c r="H616" s="12">
        <f>IF(OR($F616="",$G616=""),"",$G616-$F616+1)</f>
        <v/>
      </c>
      <c r="I616" s="10">
        <f>IF($F616="","",IF(MONTH($F616)&gt;=4,YEAR($F616)&amp;"-"&amp;TEXT(YEAR($F616)+1-2000,"00"),YEAR($F616)-1&amp;"-"&amp;TEXT(YEAR($F616)-2000,"00")))</f>
        <v/>
      </c>
      <c r="J616" s="13" t="n">
        <v>32734</v>
      </c>
      <c r="K616" s="14">
        <f>IFERROR($L616/$J616,"")</f>
        <v/>
      </c>
      <c r="L616" s="13" t="n">
        <v>32734</v>
      </c>
      <c r="M616" s="13">
        <f>IFERROR($L616/$H616,"")</f>
        <v/>
      </c>
      <c r="N616" s="11" t="n">
        <v>46088</v>
      </c>
      <c r="O616" s="10">
        <f>IF($N616="","No","Yes")</f>
        <v/>
      </c>
      <c r="P616" s="12">
        <f>IF(OR($F616="",$G616=""),0,IF(AND($F616&lt;=README!$B$4,README!$B$4&lt;=$G616),1,0))</f>
        <v/>
      </c>
      <c r="Q616" s="12">
        <f>IF(OR($F616="",$G616=""),0,IF(AND($F616&lt;=DATE(README!$B$5,12,31),$G616&gt;=DATE(README!$B$5,1,1)),1,0))</f>
        <v/>
      </c>
      <c r="R616" s="10" t="inlineStr">
        <is>
          <t>GUP-VEH0030</t>
        </is>
      </c>
      <c r="S616" s="11" t="n">
        <v>46113</v>
      </c>
      <c r="T616" s="10" t="inlineStr">
        <is>
          <t>796</t>
        </is>
      </c>
      <c r="U616" s="10" t="inlineStr">
        <is>
          <t>VEHICLE</t>
        </is>
      </c>
      <c r="V616" s="10" t="inlineStr">
        <is>
          <t>T</t>
        </is>
      </c>
      <c r="W616" s="10" t="inlineStr">
        <is>
          <t>VIVEK B</t>
        </is>
      </c>
    </row>
    <row r="617">
      <c r="A617" s="10" t="inlineStr">
        <is>
          <t>TN57CJ3434</t>
        </is>
      </c>
      <c r="B617" s="10" t="inlineStr">
        <is>
          <t>SOCKS</t>
        </is>
      </c>
      <c r="C617" s="10" t="inlineStr">
        <is>
          <t>ROAD TAX</t>
        </is>
      </c>
      <c r="D617" s="10" t="inlineStr">
        <is>
          <t>ROAD TAX</t>
        </is>
      </c>
      <c r="E617" s="10" t="inlineStr">
        <is>
          <t>QUARTER - II</t>
        </is>
      </c>
      <c r="F617" s="11" t="n">
        <v>46204</v>
      </c>
      <c r="G617" s="11" t="n">
        <v>46295</v>
      </c>
      <c r="H617" s="12">
        <f>IF(OR($F617="",$G617=""),"",$G617-$F617+1)</f>
        <v/>
      </c>
      <c r="I617" s="10">
        <f>IF($F617="","",IF(MONTH($F617)&gt;=4,YEAR($F617)&amp;"-"&amp;TEXT(YEAR($F617)+1-2000,"00"),YEAR($F617)-1&amp;"-"&amp;TEXT(YEAR($F617)-2000,"00")))</f>
        <v/>
      </c>
      <c r="J617" s="13" t="n">
        <v>32734</v>
      </c>
      <c r="K617" s="14">
        <f>IFERROR($L617/$J617,"")</f>
        <v/>
      </c>
      <c r="L617" s="13" t="n">
        <v>32734</v>
      </c>
      <c r="M617" s="13">
        <f>IFERROR($L617/$H617,"")</f>
        <v/>
      </c>
      <c r="N617" s="11" t="n">
        <v>46196</v>
      </c>
      <c r="O617" s="10">
        <f>IF($N617="","No","Yes")</f>
        <v/>
      </c>
      <c r="P617" s="12">
        <f>IF(OR($F617="",$G617=""),0,IF(AND($F617&lt;=README!$B$4,README!$B$4&lt;=$G617),1,0))</f>
        <v/>
      </c>
      <c r="Q617" s="12">
        <f>IF(OR($F617="",$G617=""),0,IF(AND($F617&lt;=DATE(README!$B$5,12,31),$G617&gt;=DATE(README!$B$5,1,1)),1,0))</f>
        <v/>
      </c>
      <c r="R617" s="10" t="inlineStr">
        <is>
          <t>GUP-VEH0030</t>
        </is>
      </c>
      <c r="S617" s="11" t="n">
        <v>46113</v>
      </c>
      <c r="T617" s="10" t="inlineStr">
        <is>
          <t>796</t>
        </is>
      </c>
      <c r="U617" s="10" t="inlineStr">
        <is>
          <t>VEHICLE</t>
        </is>
      </c>
      <c r="V617" s="10" t="inlineStr">
        <is>
          <t>T</t>
        </is>
      </c>
      <c r="W617" s="10" t="inlineStr">
        <is>
          <t>VIVEK B</t>
        </is>
      </c>
    </row>
    <row r="618">
      <c r="A618" s="10" t="inlineStr">
        <is>
          <t>TN57CJ3636</t>
        </is>
      </c>
      <c r="B618" s="10" t="inlineStr">
        <is>
          <t>WOVEN</t>
        </is>
      </c>
      <c r="C618" s="10" t="inlineStr">
        <is>
          <t>ROAD TAX</t>
        </is>
      </c>
      <c r="D618" s="10" t="inlineStr">
        <is>
          <t>ROAD TAX</t>
        </is>
      </c>
      <c r="E618" s="10" t="inlineStr">
        <is>
          <t>YEARLY</t>
        </is>
      </c>
      <c r="F618" s="11" t="n">
        <v>45383</v>
      </c>
      <c r="G618" s="11" t="n">
        <v>45747</v>
      </c>
      <c r="H618" s="12">
        <f>IF(OR($F618="",$G618=""),"",$G618-$F618+1)</f>
        <v/>
      </c>
      <c r="I618" s="10">
        <f>IF($F618="","",IF(MONTH($F618)&gt;=4,YEAR($F618)&amp;"-"&amp;TEXT(YEAR($F618)+1-2000,"00"),YEAR($F618)-1&amp;"-"&amp;TEXT(YEAR($F618)-2000,"00")))</f>
        <v/>
      </c>
      <c r="J618" s="13" t="n">
        <v>32734</v>
      </c>
      <c r="K618" s="14">
        <f>IFERROR($L618/$J618,"")</f>
        <v/>
      </c>
      <c r="L618" s="13" t="n">
        <v>32734</v>
      </c>
      <c r="M618" s="13">
        <f>IFERROR($L618/$H618,"")</f>
        <v/>
      </c>
      <c r="N618" s="11" t="n">
        <v>45910</v>
      </c>
      <c r="O618" s="10">
        <f>IF($N618="","No","Yes")</f>
        <v/>
      </c>
      <c r="P618" s="12">
        <f>IF(OR($F618="",$G618=""),0,IF(AND($F618&lt;=README!$B$4,README!$B$4&lt;=$G618),1,0))</f>
        <v/>
      </c>
      <c r="Q618" s="12">
        <f>IF(OR($F618="",$G618=""),0,IF(AND($F618&lt;=DATE(README!$B$5,12,31),$G618&gt;=DATE(README!$B$5,1,1)),1,0))</f>
        <v/>
      </c>
      <c r="R618" s="10" t="inlineStr">
        <is>
          <t>GUT-VEH0016</t>
        </is>
      </c>
      <c r="S618" s="11" t="n">
        <v>46023</v>
      </c>
      <c r="T618" s="10" t="inlineStr">
        <is>
          <t>5</t>
        </is>
      </c>
      <c r="U618" s="10" t="inlineStr">
        <is>
          <t>VEHICLE</t>
        </is>
      </c>
      <c r="V618" s="10" t="inlineStr">
        <is>
          <t>T</t>
        </is>
      </c>
      <c r="W618" s="10" t="inlineStr">
        <is>
          <t>VIVEK B</t>
        </is>
      </c>
    </row>
    <row r="619">
      <c r="A619" s="10" t="inlineStr">
        <is>
          <t>TN57CJ3636</t>
        </is>
      </c>
      <c r="B619" s="10" t="inlineStr">
        <is>
          <t>WOVEN</t>
        </is>
      </c>
      <c r="C619" s="10" t="inlineStr">
        <is>
          <t>VEHICLE INSURANCE</t>
        </is>
      </c>
      <c r="D619" s="10" t="inlineStr">
        <is>
          <t>VEHICLE INSURANCE</t>
        </is>
      </c>
      <c r="E619" s="10" t="inlineStr">
        <is>
          <t>YEARLY</t>
        </is>
      </c>
      <c r="F619" s="11" t="n">
        <v>45748</v>
      </c>
      <c r="G619" s="11" t="n">
        <v>46112</v>
      </c>
      <c r="H619" s="12">
        <f>IF(OR($F619="",$G619=""),"",$G619-$F619+1)</f>
        <v/>
      </c>
      <c r="I619" s="10">
        <f>IF($F619="","",IF(MONTH($F619)&gt;=4,YEAR($F619)&amp;"-"&amp;TEXT(YEAR($F619)+1-2000,"00"),YEAR($F619)-1&amp;"-"&amp;TEXT(YEAR($F619)-2000,"00")))</f>
        <v/>
      </c>
      <c r="J619" s="13" t="n">
        <v>81223</v>
      </c>
      <c r="K619" s="14">
        <f>IFERROR($L619/$J619,"")</f>
        <v/>
      </c>
      <c r="L619" s="13" t="n">
        <v>81223</v>
      </c>
      <c r="M619" s="13">
        <f>IFERROR($L619/$H619,"")</f>
        <v/>
      </c>
      <c r="N619" s="11" t="n">
        <v>45994</v>
      </c>
      <c r="O619" s="10">
        <f>IF($N619="","No","Yes")</f>
        <v/>
      </c>
      <c r="P619" s="12">
        <f>IF(OR($F619="",$G619=""),0,IF(AND($F619&lt;=README!$B$4,README!$B$4&lt;=$G619),1,0))</f>
        <v/>
      </c>
      <c r="Q619" s="12">
        <f>IF(OR($F619="",$G619=""),0,IF(AND($F619&lt;=DATE(README!$B$5,12,31),$G619&gt;=DATE(README!$B$5,1,1)),1,0))</f>
        <v/>
      </c>
      <c r="R619" s="10" t="inlineStr">
        <is>
          <t>GUT-VEH0019</t>
        </is>
      </c>
      <c r="S619" s="11" t="n">
        <v>45799</v>
      </c>
      <c r="T619" s="10" t="inlineStr">
        <is>
          <t>5</t>
        </is>
      </c>
      <c r="U619" s="10" t="inlineStr">
        <is>
          <t>VEHICLE</t>
        </is>
      </c>
      <c r="V619" s="10" t="inlineStr">
        <is>
          <t>T</t>
        </is>
      </c>
      <c r="W619" s="10" t="inlineStr">
        <is>
          <t>VIVEK B</t>
        </is>
      </c>
    </row>
    <row r="620">
      <c r="A620" s="10" t="inlineStr">
        <is>
          <t>TN57CJ3636</t>
        </is>
      </c>
      <c r="B620" s="10" t="inlineStr"/>
      <c r="C620" s="10" t="inlineStr">
        <is>
          <t>VEHICLE OUTSIDE SERVICES</t>
        </is>
      </c>
      <c r="D620" s="10" t="inlineStr">
        <is>
          <t>GLASS STICKERS</t>
        </is>
      </c>
      <c r="E620" s="10" t="inlineStr">
        <is>
          <t>YEARLY</t>
        </is>
      </c>
      <c r="F620" s="11" t="n">
        <v>45748</v>
      </c>
      <c r="G620" s="11" t="n">
        <v>46112</v>
      </c>
      <c r="H620" s="12">
        <f>IF(OR($F620="",$G620=""),"",$G620-$F620+1)</f>
        <v/>
      </c>
      <c r="I620" s="10">
        <f>IF($F620="","",IF(MONTH($F620)&gt;=4,YEAR($F620)&amp;"-"&amp;TEXT(YEAR($F620)+1-2000,"00"),YEAR($F620)-1&amp;"-"&amp;TEXT(YEAR($F620)-2000,"00")))</f>
        <v/>
      </c>
      <c r="J620" s="13" t="n">
        <v>5340</v>
      </c>
      <c r="K620" s="14">
        <f>IFERROR($L620/$J620,"")</f>
        <v/>
      </c>
      <c r="L620" s="13" t="n">
        <v>5340</v>
      </c>
      <c r="M620" s="13">
        <f>IFERROR($L620/$H620,"")</f>
        <v/>
      </c>
      <c r="N620" s="11" t="n">
        <v>45850</v>
      </c>
      <c r="O620" s="10">
        <f>IF($N620="","No","Yes")</f>
        <v/>
      </c>
      <c r="P620" s="12">
        <f>IF(OR($F620="",$G620=""),0,IF(AND($F620&lt;=README!$B$4,README!$B$4&lt;=$G620),1,0))</f>
        <v/>
      </c>
      <c r="Q620" s="12">
        <f>IF(OR($F620="",$G620=""),0,IF(AND($F620&lt;=DATE(README!$B$5,12,31),$G620&gt;=DATE(README!$B$5,1,1)),1,0))</f>
        <v/>
      </c>
      <c r="R620" s="10" t="inlineStr">
        <is>
          <t>GUT-VEH0021</t>
        </is>
      </c>
      <c r="S620" s="11" t="n">
        <v>45812</v>
      </c>
      <c r="T620" s="10" t="inlineStr">
        <is>
          <t>5</t>
        </is>
      </c>
      <c r="U620" s="10" t="inlineStr">
        <is>
          <t>VEHICLE</t>
        </is>
      </c>
      <c r="V620" s="10" t="inlineStr">
        <is>
          <t>T</t>
        </is>
      </c>
      <c r="W620" s="10" t="inlineStr">
        <is>
          <t>VIVEK B</t>
        </is>
      </c>
    </row>
    <row r="621">
      <c r="A621" s="10" t="inlineStr">
        <is>
          <t>TN57CJ3636</t>
        </is>
      </c>
      <c r="B621" s="10" t="inlineStr"/>
      <c r="C621" s="10" t="inlineStr">
        <is>
          <t>VEHICLE OUTSIDE SERVICES</t>
        </is>
      </c>
      <c r="D621" s="10" t="inlineStr">
        <is>
          <t xml:space="preserve">MAINTENANCE SERVICE </t>
        </is>
      </c>
      <c r="E621" s="10" t="inlineStr">
        <is>
          <t>YEARLY</t>
        </is>
      </c>
      <c r="F621" s="11" t="n">
        <v>45748</v>
      </c>
      <c r="G621" s="11" t="n">
        <v>46112</v>
      </c>
      <c r="H621" s="12">
        <f>IF(OR($F621="",$G621=""),"",$G621-$F621+1)</f>
        <v/>
      </c>
      <c r="I621" s="10">
        <f>IF($F621="","",IF(MONTH($F621)&gt;=4,YEAR($F621)&amp;"-"&amp;TEXT(YEAR($F621)+1-2000,"00"),YEAR($F621)-1&amp;"-"&amp;TEXT(YEAR($F621)-2000,"00")))</f>
        <v/>
      </c>
      <c r="J621" s="13" t="n">
        <v>4720</v>
      </c>
      <c r="K621" s="14">
        <f>IFERROR($L621/$J621,"")</f>
        <v/>
      </c>
      <c r="L621" s="13" t="n">
        <v>4720</v>
      </c>
      <c r="M621" s="13">
        <f>IFERROR($L621/$H621,"")</f>
        <v/>
      </c>
      <c r="N621" s="11" t="n">
        <v>45847</v>
      </c>
      <c r="O621" s="10">
        <f>IF($N621="","No","Yes")</f>
        <v/>
      </c>
      <c r="P621" s="12">
        <f>IF(OR($F621="",$G621=""),0,IF(AND($F621&lt;=README!$B$4,README!$B$4&lt;=$G621),1,0))</f>
        <v/>
      </c>
      <c r="Q621" s="12">
        <f>IF(OR($F621="",$G621=""),0,IF(AND($F621&lt;=DATE(README!$B$5,12,31),$G621&gt;=DATE(README!$B$5,1,1)),1,0))</f>
        <v/>
      </c>
      <c r="R621" s="10" t="inlineStr">
        <is>
          <t>GUT-VEH0021</t>
        </is>
      </c>
      <c r="S621" s="11" t="n">
        <v>45812</v>
      </c>
      <c r="T621" s="10" t="inlineStr">
        <is>
          <t>5</t>
        </is>
      </c>
      <c r="U621" s="10" t="inlineStr">
        <is>
          <t>VEHICLE</t>
        </is>
      </c>
      <c r="V621" s="10" t="inlineStr">
        <is>
          <t>T</t>
        </is>
      </c>
      <c r="W621" s="10" t="inlineStr">
        <is>
          <t>VIVEK B</t>
        </is>
      </c>
    </row>
    <row r="622">
      <c r="A622" s="10" t="inlineStr">
        <is>
          <t>TN57CJ3636</t>
        </is>
      </c>
      <c r="B622" s="10" t="inlineStr">
        <is>
          <t>WOVEN</t>
        </is>
      </c>
      <c r="C622" s="10" t="inlineStr">
        <is>
          <t>ROAD TAX</t>
        </is>
      </c>
      <c r="D622" s="10" t="inlineStr">
        <is>
          <t>ROAD TAX</t>
        </is>
      </c>
      <c r="E622" s="10" t="inlineStr">
        <is>
          <t>QUARTER - IV</t>
        </is>
      </c>
      <c r="F622" s="11" t="n">
        <v>46023</v>
      </c>
      <c r="G622" s="11" t="n">
        <v>46112</v>
      </c>
      <c r="H622" s="12">
        <f>IF(OR($F622="",$G622=""),"",$G622-$F622+1)</f>
        <v/>
      </c>
      <c r="I622" s="10">
        <f>IF($F622="","",IF(MONTH($F622)&gt;=4,YEAR($F622)&amp;"-"&amp;TEXT(YEAR($F622)+1-2000,"00"),YEAR($F622)-1&amp;"-"&amp;TEXT(YEAR($F622)-2000,"00")))</f>
        <v/>
      </c>
      <c r="J622" s="13" t="n">
        <v>32734</v>
      </c>
      <c r="K622" s="14">
        <f>IFERROR($L622/$J622,"")</f>
        <v/>
      </c>
      <c r="L622" s="13" t="n">
        <v>32734</v>
      </c>
      <c r="M622" s="13">
        <f>IFERROR($L622/$H622,"")</f>
        <v/>
      </c>
      <c r="N622" s="11" t="n">
        <v>46065</v>
      </c>
      <c r="O622" s="10">
        <f>IF($N622="","No","Yes")</f>
        <v/>
      </c>
      <c r="P622" s="12">
        <f>IF(OR($F622="",$G622=""),0,IF(AND($F622&lt;=README!$B$4,README!$B$4&lt;=$G622),1,0))</f>
        <v/>
      </c>
      <c r="Q622" s="12">
        <f>IF(OR($F622="",$G622=""),0,IF(AND($F622&lt;=DATE(README!$B$5,12,31),$G622&gt;=DATE(README!$B$5,1,1)),1,0))</f>
        <v/>
      </c>
      <c r="R622" s="10" t="inlineStr">
        <is>
          <t>GUT-VEH0016</t>
        </is>
      </c>
      <c r="S622" s="11" t="n">
        <v>46023</v>
      </c>
      <c r="T622" s="10" t="inlineStr">
        <is>
          <t>5</t>
        </is>
      </c>
      <c r="U622" s="10" t="inlineStr">
        <is>
          <t>VEHICLE</t>
        </is>
      </c>
      <c r="V622" s="10" t="inlineStr">
        <is>
          <t>T</t>
        </is>
      </c>
      <c r="W622" s="10" t="inlineStr">
        <is>
          <t>VIVEK B</t>
        </is>
      </c>
    </row>
    <row r="623">
      <c r="A623" s="10" t="inlineStr">
        <is>
          <t>TN57CJ3636</t>
        </is>
      </c>
      <c r="B623" s="10" t="inlineStr">
        <is>
          <t>WOVEN</t>
        </is>
      </c>
      <c r="C623" s="10" t="inlineStr">
        <is>
          <t>ROAD TAX</t>
        </is>
      </c>
      <c r="D623" s="10" t="inlineStr">
        <is>
          <t>ROAD TAX</t>
        </is>
      </c>
      <c r="E623" s="10" t="inlineStr">
        <is>
          <t>QUARTER - I</t>
        </is>
      </c>
      <c r="F623" s="11" t="n">
        <v>46113</v>
      </c>
      <c r="G623" s="11" t="n">
        <v>46203</v>
      </c>
      <c r="H623" s="12">
        <f>IF(OR($F623="",$G623=""),"",$G623-$F623+1)</f>
        <v/>
      </c>
      <c r="I623" s="10">
        <f>IF($F623="","",IF(MONTH($F623)&gt;=4,YEAR($F623)&amp;"-"&amp;TEXT(YEAR($F623)+1-2000,"00"),YEAR($F623)-1&amp;"-"&amp;TEXT(YEAR($F623)-2000,"00")))</f>
        <v/>
      </c>
      <c r="J623" s="13" t="n">
        <v>32734</v>
      </c>
      <c r="K623" s="14">
        <f>IFERROR($L623/$J623,"")</f>
        <v/>
      </c>
      <c r="L623" s="13" t="n">
        <v>32734</v>
      </c>
      <c r="M623" s="13">
        <f>IFERROR($L623/$H623,"")</f>
        <v/>
      </c>
      <c r="N623" s="11" t="n">
        <v>46088</v>
      </c>
      <c r="O623" s="10">
        <f>IF($N623="","No","Yes")</f>
        <v/>
      </c>
      <c r="P623" s="12">
        <f>IF(OR($F623="",$G623=""),0,IF(AND($F623&lt;=README!$B$4,README!$B$4&lt;=$G623),1,0))</f>
        <v/>
      </c>
      <c r="Q623" s="12">
        <f>IF(OR($F623="",$G623=""),0,IF(AND($F623&lt;=DATE(README!$B$5,12,31),$G623&gt;=DATE(README!$B$5,1,1)),1,0))</f>
        <v/>
      </c>
      <c r="R623" s="10" t="inlineStr">
        <is>
          <t>GUT-VEH0029</t>
        </is>
      </c>
      <c r="S623" s="11" t="n">
        <v>46087</v>
      </c>
      <c r="T623" s="10" t="inlineStr">
        <is>
          <t>5</t>
        </is>
      </c>
      <c r="U623" s="10" t="inlineStr">
        <is>
          <t>VEHICLE</t>
        </is>
      </c>
      <c r="V623" s="10" t="inlineStr">
        <is>
          <t>T</t>
        </is>
      </c>
      <c r="W623" s="10" t="inlineStr">
        <is>
          <t>VIVEK B</t>
        </is>
      </c>
    </row>
    <row r="624">
      <c r="A624" s="10" t="inlineStr">
        <is>
          <t>TN57CJ3636</t>
        </is>
      </c>
      <c r="B624" s="10" t="inlineStr">
        <is>
          <t>WOVEN</t>
        </is>
      </c>
      <c r="C624" s="10" t="inlineStr">
        <is>
          <t>ROAD TAX</t>
        </is>
      </c>
      <c r="D624" s="10" t="inlineStr">
        <is>
          <t>ROAD TAX</t>
        </is>
      </c>
      <c r="E624" s="10" t="inlineStr">
        <is>
          <t>QUARTER - II</t>
        </is>
      </c>
      <c r="F624" s="11" t="n">
        <v>46204</v>
      </c>
      <c r="G624" s="11" t="n">
        <v>46295</v>
      </c>
      <c r="H624" s="12">
        <f>IF(OR($F624="",$G624=""),"",$G624-$F624+1)</f>
        <v/>
      </c>
      <c r="I624" s="10">
        <f>IF($F624="","",IF(MONTH($F624)&gt;=4,YEAR($F624)&amp;"-"&amp;TEXT(YEAR($F624)+1-2000,"00"),YEAR($F624)-1&amp;"-"&amp;TEXT(YEAR($F624)-2000,"00")))</f>
        <v/>
      </c>
      <c r="J624" s="13" t="n">
        <v>32734</v>
      </c>
      <c r="K624" s="14">
        <f>IFERROR($L624/$J624,"")</f>
        <v/>
      </c>
      <c r="L624" s="13" t="n">
        <v>32734</v>
      </c>
      <c r="M624" s="13">
        <f>IFERROR($L624/$H624,"")</f>
        <v/>
      </c>
      <c r="N624" s="11" t="n">
        <v>46196</v>
      </c>
      <c r="O624" s="10">
        <f>IF($N624="","No","Yes")</f>
        <v/>
      </c>
      <c r="P624" s="12">
        <f>IF(OR($F624="",$G624=""),0,IF(AND($F624&lt;=README!$B$4,README!$B$4&lt;=$G624),1,0))</f>
        <v/>
      </c>
      <c r="Q624" s="12">
        <f>IF(OR($F624="",$G624=""),0,IF(AND($F624&lt;=DATE(README!$B$5,12,31),$G624&gt;=DATE(README!$B$5,1,1)),1,0))</f>
        <v/>
      </c>
      <c r="R624" s="10" t="inlineStr">
        <is>
          <t>GUT-VEH0038</t>
        </is>
      </c>
      <c r="S624" s="11" t="n">
        <v>46193</v>
      </c>
      <c r="T624" s="10" t="inlineStr">
        <is>
          <t>5</t>
        </is>
      </c>
      <c r="U624" s="10" t="inlineStr">
        <is>
          <t>VEHICLE</t>
        </is>
      </c>
      <c r="V624" s="10" t="inlineStr">
        <is>
          <t>T</t>
        </is>
      </c>
      <c r="W624" s="10" t="inlineStr">
        <is>
          <t>VIVEK B</t>
        </is>
      </c>
    </row>
    <row r="625">
      <c r="A625" s="10" t="inlineStr">
        <is>
          <t>TN57CK3434</t>
        </is>
      </c>
      <c r="B625" s="10" t="inlineStr">
        <is>
          <t>GENERAL</t>
        </is>
      </c>
      <c r="C625" s="10" t="inlineStr">
        <is>
          <t>VEHICLE OUTSIDE SERVICES</t>
        </is>
      </c>
      <c r="D625" s="10" t="inlineStr">
        <is>
          <t>GLASS STICKERS</t>
        </is>
      </c>
      <c r="E625" s="10" t="inlineStr">
        <is>
          <t>MARCH</t>
        </is>
      </c>
      <c r="F625" s="11" t="n">
        <v>46082</v>
      </c>
      <c r="G625" s="11" t="n">
        <v>46112</v>
      </c>
      <c r="H625" s="12">
        <f>IF(OR($F625="",$G625=""),"",$G625-$F625+1)</f>
        <v/>
      </c>
      <c r="I625" s="10">
        <f>IF($F625="","",IF(MONTH($F625)&gt;=4,YEAR($F625)&amp;"-"&amp;TEXT(YEAR($F625)+1-2000,"00"),YEAR($F625)-1&amp;"-"&amp;TEXT(YEAR($F625)-2000,"00")))</f>
        <v/>
      </c>
      <c r="J625" s="13" t="n">
        <v>4200</v>
      </c>
      <c r="K625" s="14">
        <f>IFERROR($L625/$J625,"")</f>
        <v/>
      </c>
      <c r="L625" s="13" t="n">
        <v>4200</v>
      </c>
      <c r="M625" s="13">
        <f>IFERROR($L625/$H625,"")</f>
        <v/>
      </c>
      <c r="N625" s="11" t="n">
        <v>46104</v>
      </c>
      <c r="O625" s="10">
        <f>IF($N625="","No","Yes")</f>
        <v/>
      </c>
      <c r="P625" s="12">
        <f>IF(OR($F625="",$G625=""),0,IF(AND($F625&lt;=README!$B$4,README!$B$4&lt;=$G625),1,0))</f>
        <v/>
      </c>
      <c r="Q625" s="12">
        <f>IF(OR($F625="",$G625=""),0,IF(AND($F625&lt;=DATE(README!$B$5,12,31),$G625&gt;=DATE(README!$B$5,1,1)),1,0))</f>
        <v/>
      </c>
      <c r="R625" s="10" t="inlineStr">
        <is>
          <t>GUP-VEH0019</t>
        </is>
      </c>
      <c r="S625" s="11" t="n">
        <v>45777</v>
      </c>
      <c r="T625" s="10" t="inlineStr">
        <is>
          <t>638</t>
        </is>
      </c>
      <c r="U625" s="10" t="inlineStr">
        <is>
          <t>VEHICLE</t>
        </is>
      </c>
      <c r="V625" s="10" t="inlineStr">
        <is>
          <t>T</t>
        </is>
      </c>
      <c r="W625" s="10" t="inlineStr">
        <is>
          <t>VIVEK B</t>
        </is>
      </c>
    </row>
    <row r="626">
      <c r="A626" s="10" t="inlineStr">
        <is>
          <t>TN57CK3434</t>
        </is>
      </c>
      <c r="B626" s="10" t="inlineStr">
        <is>
          <t>SOCKS</t>
        </is>
      </c>
      <c r="C626" s="10" t="inlineStr">
        <is>
          <t>ROAD TAX</t>
        </is>
      </c>
      <c r="D626" s="10" t="inlineStr">
        <is>
          <t>ROAD TAX</t>
        </is>
      </c>
      <c r="E626" s="10" t="inlineStr">
        <is>
          <t>QUARTER - I</t>
        </is>
      </c>
      <c r="F626" s="11" t="n">
        <v>46113</v>
      </c>
      <c r="G626" s="11" t="n">
        <v>46203</v>
      </c>
      <c r="H626" s="12">
        <f>IF(OR($F626="",$G626=""),"",$G626-$F626+1)</f>
        <v/>
      </c>
      <c r="I626" s="10">
        <f>IF($F626="","",IF(MONTH($F626)&gt;=4,YEAR($F626)&amp;"-"&amp;TEXT(YEAR($F626)+1-2000,"00"),YEAR($F626)-1&amp;"-"&amp;TEXT(YEAR($F626)-2000,"00")))</f>
        <v/>
      </c>
      <c r="J626" s="13" t="n">
        <v>32734</v>
      </c>
      <c r="K626" s="14">
        <f>IFERROR($L626/$J626,"")</f>
        <v/>
      </c>
      <c r="L626" s="13" t="n">
        <v>32734</v>
      </c>
      <c r="M626" s="13">
        <f>IFERROR($L626/$H626,"")</f>
        <v/>
      </c>
      <c r="N626" s="11" t="n">
        <v>46088</v>
      </c>
      <c r="O626" s="10">
        <f>IF($N626="","No","Yes")</f>
        <v/>
      </c>
      <c r="P626" s="12">
        <f>IF(OR($F626="",$G626=""),0,IF(AND($F626&lt;=README!$B$4,README!$B$4&lt;=$G626),1,0))</f>
        <v/>
      </c>
      <c r="Q626" s="12">
        <f>IF(OR($F626="",$G626=""),0,IF(AND($F626&lt;=DATE(README!$B$5,12,31),$G626&gt;=DATE(README!$B$5,1,1)),1,0))</f>
        <v/>
      </c>
      <c r="R626" s="10" t="inlineStr">
        <is>
          <t>GUP-VEH0030</t>
        </is>
      </c>
      <c r="S626" s="11" t="n">
        <v>46113</v>
      </c>
      <c r="T626" s="10" t="inlineStr">
        <is>
          <t>796</t>
        </is>
      </c>
      <c r="U626" s="10" t="inlineStr">
        <is>
          <t>VEHICLE</t>
        </is>
      </c>
      <c r="V626" s="10" t="inlineStr">
        <is>
          <t>T</t>
        </is>
      </c>
      <c r="W626" s="10" t="inlineStr">
        <is>
          <t>VIVEK B</t>
        </is>
      </c>
    </row>
    <row r="627">
      <c r="A627" s="10" t="inlineStr">
        <is>
          <t>TN57CK3434</t>
        </is>
      </c>
      <c r="B627" s="10" t="inlineStr">
        <is>
          <t>SOCKS</t>
        </is>
      </c>
      <c r="C627" s="10" t="inlineStr">
        <is>
          <t>ROAD TAX</t>
        </is>
      </c>
      <c r="D627" s="10" t="inlineStr">
        <is>
          <t>ROAD TAX</t>
        </is>
      </c>
      <c r="E627" s="10" t="inlineStr">
        <is>
          <t>QUARTER - II</t>
        </is>
      </c>
      <c r="F627" s="11" t="n">
        <v>46204</v>
      </c>
      <c r="G627" s="11" t="n">
        <v>46295</v>
      </c>
      <c r="H627" s="12">
        <f>IF(OR($F627="",$G627=""),"",$G627-$F627+1)</f>
        <v/>
      </c>
      <c r="I627" s="10">
        <f>IF($F627="","",IF(MONTH($F627)&gt;=4,YEAR($F627)&amp;"-"&amp;TEXT(YEAR($F627)+1-2000,"00"),YEAR($F627)-1&amp;"-"&amp;TEXT(YEAR($F627)-2000,"00")))</f>
        <v/>
      </c>
      <c r="J627" s="13" t="n">
        <v>32734</v>
      </c>
      <c r="K627" s="14">
        <f>IFERROR($L627/$J627,"")</f>
        <v/>
      </c>
      <c r="L627" s="13" t="n">
        <v>32734</v>
      </c>
      <c r="M627" s="13">
        <f>IFERROR($L627/$H627,"")</f>
        <v/>
      </c>
      <c r="N627" s="11" t="n">
        <v>46196</v>
      </c>
      <c r="O627" s="10">
        <f>IF($N627="","No","Yes")</f>
        <v/>
      </c>
      <c r="P627" s="12">
        <f>IF(OR($F627="",$G627=""),0,IF(AND($F627&lt;=README!$B$4,README!$B$4&lt;=$G627),1,0))</f>
        <v/>
      </c>
      <c r="Q627" s="12">
        <f>IF(OR($F627="",$G627=""),0,IF(AND($F627&lt;=DATE(README!$B$5,12,31),$G627&gt;=DATE(README!$B$5,1,1)),1,0))</f>
        <v/>
      </c>
      <c r="R627" s="10" t="inlineStr">
        <is>
          <t>GUP-VEH0030</t>
        </is>
      </c>
      <c r="S627" s="11" t="n">
        <v>46113</v>
      </c>
      <c r="T627" s="10" t="inlineStr">
        <is>
          <t>796</t>
        </is>
      </c>
      <c r="U627" s="10" t="inlineStr">
        <is>
          <t>VEHICLE</t>
        </is>
      </c>
      <c r="V627" s="10" t="inlineStr">
        <is>
          <t>T</t>
        </is>
      </c>
      <c r="W627" s="10" t="inlineStr">
        <is>
          <t>VIVEK B</t>
        </is>
      </c>
    </row>
    <row r="628">
      <c r="A628" s="10" t="inlineStr">
        <is>
          <t>TN57CK3636</t>
        </is>
      </c>
      <c r="B628" s="10" t="inlineStr">
        <is>
          <t>WOVEN</t>
        </is>
      </c>
      <c r="C628" s="10" t="inlineStr">
        <is>
          <t>ROAD TAX</t>
        </is>
      </c>
      <c r="D628" s="10" t="inlineStr">
        <is>
          <t>ROAD TAX</t>
        </is>
      </c>
      <c r="E628" s="10" t="inlineStr">
        <is>
          <t>YEARLY</t>
        </is>
      </c>
      <c r="F628" s="11" t="n">
        <v>45383</v>
      </c>
      <c r="G628" s="11" t="n">
        <v>45747</v>
      </c>
      <c r="H628" s="12">
        <f>IF(OR($F628="",$G628=""),"",$G628-$F628+1)</f>
        <v/>
      </c>
      <c r="I628" s="10">
        <f>IF($F628="","",IF(MONTH($F628)&gt;=4,YEAR($F628)&amp;"-"&amp;TEXT(YEAR($F628)+1-2000,"00"),YEAR($F628)-1&amp;"-"&amp;TEXT(YEAR($F628)-2000,"00")))</f>
        <v/>
      </c>
      <c r="J628" s="13" t="n">
        <v>32734</v>
      </c>
      <c r="K628" s="14">
        <f>IFERROR($L628/$J628,"")</f>
        <v/>
      </c>
      <c r="L628" s="13" t="n">
        <v>32734</v>
      </c>
      <c r="M628" s="13">
        <f>IFERROR($L628/$H628,"")</f>
        <v/>
      </c>
      <c r="N628" s="11" t="n">
        <v>45910</v>
      </c>
      <c r="O628" s="10">
        <f>IF($N628="","No","Yes")</f>
        <v/>
      </c>
      <c r="P628" s="12">
        <f>IF(OR($F628="",$G628=""),0,IF(AND($F628&lt;=README!$B$4,README!$B$4&lt;=$G628),1,0))</f>
        <v/>
      </c>
      <c r="Q628" s="12">
        <f>IF(OR($F628="",$G628=""),0,IF(AND($F628&lt;=DATE(README!$B$5,12,31),$G628&gt;=DATE(README!$B$5,1,1)),1,0))</f>
        <v/>
      </c>
      <c r="R628" s="10" t="inlineStr">
        <is>
          <t>GUT-VEH0016</t>
        </is>
      </c>
      <c r="S628" s="11" t="n">
        <v>46023</v>
      </c>
      <c r="T628" s="10" t="inlineStr">
        <is>
          <t>5</t>
        </is>
      </c>
      <c r="U628" s="10" t="inlineStr">
        <is>
          <t>VEHICLE</t>
        </is>
      </c>
      <c r="V628" s="10" t="inlineStr">
        <is>
          <t>T</t>
        </is>
      </c>
      <c r="W628" s="10" t="inlineStr">
        <is>
          <t>VIVEK B</t>
        </is>
      </c>
    </row>
    <row r="629">
      <c r="A629" s="10" t="inlineStr">
        <is>
          <t>TN57CK3636</t>
        </is>
      </c>
      <c r="B629" s="10" t="inlineStr">
        <is>
          <t>WOVEN</t>
        </is>
      </c>
      <c r="C629" s="10" t="inlineStr">
        <is>
          <t>VEHICLE INSURANCE</t>
        </is>
      </c>
      <c r="D629" s="10" t="inlineStr">
        <is>
          <t>VEHICLE INSURANCE</t>
        </is>
      </c>
      <c r="E629" s="10" t="inlineStr">
        <is>
          <t>YEARLY</t>
        </is>
      </c>
      <c r="F629" s="11" t="n">
        <v>45748</v>
      </c>
      <c r="G629" s="11" t="n">
        <v>46112</v>
      </c>
      <c r="H629" s="12">
        <f>IF(OR($F629="",$G629=""),"",$G629-$F629+1)</f>
        <v/>
      </c>
      <c r="I629" s="10">
        <f>IF($F629="","",IF(MONTH($F629)&gt;=4,YEAR($F629)&amp;"-"&amp;TEXT(YEAR($F629)+1-2000,"00"),YEAR($F629)-1&amp;"-"&amp;TEXT(YEAR($F629)-2000,"00")))</f>
        <v/>
      </c>
      <c r="J629" s="13" t="n">
        <v>81223</v>
      </c>
      <c r="K629" s="14">
        <f>IFERROR($L629/$J629,"")</f>
        <v/>
      </c>
      <c r="L629" s="13" t="n">
        <v>81223</v>
      </c>
      <c r="M629" s="13">
        <f>IFERROR($L629/$H629,"")</f>
        <v/>
      </c>
      <c r="N629" s="11" t="n">
        <v>45994</v>
      </c>
      <c r="O629" s="10">
        <f>IF($N629="","No","Yes")</f>
        <v/>
      </c>
      <c r="P629" s="12">
        <f>IF(OR($F629="",$G629=""),0,IF(AND($F629&lt;=README!$B$4,README!$B$4&lt;=$G629),1,0))</f>
        <v/>
      </c>
      <c r="Q629" s="12">
        <f>IF(OR($F629="",$G629=""),0,IF(AND($F629&lt;=DATE(README!$B$5,12,31),$G629&gt;=DATE(README!$B$5,1,1)),1,0))</f>
        <v/>
      </c>
      <c r="R629" s="10" t="inlineStr">
        <is>
          <t>GUT-VEH0019</t>
        </is>
      </c>
      <c r="S629" s="11" t="n">
        <v>45799</v>
      </c>
      <c r="T629" s="10" t="inlineStr">
        <is>
          <t>5</t>
        </is>
      </c>
      <c r="U629" s="10" t="inlineStr">
        <is>
          <t>VEHICLE</t>
        </is>
      </c>
      <c r="V629" s="10" t="inlineStr">
        <is>
          <t>T</t>
        </is>
      </c>
      <c r="W629" s="10" t="inlineStr">
        <is>
          <t>VIVEK B</t>
        </is>
      </c>
    </row>
    <row r="630">
      <c r="A630" s="10" t="inlineStr">
        <is>
          <t>TN57CK3636</t>
        </is>
      </c>
      <c r="B630" s="10" t="inlineStr"/>
      <c r="C630" s="10" t="inlineStr">
        <is>
          <t>VEHICLE OUTSIDE SERVICES</t>
        </is>
      </c>
      <c r="D630" s="10" t="inlineStr">
        <is>
          <t>GLASS STICKERS</t>
        </is>
      </c>
      <c r="E630" s="10" t="inlineStr">
        <is>
          <t>YEARLY</t>
        </is>
      </c>
      <c r="F630" s="11" t="n">
        <v>45748</v>
      </c>
      <c r="G630" s="11" t="n">
        <v>46112</v>
      </c>
      <c r="H630" s="12">
        <f>IF(OR($F630="",$G630=""),"",$G630-$F630+1)</f>
        <v/>
      </c>
      <c r="I630" s="10">
        <f>IF($F630="","",IF(MONTH($F630)&gt;=4,YEAR($F630)&amp;"-"&amp;TEXT(YEAR($F630)+1-2000,"00"),YEAR($F630)-1&amp;"-"&amp;TEXT(YEAR($F630)-2000,"00")))</f>
        <v/>
      </c>
      <c r="J630" s="13" t="n">
        <v>5340</v>
      </c>
      <c r="K630" s="14">
        <f>IFERROR($L630/$J630,"")</f>
        <v/>
      </c>
      <c r="L630" s="13" t="n">
        <v>5340</v>
      </c>
      <c r="M630" s="13">
        <f>IFERROR($L630/$H630,"")</f>
        <v/>
      </c>
      <c r="N630" s="11" t="n">
        <v>45850</v>
      </c>
      <c r="O630" s="10">
        <f>IF($N630="","No","Yes")</f>
        <v/>
      </c>
      <c r="P630" s="12">
        <f>IF(OR($F630="",$G630=""),0,IF(AND($F630&lt;=README!$B$4,README!$B$4&lt;=$G630),1,0))</f>
        <v/>
      </c>
      <c r="Q630" s="12">
        <f>IF(OR($F630="",$G630=""),0,IF(AND($F630&lt;=DATE(README!$B$5,12,31),$G630&gt;=DATE(README!$B$5,1,1)),1,0))</f>
        <v/>
      </c>
      <c r="R630" s="10" t="inlineStr">
        <is>
          <t>GUT-VEH0021</t>
        </is>
      </c>
      <c r="S630" s="11" t="n">
        <v>45812</v>
      </c>
      <c r="T630" s="10" t="inlineStr">
        <is>
          <t>5</t>
        </is>
      </c>
      <c r="U630" s="10" t="inlineStr">
        <is>
          <t>VEHICLE</t>
        </is>
      </c>
      <c r="V630" s="10" t="inlineStr">
        <is>
          <t>T</t>
        </is>
      </c>
      <c r="W630" s="10" t="inlineStr">
        <is>
          <t>VIVEK B</t>
        </is>
      </c>
    </row>
    <row r="631">
      <c r="A631" s="10" t="inlineStr">
        <is>
          <t>TN57CK3636</t>
        </is>
      </c>
      <c r="B631" s="10" t="inlineStr"/>
      <c r="C631" s="10" t="inlineStr">
        <is>
          <t>VEHICLE OUTSIDE SERVICES</t>
        </is>
      </c>
      <c r="D631" s="10" t="inlineStr">
        <is>
          <t xml:space="preserve">MAINTENANCE SERVICE </t>
        </is>
      </c>
      <c r="E631" s="10" t="inlineStr">
        <is>
          <t>YEARLY</t>
        </is>
      </c>
      <c r="F631" s="11" t="n">
        <v>45748</v>
      </c>
      <c r="G631" s="11" t="n">
        <v>46112</v>
      </c>
      <c r="H631" s="12">
        <f>IF(OR($F631="",$G631=""),"",$G631-$F631+1)</f>
        <v/>
      </c>
      <c r="I631" s="10">
        <f>IF($F631="","",IF(MONTH($F631)&gt;=4,YEAR($F631)&amp;"-"&amp;TEXT(YEAR($F631)+1-2000,"00"),YEAR($F631)-1&amp;"-"&amp;TEXT(YEAR($F631)-2000,"00")))</f>
        <v/>
      </c>
      <c r="J631" s="13" t="n">
        <v>4720</v>
      </c>
      <c r="K631" s="14">
        <f>IFERROR($L631/$J631,"")</f>
        <v/>
      </c>
      <c r="L631" s="13" t="n">
        <v>4720</v>
      </c>
      <c r="M631" s="13">
        <f>IFERROR($L631/$H631,"")</f>
        <v/>
      </c>
      <c r="N631" s="11" t="n">
        <v>45847</v>
      </c>
      <c r="O631" s="10">
        <f>IF($N631="","No","Yes")</f>
        <v/>
      </c>
      <c r="P631" s="12">
        <f>IF(OR($F631="",$G631=""),0,IF(AND($F631&lt;=README!$B$4,README!$B$4&lt;=$G631),1,0))</f>
        <v/>
      </c>
      <c r="Q631" s="12">
        <f>IF(OR($F631="",$G631=""),0,IF(AND($F631&lt;=DATE(README!$B$5,12,31),$G631&gt;=DATE(README!$B$5,1,1)),1,0))</f>
        <v/>
      </c>
      <c r="R631" s="10" t="inlineStr">
        <is>
          <t>GUT-VEH0021</t>
        </is>
      </c>
      <c r="S631" s="11" t="n">
        <v>45812</v>
      </c>
      <c r="T631" s="10" t="inlineStr">
        <is>
          <t>5</t>
        </is>
      </c>
      <c r="U631" s="10" t="inlineStr">
        <is>
          <t>VEHICLE</t>
        </is>
      </c>
      <c r="V631" s="10" t="inlineStr">
        <is>
          <t>T</t>
        </is>
      </c>
      <c r="W631" s="10" t="inlineStr">
        <is>
          <t>VIVEK B</t>
        </is>
      </c>
    </row>
    <row r="632">
      <c r="A632" s="10" t="inlineStr">
        <is>
          <t>TN57CK3636</t>
        </is>
      </c>
      <c r="B632" s="10" t="inlineStr">
        <is>
          <t>WOVEN</t>
        </is>
      </c>
      <c r="C632" s="10" t="inlineStr">
        <is>
          <t>ROAD TAX</t>
        </is>
      </c>
      <c r="D632" s="10" t="inlineStr">
        <is>
          <t>ROAD TAX</t>
        </is>
      </c>
      <c r="E632" s="10" t="inlineStr">
        <is>
          <t>QUARTER - IV</t>
        </is>
      </c>
      <c r="F632" s="11" t="n">
        <v>46023</v>
      </c>
      <c r="G632" s="11" t="n">
        <v>46112</v>
      </c>
      <c r="H632" s="12">
        <f>IF(OR($F632="",$G632=""),"",$G632-$F632+1)</f>
        <v/>
      </c>
      <c r="I632" s="10">
        <f>IF($F632="","",IF(MONTH($F632)&gt;=4,YEAR($F632)&amp;"-"&amp;TEXT(YEAR($F632)+1-2000,"00"),YEAR($F632)-1&amp;"-"&amp;TEXT(YEAR($F632)-2000,"00")))</f>
        <v/>
      </c>
      <c r="J632" s="13" t="n">
        <v>32734</v>
      </c>
      <c r="K632" s="14">
        <f>IFERROR($L632/$J632,"")</f>
        <v/>
      </c>
      <c r="L632" s="13" t="n">
        <v>32734</v>
      </c>
      <c r="M632" s="13">
        <f>IFERROR($L632/$H632,"")</f>
        <v/>
      </c>
      <c r="N632" s="11" t="n">
        <v>46065</v>
      </c>
      <c r="O632" s="10">
        <f>IF($N632="","No","Yes")</f>
        <v/>
      </c>
      <c r="P632" s="12">
        <f>IF(OR($F632="",$G632=""),0,IF(AND($F632&lt;=README!$B$4,README!$B$4&lt;=$G632),1,0))</f>
        <v/>
      </c>
      <c r="Q632" s="12">
        <f>IF(OR($F632="",$G632=""),0,IF(AND($F632&lt;=DATE(README!$B$5,12,31),$G632&gt;=DATE(README!$B$5,1,1)),1,0))</f>
        <v/>
      </c>
      <c r="R632" s="10" t="inlineStr">
        <is>
          <t>GUT-VEH0016</t>
        </is>
      </c>
      <c r="S632" s="11" t="n">
        <v>46023</v>
      </c>
      <c r="T632" s="10" t="inlineStr">
        <is>
          <t>5</t>
        </is>
      </c>
      <c r="U632" s="10" t="inlineStr">
        <is>
          <t>VEHICLE</t>
        </is>
      </c>
      <c r="V632" s="10" t="inlineStr">
        <is>
          <t>T</t>
        </is>
      </c>
      <c r="W632" s="10" t="inlineStr">
        <is>
          <t>VIVEK B</t>
        </is>
      </c>
    </row>
    <row r="633">
      <c r="A633" s="10" t="inlineStr">
        <is>
          <t>TN57CK3636</t>
        </is>
      </c>
      <c r="B633" s="10" t="inlineStr">
        <is>
          <t>WOVEN</t>
        </is>
      </c>
      <c r="C633" s="10" t="inlineStr">
        <is>
          <t>ROAD TAX</t>
        </is>
      </c>
      <c r="D633" s="10" t="inlineStr">
        <is>
          <t>ROAD TAX</t>
        </is>
      </c>
      <c r="E633" s="10" t="inlineStr">
        <is>
          <t>QUARTER - I</t>
        </is>
      </c>
      <c r="F633" s="11" t="n">
        <v>46113</v>
      </c>
      <c r="G633" s="11" t="n">
        <v>46203</v>
      </c>
      <c r="H633" s="12">
        <f>IF(OR($F633="",$G633=""),"",$G633-$F633+1)</f>
        <v/>
      </c>
      <c r="I633" s="10">
        <f>IF($F633="","",IF(MONTH($F633)&gt;=4,YEAR($F633)&amp;"-"&amp;TEXT(YEAR($F633)+1-2000,"00"),YEAR($F633)-1&amp;"-"&amp;TEXT(YEAR($F633)-2000,"00")))</f>
        <v/>
      </c>
      <c r="J633" s="13" t="n">
        <v>32734</v>
      </c>
      <c r="K633" s="14">
        <f>IFERROR($L633/$J633,"")</f>
        <v/>
      </c>
      <c r="L633" s="13" t="n">
        <v>32734</v>
      </c>
      <c r="M633" s="13">
        <f>IFERROR($L633/$H633,"")</f>
        <v/>
      </c>
      <c r="N633" s="11" t="n">
        <v>46088</v>
      </c>
      <c r="O633" s="10">
        <f>IF($N633="","No","Yes")</f>
        <v/>
      </c>
      <c r="P633" s="12">
        <f>IF(OR($F633="",$G633=""),0,IF(AND($F633&lt;=README!$B$4,README!$B$4&lt;=$G633),1,0))</f>
        <v/>
      </c>
      <c r="Q633" s="12">
        <f>IF(OR($F633="",$G633=""),0,IF(AND($F633&lt;=DATE(README!$B$5,12,31),$G633&gt;=DATE(README!$B$5,1,1)),1,0))</f>
        <v/>
      </c>
      <c r="R633" s="10" t="inlineStr">
        <is>
          <t>GUT-VEH0029</t>
        </is>
      </c>
      <c r="S633" s="11" t="n">
        <v>46087</v>
      </c>
      <c r="T633" s="10" t="inlineStr">
        <is>
          <t>5</t>
        </is>
      </c>
      <c r="U633" s="10" t="inlineStr">
        <is>
          <t>VEHICLE</t>
        </is>
      </c>
      <c r="V633" s="10" t="inlineStr">
        <is>
          <t>T</t>
        </is>
      </c>
      <c r="W633" s="10" t="inlineStr">
        <is>
          <t>VIVEK B</t>
        </is>
      </c>
    </row>
    <row r="634">
      <c r="A634" s="10" t="inlineStr">
        <is>
          <t>TN57CK3636</t>
        </is>
      </c>
      <c r="B634" s="10" t="inlineStr">
        <is>
          <t>WOVEN</t>
        </is>
      </c>
      <c r="C634" s="10" t="inlineStr">
        <is>
          <t>ROAD TAX</t>
        </is>
      </c>
      <c r="D634" s="10" t="inlineStr">
        <is>
          <t>ROAD TAX</t>
        </is>
      </c>
      <c r="E634" s="10" t="inlineStr">
        <is>
          <t>QUARTER - II</t>
        </is>
      </c>
      <c r="F634" s="11" t="n">
        <v>46204</v>
      </c>
      <c r="G634" s="11" t="n">
        <v>46295</v>
      </c>
      <c r="H634" s="12">
        <f>IF(OR($F634="",$G634=""),"",$G634-$F634+1)</f>
        <v/>
      </c>
      <c r="I634" s="10">
        <f>IF($F634="","",IF(MONTH($F634)&gt;=4,YEAR($F634)&amp;"-"&amp;TEXT(YEAR($F634)+1-2000,"00"),YEAR($F634)-1&amp;"-"&amp;TEXT(YEAR($F634)-2000,"00")))</f>
        <v/>
      </c>
      <c r="J634" s="13" t="n">
        <v>32734</v>
      </c>
      <c r="K634" s="14">
        <f>IFERROR($L634/$J634,"")</f>
        <v/>
      </c>
      <c r="L634" s="13" t="n">
        <v>32734</v>
      </c>
      <c r="M634" s="13">
        <f>IFERROR($L634/$H634,"")</f>
        <v/>
      </c>
      <c r="N634" s="11" t="n">
        <v>46196</v>
      </c>
      <c r="O634" s="10">
        <f>IF($N634="","No","Yes")</f>
        <v/>
      </c>
      <c r="P634" s="12">
        <f>IF(OR($F634="",$G634=""),0,IF(AND($F634&lt;=README!$B$4,README!$B$4&lt;=$G634),1,0))</f>
        <v/>
      </c>
      <c r="Q634" s="12">
        <f>IF(OR($F634="",$G634=""),0,IF(AND($F634&lt;=DATE(README!$B$5,12,31),$G634&gt;=DATE(README!$B$5,1,1)),1,0))</f>
        <v/>
      </c>
      <c r="R634" s="10" t="inlineStr">
        <is>
          <t>GUT-VEH0038</t>
        </is>
      </c>
      <c r="S634" s="11" t="n">
        <v>46193</v>
      </c>
      <c r="T634" s="10" t="inlineStr">
        <is>
          <t>5</t>
        </is>
      </c>
      <c r="U634" s="10" t="inlineStr">
        <is>
          <t>VEHICLE</t>
        </is>
      </c>
      <c r="V634" s="10" t="inlineStr">
        <is>
          <t>T</t>
        </is>
      </c>
      <c r="W634" s="10" t="inlineStr">
        <is>
          <t>VIVEK B</t>
        </is>
      </c>
    </row>
    <row r="635">
      <c r="A635" s="10" t="inlineStr">
        <is>
          <t>TN57CL3434</t>
        </is>
      </c>
      <c r="B635" s="10" t="inlineStr">
        <is>
          <t>GENERAL</t>
        </is>
      </c>
      <c r="C635" s="10" t="inlineStr">
        <is>
          <t>VEHICLE OUTSIDE SERVICES</t>
        </is>
      </c>
      <c r="D635" s="10" t="inlineStr">
        <is>
          <t>GLASS STICKERS</t>
        </is>
      </c>
      <c r="E635" s="10" t="inlineStr">
        <is>
          <t>MARCH</t>
        </is>
      </c>
      <c r="F635" s="11" t="n">
        <v>46082</v>
      </c>
      <c r="G635" s="11" t="n">
        <v>46112</v>
      </c>
      <c r="H635" s="12">
        <f>IF(OR($F635="",$G635=""),"",$G635-$F635+1)</f>
        <v/>
      </c>
      <c r="I635" s="10">
        <f>IF($F635="","",IF(MONTH($F635)&gt;=4,YEAR($F635)&amp;"-"&amp;TEXT(YEAR($F635)+1-2000,"00"),YEAR($F635)-1&amp;"-"&amp;TEXT(YEAR($F635)-2000,"00")))</f>
        <v/>
      </c>
      <c r="J635" s="13" t="n">
        <v>4200</v>
      </c>
      <c r="K635" s="14">
        <f>IFERROR($L635/$J635,"")</f>
        <v/>
      </c>
      <c r="L635" s="13" t="n">
        <v>4200</v>
      </c>
      <c r="M635" s="13">
        <f>IFERROR($L635/$H635,"")</f>
        <v/>
      </c>
      <c r="N635" s="11" t="n">
        <v>46104</v>
      </c>
      <c r="O635" s="10">
        <f>IF($N635="","No","Yes")</f>
        <v/>
      </c>
      <c r="P635" s="12">
        <f>IF(OR($F635="",$G635=""),0,IF(AND($F635&lt;=README!$B$4,README!$B$4&lt;=$G635),1,0))</f>
        <v/>
      </c>
      <c r="Q635" s="12">
        <f>IF(OR($F635="",$G635=""),0,IF(AND($F635&lt;=DATE(README!$B$5,12,31),$G635&gt;=DATE(README!$B$5,1,1)),1,0))</f>
        <v/>
      </c>
      <c r="R635" s="10" t="inlineStr">
        <is>
          <t>GUP-VEH0019</t>
        </is>
      </c>
      <c r="S635" s="11" t="n">
        <v>45777</v>
      </c>
      <c r="T635" s="10" t="inlineStr">
        <is>
          <t>638</t>
        </is>
      </c>
      <c r="U635" s="10" t="inlineStr">
        <is>
          <t>VEHICLE</t>
        </is>
      </c>
      <c r="V635" s="10" t="inlineStr">
        <is>
          <t>T</t>
        </is>
      </c>
      <c r="W635" s="10" t="inlineStr">
        <is>
          <t>VIVEK B</t>
        </is>
      </c>
    </row>
    <row r="636">
      <c r="A636" s="10" t="inlineStr">
        <is>
          <t>TN57CL3434</t>
        </is>
      </c>
      <c r="B636" s="10" t="inlineStr">
        <is>
          <t>SOCKS</t>
        </is>
      </c>
      <c r="C636" s="10" t="inlineStr">
        <is>
          <t>ROAD TAX</t>
        </is>
      </c>
      <c r="D636" s="10" t="inlineStr">
        <is>
          <t>ROAD TAX</t>
        </is>
      </c>
      <c r="E636" s="10" t="inlineStr">
        <is>
          <t>QUARTER - I</t>
        </is>
      </c>
      <c r="F636" s="11" t="n">
        <v>46113</v>
      </c>
      <c r="G636" s="11" t="n">
        <v>46203</v>
      </c>
      <c r="H636" s="12">
        <f>IF(OR($F636="",$G636=""),"",$G636-$F636+1)</f>
        <v/>
      </c>
      <c r="I636" s="10">
        <f>IF($F636="","",IF(MONTH($F636)&gt;=4,YEAR($F636)&amp;"-"&amp;TEXT(YEAR($F636)+1-2000,"00"),YEAR($F636)-1&amp;"-"&amp;TEXT(YEAR($F636)-2000,"00")))</f>
        <v/>
      </c>
      <c r="J636" s="13" t="n">
        <v>32734</v>
      </c>
      <c r="K636" s="14">
        <f>IFERROR($L636/$J636,"")</f>
        <v/>
      </c>
      <c r="L636" s="13" t="n">
        <v>32734</v>
      </c>
      <c r="M636" s="13">
        <f>IFERROR($L636/$H636,"")</f>
        <v/>
      </c>
      <c r="N636" s="11" t="n">
        <v>46088</v>
      </c>
      <c r="O636" s="10">
        <f>IF($N636="","No","Yes")</f>
        <v/>
      </c>
      <c r="P636" s="12">
        <f>IF(OR($F636="",$G636=""),0,IF(AND($F636&lt;=README!$B$4,README!$B$4&lt;=$G636),1,0))</f>
        <v/>
      </c>
      <c r="Q636" s="12">
        <f>IF(OR($F636="",$G636=""),0,IF(AND($F636&lt;=DATE(README!$B$5,12,31),$G636&gt;=DATE(README!$B$5,1,1)),1,0))</f>
        <v/>
      </c>
      <c r="R636" s="10" t="inlineStr">
        <is>
          <t>GUP-VEH0030</t>
        </is>
      </c>
      <c r="S636" s="11" t="n">
        <v>46113</v>
      </c>
      <c r="T636" s="10" t="inlineStr">
        <is>
          <t>796</t>
        </is>
      </c>
      <c r="U636" s="10" t="inlineStr">
        <is>
          <t>VEHICLE</t>
        </is>
      </c>
      <c r="V636" s="10" t="inlineStr">
        <is>
          <t>T</t>
        </is>
      </c>
      <c r="W636" s="10" t="inlineStr">
        <is>
          <t>VIVEK B</t>
        </is>
      </c>
    </row>
    <row r="637">
      <c r="A637" s="10" t="inlineStr">
        <is>
          <t>TN57CL3434</t>
        </is>
      </c>
      <c r="B637" s="10" t="inlineStr">
        <is>
          <t>SOCKS</t>
        </is>
      </c>
      <c r="C637" s="10" t="inlineStr">
        <is>
          <t>ROAD TAX</t>
        </is>
      </c>
      <c r="D637" s="10" t="inlineStr">
        <is>
          <t>ROAD TAX</t>
        </is>
      </c>
      <c r="E637" s="10" t="inlineStr">
        <is>
          <t>QUARTER - II</t>
        </is>
      </c>
      <c r="F637" s="11" t="n">
        <v>46204</v>
      </c>
      <c r="G637" s="11" t="n">
        <v>46295</v>
      </c>
      <c r="H637" s="12">
        <f>IF(OR($F637="",$G637=""),"",$G637-$F637+1)</f>
        <v/>
      </c>
      <c r="I637" s="10">
        <f>IF($F637="","",IF(MONTH($F637)&gt;=4,YEAR($F637)&amp;"-"&amp;TEXT(YEAR($F637)+1-2000,"00"),YEAR($F637)-1&amp;"-"&amp;TEXT(YEAR($F637)-2000,"00")))</f>
        <v/>
      </c>
      <c r="J637" s="13" t="n">
        <v>32734</v>
      </c>
      <c r="K637" s="14">
        <f>IFERROR($L637/$J637,"")</f>
        <v/>
      </c>
      <c r="L637" s="13" t="n">
        <v>32734</v>
      </c>
      <c r="M637" s="13">
        <f>IFERROR($L637/$H637,"")</f>
        <v/>
      </c>
      <c r="N637" s="11" t="n">
        <v>46196</v>
      </c>
      <c r="O637" s="10">
        <f>IF($N637="","No","Yes")</f>
        <v/>
      </c>
      <c r="P637" s="12">
        <f>IF(OR($F637="",$G637=""),0,IF(AND($F637&lt;=README!$B$4,README!$B$4&lt;=$G637),1,0))</f>
        <v/>
      </c>
      <c r="Q637" s="12">
        <f>IF(OR($F637="",$G637=""),0,IF(AND($F637&lt;=DATE(README!$B$5,12,31),$G637&gt;=DATE(README!$B$5,1,1)),1,0))</f>
        <v/>
      </c>
      <c r="R637" s="10" t="inlineStr">
        <is>
          <t>GUP-VEH0030</t>
        </is>
      </c>
      <c r="S637" s="11" t="n">
        <v>46113</v>
      </c>
      <c r="T637" s="10" t="inlineStr">
        <is>
          <t>796</t>
        </is>
      </c>
      <c r="U637" s="10" t="inlineStr">
        <is>
          <t>VEHICLE</t>
        </is>
      </c>
      <c r="V637" s="10" t="inlineStr">
        <is>
          <t>T</t>
        </is>
      </c>
      <c r="W637" s="10" t="inlineStr">
        <is>
          <t>VIVEK B</t>
        </is>
      </c>
    </row>
    <row r="638">
      <c r="A638" s="10" t="inlineStr">
        <is>
          <t>TN57CL3636</t>
        </is>
      </c>
      <c r="B638" s="10" t="inlineStr">
        <is>
          <t>GENERAL</t>
        </is>
      </c>
      <c r="C638" s="10" t="inlineStr">
        <is>
          <t>VEHICLE OUTSIDE SERVICES</t>
        </is>
      </c>
      <c r="D638" s="10" t="inlineStr">
        <is>
          <t xml:space="preserve">MAINTENANCE SERVICE </t>
        </is>
      </c>
      <c r="E638" s="10" t="inlineStr">
        <is>
          <t>YEARLY</t>
        </is>
      </c>
      <c r="F638" s="11" t="n">
        <v>45748</v>
      </c>
      <c r="G638" s="11" t="n">
        <v>46112</v>
      </c>
      <c r="H638" s="12">
        <f>IF(OR($F638="",$G638=""),"",$G638-$F638+1)</f>
        <v/>
      </c>
      <c r="I638" s="10">
        <f>IF($F638="","",IF(MONTH($F638)&gt;=4,YEAR($F638)&amp;"-"&amp;TEXT(YEAR($F638)+1-2000,"00"),YEAR($F638)-1&amp;"-"&amp;TEXT(YEAR($F638)-2000,"00")))</f>
        <v/>
      </c>
      <c r="J638" s="13" t="n">
        <v>2570</v>
      </c>
      <c r="K638" s="14">
        <f>IFERROR($L638/$J638,"")</f>
        <v/>
      </c>
      <c r="L638" s="13" t="n">
        <v>2570</v>
      </c>
      <c r="M638" s="13">
        <f>IFERROR($L638/$H638,"")</f>
        <v/>
      </c>
      <c r="N638" s="11" t="n">
        <v>45925</v>
      </c>
      <c r="O638" s="10">
        <f>IF($N638="","No","Yes")</f>
        <v/>
      </c>
      <c r="P638" s="12">
        <f>IF(OR($F638="",$G638=""),0,IF(AND($F638&lt;=README!$B$4,README!$B$4&lt;=$G638),1,0))</f>
        <v/>
      </c>
      <c r="Q638" s="12">
        <f>IF(OR($F638="",$G638=""),0,IF(AND($F638&lt;=DATE(README!$B$5,12,31),$G638&gt;=DATE(README!$B$5,1,1)),1,0))</f>
        <v/>
      </c>
      <c r="R638" s="10" t="inlineStr">
        <is>
          <t>GUP-VEH0019</t>
        </is>
      </c>
      <c r="S638" s="11" t="n">
        <v>45777</v>
      </c>
      <c r="T638" s="10" t="inlineStr">
        <is>
          <t>638</t>
        </is>
      </c>
      <c r="U638" s="10" t="inlineStr">
        <is>
          <t>VEHICLE</t>
        </is>
      </c>
      <c r="V638" s="10" t="inlineStr">
        <is>
          <t>T</t>
        </is>
      </c>
      <c r="W638" s="10" t="inlineStr">
        <is>
          <t>VIVEK B</t>
        </is>
      </c>
    </row>
    <row r="639">
      <c r="A639" s="10" t="inlineStr">
        <is>
          <t>TN57CL3636</t>
        </is>
      </c>
      <c r="B639" s="10" t="inlineStr">
        <is>
          <t>GENERAL</t>
        </is>
      </c>
      <c r="C639" s="10" t="inlineStr">
        <is>
          <t>VEHICLE OUTSIDE SERVICES</t>
        </is>
      </c>
      <c r="D639" s="10" t="inlineStr">
        <is>
          <t>CAR ACCESSORIES</t>
        </is>
      </c>
      <c r="E639" s="10" t="inlineStr">
        <is>
          <t>YEARLY</t>
        </is>
      </c>
      <c r="F639" s="11" t="n">
        <v>45748</v>
      </c>
      <c r="G639" s="11" t="n">
        <v>46112</v>
      </c>
      <c r="H639" s="12">
        <f>IF(OR($F639="",$G639=""),"",$G639-$F639+1)</f>
        <v/>
      </c>
      <c r="I639" s="10">
        <f>IF($F639="","",IF(MONTH($F639)&gt;=4,YEAR($F639)&amp;"-"&amp;TEXT(YEAR($F639)+1-2000,"00"),YEAR($F639)-1&amp;"-"&amp;TEXT(YEAR($F639)-2000,"00")))</f>
        <v/>
      </c>
      <c r="J639" s="13" t="n">
        <v>4100</v>
      </c>
      <c r="K639" s="14">
        <f>IFERROR($L639/$J639,"")</f>
        <v/>
      </c>
      <c r="L639" s="13" t="n">
        <v>4100</v>
      </c>
      <c r="M639" s="13">
        <f>IFERROR($L639/$H639,"")</f>
        <v/>
      </c>
      <c r="N639" s="11" t="n">
        <v>45965</v>
      </c>
      <c r="O639" s="10">
        <f>IF($N639="","No","Yes")</f>
        <v/>
      </c>
      <c r="P639" s="12">
        <f>IF(OR($F639="",$G639=""),0,IF(AND($F639&lt;=README!$B$4,README!$B$4&lt;=$G639),1,0))</f>
        <v/>
      </c>
      <c r="Q639" s="12">
        <f>IF(OR($F639="",$G639=""),0,IF(AND($F639&lt;=DATE(README!$B$5,12,31),$G639&gt;=DATE(README!$B$5,1,1)),1,0))</f>
        <v/>
      </c>
      <c r="R639" s="10" t="inlineStr">
        <is>
          <t>GUP-VEH0019</t>
        </is>
      </c>
      <c r="S639" s="11" t="n">
        <v>45777</v>
      </c>
      <c r="T639" s="10" t="inlineStr">
        <is>
          <t>638</t>
        </is>
      </c>
      <c r="U639" s="10" t="inlineStr">
        <is>
          <t>VEHICLE</t>
        </is>
      </c>
      <c r="V639" s="10" t="inlineStr">
        <is>
          <t>T</t>
        </is>
      </c>
      <c r="W639" s="10" t="inlineStr">
        <is>
          <t>VIVEK B</t>
        </is>
      </c>
    </row>
    <row r="640">
      <c r="A640" s="10" t="inlineStr">
        <is>
          <t>TN57CL3636</t>
        </is>
      </c>
      <c r="B640" s="10" t="inlineStr">
        <is>
          <t>GENERAL</t>
        </is>
      </c>
      <c r="C640" s="10" t="inlineStr">
        <is>
          <t>VEHICLE OUTSIDE SERVICES</t>
        </is>
      </c>
      <c r="D640" s="10" t="inlineStr">
        <is>
          <t>MAINTENANCE SERVICE - 2</t>
        </is>
      </c>
      <c r="E640" s="10" t="inlineStr">
        <is>
          <t>NOVEMBER</t>
        </is>
      </c>
      <c r="F640" s="11" t="n">
        <v>45962</v>
      </c>
      <c r="G640" s="11" t="n">
        <v>45991</v>
      </c>
      <c r="H640" s="12">
        <f>IF(OR($F640="",$G640=""),"",$G640-$F640+1)</f>
        <v/>
      </c>
      <c r="I640" s="10">
        <f>IF($F640="","",IF(MONTH($F640)&gt;=4,YEAR($F640)&amp;"-"&amp;TEXT(YEAR($F640)+1-2000,"00"),YEAR($F640)-1&amp;"-"&amp;TEXT(YEAR($F640)-2000,"00")))</f>
        <v/>
      </c>
      <c r="J640" s="13" t="n">
        <v>3617</v>
      </c>
      <c r="K640" s="14">
        <f>IFERROR($L640/$J640,"")</f>
        <v/>
      </c>
      <c r="L640" s="13" t="n">
        <v>3617</v>
      </c>
      <c r="M640" s="13">
        <f>IFERROR($L640/$H640,"")</f>
        <v/>
      </c>
      <c r="N640" s="11" t="n">
        <v>45986</v>
      </c>
      <c r="O640" s="10">
        <f>IF($N640="","No","Yes")</f>
        <v/>
      </c>
      <c r="P640" s="12">
        <f>IF(OR($F640="",$G640=""),0,IF(AND($F640&lt;=README!$B$4,README!$B$4&lt;=$G640),1,0))</f>
        <v/>
      </c>
      <c r="Q640" s="12">
        <f>IF(OR($F640="",$G640=""),0,IF(AND($F640&lt;=DATE(README!$B$5,12,31),$G640&gt;=DATE(README!$B$5,1,1)),1,0))</f>
        <v/>
      </c>
      <c r="R640" s="10" t="inlineStr">
        <is>
          <t>GUP-VEH0019</t>
        </is>
      </c>
      <c r="S640" s="11" t="n">
        <v>45777</v>
      </c>
      <c r="T640" s="10" t="inlineStr">
        <is>
          <t>638</t>
        </is>
      </c>
      <c r="U640" s="10" t="inlineStr">
        <is>
          <t>VEHICLE</t>
        </is>
      </c>
      <c r="V640" s="10" t="inlineStr">
        <is>
          <t>T</t>
        </is>
      </c>
      <c r="W640" s="10" t="inlineStr">
        <is>
          <t>VIVEK B</t>
        </is>
      </c>
    </row>
    <row r="641">
      <c r="A641" s="10" t="inlineStr">
        <is>
          <t>TN57CL3636</t>
        </is>
      </c>
      <c r="B641" s="10" t="inlineStr"/>
      <c r="C641" s="10" t="inlineStr">
        <is>
          <t>VEHICLE OUTSIDE SERVICES</t>
        </is>
      </c>
      <c r="D641" s="10" t="inlineStr">
        <is>
          <t xml:space="preserve">MAINTENANCE SERVICE </t>
        </is>
      </c>
      <c r="E641" s="10" t="inlineStr">
        <is>
          <t>FEBRUARY</t>
        </is>
      </c>
      <c r="F641" s="11" t="n">
        <v>46054</v>
      </c>
      <c r="G641" s="11" t="n">
        <v>46081</v>
      </c>
      <c r="H641" s="12">
        <f>IF(OR($F641="",$G641=""),"",$G641-$F641+1)</f>
        <v/>
      </c>
      <c r="I641" s="10">
        <f>IF($F641="","",IF(MONTH($F641)&gt;=4,YEAR($F641)&amp;"-"&amp;TEXT(YEAR($F641)+1-2000,"00"),YEAR($F641)-1&amp;"-"&amp;TEXT(YEAR($F641)-2000,"00")))</f>
        <v/>
      </c>
      <c r="J641" s="13" t="n">
        <v>8289</v>
      </c>
      <c r="K641" s="14">
        <f>IFERROR($L641/$J641,"")</f>
        <v/>
      </c>
      <c r="L641" s="13" t="n">
        <v>8289</v>
      </c>
      <c r="M641" s="13">
        <f>IFERROR($L641/$H641,"")</f>
        <v/>
      </c>
      <c r="N641" s="11" t="n">
        <v>46062</v>
      </c>
      <c r="O641" s="10">
        <f>IF($N641="","No","Yes")</f>
        <v/>
      </c>
      <c r="P641" s="12">
        <f>IF(OR($F641="",$G641=""),0,IF(AND($F641&lt;=README!$B$4,README!$B$4&lt;=$G641),1,0))</f>
        <v/>
      </c>
      <c r="Q641" s="12">
        <f>IF(OR($F641="",$G641=""),0,IF(AND($F641&lt;=DATE(README!$B$5,12,31),$G641&gt;=DATE(README!$B$5,1,1)),1,0))</f>
        <v/>
      </c>
      <c r="R641" s="10" t="inlineStr">
        <is>
          <t>GUT-VEH0021</t>
        </is>
      </c>
      <c r="S641" s="11" t="n">
        <v>45812</v>
      </c>
      <c r="T641" s="10" t="inlineStr">
        <is>
          <t>5</t>
        </is>
      </c>
      <c r="U641" s="10" t="inlineStr">
        <is>
          <t>VEHICLE</t>
        </is>
      </c>
      <c r="V641" s="10" t="inlineStr">
        <is>
          <t>T</t>
        </is>
      </c>
      <c r="W641" s="10" t="inlineStr">
        <is>
          <t>VIVEK B</t>
        </is>
      </c>
    </row>
    <row r="642">
      <c r="A642" s="10" t="inlineStr">
        <is>
          <t>TN57CL3636</t>
        </is>
      </c>
      <c r="B642" s="10" t="inlineStr">
        <is>
          <t>SOCKS</t>
        </is>
      </c>
      <c r="C642" s="10" t="inlineStr">
        <is>
          <t>VEHICLE INSURANCE</t>
        </is>
      </c>
      <c r="D642" s="10" t="inlineStr">
        <is>
          <t>VEHICLE INSURANCE</t>
        </is>
      </c>
      <c r="E642" s="10" t="inlineStr">
        <is>
          <t>YEARLY</t>
        </is>
      </c>
      <c r="F642" s="11" t="n">
        <v>46113</v>
      </c>
      <c r="G642" s="11" t="n">
        <v>46477</v>
      </c>
      <c r="H642" s="12">
        <f>IF(OR($F642="",$G642=""),"",$G642-$F642+1)</f>
        <v/>
      </c>
      <c r="I642" s="10">
        <f>IF($F642="","",IF(MONTH($F642)&gt;=4,YEAR($F642)&amp;"-"&amp;TEXT(YEAR($F642)+1-2000,"00"),YEAR($F642)-1&amp;"-"&amp;TEXT(YEAR($F642)-2000,"00")))</f>
        <v/>
      </c>
      <c r="J642" s="13" t="n">
        <v>30978</v>
      </c>
      <c r="K642" s="14">
        <f>IFERROR($L642/$J642,"")</f>
        <v/>
      </c>
      <c r="L642" s="13" t="n">
        <v>30978</v>
      </c>
      <c r="M642" s="13">
        <f>IFERROR($L642/$H642,"")</f>
        <v/>
      </c>
      <c r="N642" s="11" t="n">
        <v>46219</v>
      </c>
      <c r="O642" s="10">
        <f>IF($N642="","No","Yes")</f>
        <v/>
      </c>
      <c r="P642" s="12">
        <f>IF(OR($F642="",$G642=""),0,IF(AND($F642&lt;=README!$B$4,README!$B$4&lt;=$G642),1,0))</f>
        <v/>
      </c>
      <c r="Q642" s="12">
        <f>IF(OR($F642="",$G642=""),0,IF(AND($F642&lt;=DATE(README!$B$5,12,31),$G642&gt;=DATE(README!$B$5,1,1)),1,0))</f>
        <v/>
      </c>
      <c r="R642" s="10" t="inlineStr">
        <is>
          <t>GUP-VEH0038</t>
        </is>
      </c>
      <c r="S642" s="11" t="n">
        <v>46162</v>
      </c>
      <c r="T642" s="10" t="inlineStr">
        <is>
          <t>859</t>
        </is>
      </c>
      <c r="U642" s="10" t="inlineStr">
        <is>
          <t>VEHICLE</t>
        </is>
      </c>
      <c r="V642" s="10" t="inlineStr">
        <is>
          <t>T</t>
        </is>
      </c>
      <c r="W642" s="10" t="inlineStr">
        <is>
          <t>VIVEK B</t>
        </is>
      </c>
    </row>
    <row r="643">
      <c r="A643" s="10" t="inlineStr">
        <is>
          <t>TN57CL3636</t>
        </is>
      </c>
      <c r="B643" s="10" t="inlineStr">
        <is>
          <t>WOVEN</t>
        </is>
      </c>
      <c r="C643" s="10" t="inlineStr">
        <is>
          <t>VEHICLE OUTSIDE SERVICES</t>
        </is>
      </c>
      <c r="D643" s="10" t="inlineStr">
        <is>
          <t xml:space="preserve">MAINTENANCE SERVICE </t>
        </is>
      </c>
      <c r="E643" s="10" t="inlineStr">
        <is>
          <t>APRIL</t>
        </is>
      </c>
      <c r="F643" s="11" t="n">
        <v>46113</v>
      </c>
      <c r="G643" s="11" t="n">
        <v>46142</v>
      </c>
      <c r="H643" s="12">
        <f>IF(OR($F643="",$G643=""),"",$G643-$F643+1)</f>
        <v/>
      </c>
      <c r="I643" s="10">
        <f>IF($F643="","",IF(MONTH($F643)&gt;=4,YEAR($F643)&amp;"-"&amp;TEXT(YEAR($F643)+1-2000,"00"),YEAR($F643)-1&amp;"-"&amp;TEXT(YEAR($F643)-2000,"00")))</f>
        <v/>
      </c>
      <c r="J643" s="13" t="n">
        <v>5812</v>
      </c>
      <c r="K643" s="14">
        <f>IFERROR($L643/$J643,"")</f>
        <v/>
      </c>
      <c r="L643" s="13" t="n">
        <v>5812</v>
      </c>
      <c r="M643" s="13">
        <f>IFERROR($L643/$H643,"")</f>
        <v/>
      </c>
      <c r="N643" s="11" t="n">
        <v>46137</v>
      </c>
      <c r="O643" s="10">
        <f>IF($N643="","No","Yes")</f>
        <v/>
      </c>
      <c r="P643" s="12">
        <f>IF(OR($F643="",$G643=""),0,IF(AND($F643&lt;=README!$B$4,README!$B$4&lt;=$G643),1,0))</f>
        <v/>
      </c>
      <c r="Q643" s="12">
        <f>IF(OR($F643="",$G643=""),0,IF(AND($F643&lt;=DATE(README!$B$5,12,31),$G643&gt;=DATE(README!$B$5,1,1)),1,0))</f>
        <v/>
      </c>
      <c r="R643" s="10" t="inlineStr">
        <is>
          <t>GUT-VEH0032</t>
        </is>
      </c>
      <c r="S643" s="11" t="n">
        <v>46137</v>
      </c>
      <c r="T643" s="10" t="inlineStr">
        <is>
          <t>5</t>
        </is>
      </c>
      <c r="U643" s="10" t="inlineStr">
        <is>
          <t>VEHICLE</t>
        </is>
      </c>
      <c r="V643" s="10" t="inlineStr">
        <is>
          <t>T</t>
        </is>
      </c>
      <c r="W643" s="10" t="inlineStr">
        <is>
          <t>VIVEK B</t>
        </is>
      </c>
    </row>
    <row r="644">
      <c r="A644" s="10" t="inlineStr">
        <is>
          <t>TN57CM3636</t>
        </is>
      </c>
      <c r="B644" s="10" t="inlineStr"/>
      <c r="C644" s="10" t="inlineStr">
        <is>
          <t>VEHICLE OUTSIDE SERVICES</t>
        </is>
      </c>
      <c r="D644" s="10" t="inlineStr">
        <is>
          <t>MAINTENANCE SERVICE - 2</t>
        </is>
      </c>
      <c r="E644" s="10" t="inlineStr">
        <is>
          <t>FEBRUARY</t>
        </is>
      </c>
      <c r="F644" s="11" t="n">
        <v>46054</v>
      </c>
      <c r="G644" s="11" t="n">
        <v>46081</v>
      </c>
      <c r="H644" s="12">
        <f>IF(OR($F644="",$G644=""),"",$G644-$F644+1)</f>
        <v/>
      </c>
      <c r="I644" s="10">
        <f>IF($F644="","",IF(MONTH($F644)&gt;=4,YEAR($F644)&amp;"-"&amp;TEXT(YEAR($F644)+1-2000,"00"),YEAR($F644)-1&amp;"-"&amp;TEXT(YEAR($F644)-2000,"00")))</f>
        <v/>
      </c>
      <c r="J644" s="13" t="n">
        <v>2582</v>
      </c>
      <c r="K644" s="14">
        <f>IFERROR($L644/$J644,"")</f>
        <v/>
      </c>
      <c r="L644" s="13" t="n">
        <v>2582</v>
      </c>
      <c r="M644" s="13">
        <f>IFERROR($L644/$H644,"")</f>
        <v/>
      </c>
      <c r="N644" s="11" t="n">
        <v>46071</v>
      </c>
      <c r="O644" s="10">
        <f>IF($N644="","No","Yes")</f>
        <v/>
      </c>
      <c r="P644" s="12">
        <f>IF(OR($F644="",$G644=""),0,IF(AND($F644&lt;=README!$B$4,README!$B$4&lt;=$G644),1,0))</f>
        <v/>
      </c>
      <c r="Q644" s="12">
        <f>IF(OR($F644="",$G644=""),0,IF(AND($F644&lt;=DATE(README!$B$5,12,31),$G644&gt;=DATE(README!$B$5,1,1)),1,0))</f>
        <v/>
      </c>
      <c r="R644" s="10" t="inlineStr">
        <is>
          <t>GUT-VEH0021</t>
        </is>
      </c>
      <c r="S644" s="11" t="n">
        <v>45812</v>
      </c>
      <c r="T644" s="10" t="inlineStr">
        <is>
          <t>5</t>
        </is>
      </c>
      <c r="U644" s="10" t="inlineStr">
        <is>
          <t>VEHICLE</t>
        </is>
      </c>
      <c r="V644" s="10" t="inlineStr">
        <is>
          <t>T</t>
        </is>
      </c>
      <c r="W644" s="10" t="inlineStr">
        <is>
          <t>VIVEK B</t>
        </is>
      </c>
    </row>
    <row r="645">
      <c r="A645" s="10" t="inlineStr">
        <is>
          <t>TN57CM3636</t>
        </is>
      </c>
      <c r="B645" s="10" t="inlineStr">
        <is>
          <t>WOVEN</t>
        </is>
      </c>
      <c r="C645" s="10" t="inlineStr">
        <is>
          <t>VEHICLE OUTSIDE SERVICES</t>
        </is>
      </c>
      <c r="D645" s="10" t="inlineStr">
        <is>
          <t xml:space="preserve">MAINTENANCE SERVICE </t>
        </is>
      </c>
      <c r="E645" s="10" t="inlineStr">
        <is>
          <t>APRIL</t>
        </is>
      </c>
      <c r="F645" s="11" t="n">
        <v>46113</v>
      </c>
      <c r="G645" s="11" t="n">
        <v>46142</v>
      </c>
      <c r="H645" s="12">
        <f>IF(OR($F645="",$G645=""),"",$G645-$F645+1)</f>
        <v/>
      </c>
      <c r="I645" s="10">
        <f>IF($F645="","",IF(MONTH($F645)&gt;=4,YEAR($F645)&amp;"-"&amp;TEXT(YEAR($F645)+1-2000,"00"),YEAR($F645)-1&amp;"-"&amp;TEXT(YEAR($F645)-2000,"00")))</f>
        <v/>
      </c>
      <c r="J645" s="13" t="n">
        <v>5354</v>
      </c>
      <c r="K645" s="14">
        <f>IFERROR($L645/$J645,"")</f>
        <v/>
      </c>
      <c r="L645" s="13" t="n">
        <v>5354</v>
      </c>
      <c r="M645" s="13">
        <f>IFERROR($L645/$H645,"")</f>
        <v/>
      </c>
      <c r="N645" s="11" t="n">
        <v>46137</v>
      </c>
      <c r="O645" s="10">
        <f>IF($N645="","No","Yes")</f>
        <v/>
      </c>
      <c r="P645" s="12">
        <f>IF(OR($F645="",$G645=""),0,IF(AND($F645&lt;=README!$B$4,README!$B$4&lt;=$G645),1,0))</f>
        <v/>
      </c>
      <c r="Q645" s="12">
        <f>IF(OR($F645="",$G645=""),0,IF(AND($F645&lt;=DATE(README!$B$5,12,31),$G645&gt;=DATE(README!$B$5,1,1)),1,0))</f>
        <v/>
      </c>
      <c r="R645" s="10" t="inlineStr">
        <is>
          <t>GUT-VEH0032</t>
        </is>
      </c>
      <c r="S645" s="11" t="n">
        <v>46137</v>
      </c>
      <c r="T645" s="10" t="inlineStr">
        <is>
          <t>5</t>
        </is>
      </c>
      <c r="U645" s="10" t="inlineStr">
        <is>
          <t>VEHICLE</t>
        </is>
      </c>
      <c r="V645" s="10" t="inlineStr">
        <is>
          <t>T</t>
        </is>
      </c>
      <c r="W645" s="10" t="inlineStr">
        <is>
          <t>VIVEK B</t>
        </is>
      </c>
    </row>
    <row r="646">
      <c r="A646" s="10" t="inlineStr">
        <is>
          <t>TN58BJ3434</t>
        </is>
      </c>
      <c r="B646" s="10" t="inlineStr">
        <is>
          <t>WOVEN</t>
        </is>
      </c>
      <c r="C646" s="10" t="inlineStr">
        <is>
          <t>ADBLU</t>
        </is>
      </c>
      <c r="D646" s="10" t="inlineStr">
        <is>
          <t>ADBLU</t>
        </is>
      </c>
      <c r="E646" s="10" t="inlineStr">
        <is>
          <t>YEARLY</t>
        </is>
      </c>
      <c r="F646" s="11" t="n">
        <v>45383</v>
      </c>
      <c r="G646" s="11" t="n">
        <v>45747</v>
      </c>
      <c r="H646" s="12">
        <f>IF(OR($F646="",$G646=""),"",$G646-$F646+1)</f>
        <v/>
      </c>
      <c r="I646" s="10">
        <f>IF($F646="","",IF(MONTH($F646)&gt;=4,YEAR($F646)&amp;"-"&amp;TEXT(YEAR($F646)+1-2000,"00"),YEAR($F646)-1&amp;"-"&amp;TEXT(YEAR($F646)-2000,"00")))</f>
        <v/>
      </c>
      <c r="J646" s="13" t="n">
        <v>61</v>
      </c>
      <c r="K646" s="14">
        <f>IFERROR($L646/$J646,"")</f>
        <v/>
      </c>
      <c r="L646" s="13" t="n">
        <v>1525</v>
      </c>
      <c r="M646" s="13">
        <f>IFERROR($L646/$H646,"")</f>
        <v/>
      </c>
      <c r="N646" s="11" t="n">
        <v>45479</v>
      </c>
      <c r="O646" s="10">
        <f>IF($N646="","No","Yes")</f>
        <v/>
      </c>
      <c r="P646" s="12">
        <f>IF(OR($F646="",$G646=""),0,IF(AND($F646&lt;=README!$B$4,README!$B$4&lt;=$G646),1,0))</f>
        <v/>
      </c>
      <c r="Q646" s="12">
        <f>IF(OR($F646="",$G646=""),0,IF(AND($F646&lt;=DATE(README!$B$5,12,31),$G646&gt;=DATE(README!$B$5,1,1)),1,0))</f>
        <v/>
      </c>
      <c r="R646" s="10" t="inlineStr">
        <is>
          <t>GUT-VEH0008</t>
        </is>
      </c>
      <c r="S646" s="11" t="n">
        <v>45475</v>
      </c>
      <c r="T646" s="10" t="inlineStr">
        <is>
          <t>3</t>
        </is>
      </c>
      <c r="U646" s="10" t="inlineStr">
        <is>
          <t>VEHICLE</t>
        </is>
      </c>
      <c r="V646" s="10" t="inlineStr">
        <is>
          <t>T</t>
        </is>
      </c>
      <c r="W646" s="10" t="inlineStr">
        <is>
          <t>VIVEK B</t>
        </is>
      </c>
    </row>
    <row r="647">
      <c r="A647" s="10" t="inlineStr">
        <is>
          <t>TN58BJ3434</t>
        </is>
      </c>
      <c r="B647" s="10" t="inlineStr">
        <is>
          <t>WOVEN</t>
        </is>
      </c>
      <c r="C647" s="10" t="inlineStr">
        <is>
          <t>ADBLU</t>
        </is>
      </c>
      <c r="D647" s="10" t="inlineStr">
        <is>
          <t>ADBLU</t>
        </is>
      </c>
      <c r="E647" s="10" t="inlineStr">
        <is>
          <t>YEARLY</t>
        </is>
      </c>
      <c r="F647" s="11" t="n">
        <v>45383</v>
      </c>
      <c r="G647" s="11" t="n">
        <v>45747</v>
      </c>
      <c r="H647" s="12">
        <f>IF(OR($F647="",$G647=""),"",$G647-$F647+1)</f>
        <v/>
      </c>
      <c r="I647" s="10">
        <f>IF($F647="","",IF(MONTH($F647)&gt;=4,YEAR($F647)&amp;"-"&amp;TEXT(YEAR($F647)+1-2000,"00"),YEAR($F647)-1&amp;"-"&amp;TEXT(YEAR($F647)-2000,"00")))</f>
        <v/>
      </c>
      <c r="J647" s="13" t="n">
        <v>61</v>
      </c>
      <c r="K647" s="14">
        <f>IFERROR($L647/$J647,"")</f>
        <v/>
      </c>
      <c r="L647" s="13" t="n">
        <v>1830</v>
      </c>
      <c r="M647" s="13">
        <f>IFERROR($L647/$H647,"")</f>
        <v/>
      </c>
      <c r="N647" s="11" t="n">
        <v>45623</v>
      </c>
      <c r="O647" s="10">
        <f>IF($N647="","No","Yes")</f>
        <v/>
      </c>
      <c r="P647" s="12">
        <f>IF(OR($F647="",$G647=""),0,IF(AND($F647&lt;=README!$B$4,README!$B$4&lt;=$G647),1,0))</f>
        <v/>
      </c>
      <c r="Q647" s="12">
        <f>IF(OR($F647="",$G647=""),0,IF(AND($F647&lt;=DATE(README!$B$5,12,31),$G647&gt;=DATE(README!$B$5,1,1)),1,0))</f>
        <v/>
      </c>
      <c r="R647" s="10" t="inlineStr">
        <is>
          <t>GUT-VEH0008</t>
        </is>
      </c>
      <c r="S647" s="11" t="n">
        <v>45475</v>
      </c>
      <c r="T647" s="10" t="inlineStr">
        <is>
          <t>3</t>
        </is>
      </c>
      <c r="U647" s="10" t="inlineStr">
        <is>
          <t>VEHICLE</t>
        </is>
      </c>
      <c r="V647" s="10" t="inlineStr">
        <is>
          <t>T</t>
        </is>
      </c>
      <c r="W647" s="10" t="inlineStr">
        <is>
          <t>VIVEK B</t>
        </is>
      </c>
    </row>
    <row r="648">
      <c r="A648" s="10" t="inlineStr">
        <is>
          <t>TN58BJ3434</t>
        </is>
      </c>
      <c r="B648" s="10" t="inlineStr">
        <is>
          <t>WOVEN</t>
        </is>
      </c>
      <c r="C648" s="10" t="inlineStr">
        <is>
          <t>ADBLU</t>
        </is>
      </c>
      <c r="D648" s="10" t="inlineStr">
        <is>
          <t>ADBLU</t>
        </is>
      </c>
      <c r="E648" s="10" t="inlineStr">
        <is>
          <t>YEARLY</t>
        </is>
      </c>
      <c r="F648" s="11" t="n">
        <v>45383</v>
      </c>
      <c r="G648" s="11" t="n">
        <v>45747</v>
      </c>
      <c r="H648" s="12">
        <f>IF(OR($F648="",$G648=""),"",$G648-$F648+1)</f>
        <v/>
      </c>
      <c r="I648" s="10">
        <f>IF($F648="","",IF(MONTH($F648)&gt;=4,YEAR($F648)&amp;"-"&amp;TEXT(YEAR($F648)+1-2000,"00"),YEAR($F648)-1&amp;"-"&amp;TEXT(YEAR($F648)-2000,"00")))</f>
        <v/>
      </c>
      <c r="J648" s="13" t="n">
        <v>61</v>
      </c>
      <c r="K648" s="14">
        <f>IFERROR($L648/$J648,"")</f>
        <v/>
      </c>
      <c r="L648" s="13" t="n">
        <v>1708</v>
      </c>
      <c r="M648" s="13">
        <f>IFERROR($L648/$H648,"")</f>
        <v/>
      </c>
      <c r="N648" s="11" t="n">
        <v>45602</v>
      </c>
      <c r="O648" s="10">
        <f>IF($N648="","No","Yes")</f>
        <v/>
      </c>
      <c r="P648" s="12">
        <f>IF(OR($F648="",$G648=""),0,IF(AND($F648&lt;=README!$B$4,README!$B$4&lt;=$G648),1,0))</f>
        <v/>
      </c>
      <c r="Q648" s="12">
        <f>IF(OR($F648="",$G648=""),0,IF(AND($F648&lt;=DATE(README!$B$5,12,31),$G648&gt;=DATE(README!$B$5,1,1)),1,0))</f>
        <v/>
      </c>
      <c r="R648" s="10" t="inlineStr">
        <is>
          <t>GUT-VEH0008</t>
        </is>
      </c>
      <c r="S648" s="11" t="n">
        <v>45475</v>
      </c>
      <c r="T648" s="10" t="inlineStr">
        <is>
          <t>3</t>
        </is>
      </c>
      <c r="U648" s="10" t="inlineStr">
        <is>
          <t>VEHICLE</t>
        </is>
      </c>
      <c r="V648" s="10" t="inlineStr">
        <is>
          <t>T</t>
        </is>
      </c>
      <c r="W648" s="10" t="inlineStr">
        <is>
          <t>VIVEK B</t>
        </is>
      </c>
    </row>
    <row r="649">
      <c r="A649" s="10" t="inlineStr">
        <is>
          <t>TN58BJ3434</t>
        </is>
      </c>
      <c r="B649" s="10" t="inlineStr">
        <is>
          <t>WOVEN</t>
        </is>
      </c>
      <c r="C649" s="10" t="inlineStr">
        <is>
          <t>ADBLU</t>
        </is>
      </c>
      <c r="D649" s="10" t="inlineStr">
        <is>
          <t>ADBLU</t>
        </is>
      </c>
      <c r="E649" s="10" t="inlineStr">
        <is>
          <t>YEARLY</t>
        </is>
      </c>
      <c r="F649" s="11" t="n">
        <v>45383</v>
      </c>
      <c r="G649" s="11" t="n">
        <v>45747</v>
      </c>
      <c r="H649" s="12">
        <f>IF(OR($F649="",$G649=""),"",$G649-$F649+1)</f>
        <v/>
      </c>
      <c r="I649" s="10">
        <f>IF($F649="","",IF(MONTH($F649)&gt;=4,YEAR($F649)&amp;"-"&amp;TEXT(YEAR($F649)+1-2000,"00"),YEAR($F649)-1&amp;"-"&amp;TEXT(YEAR($F649)-2000,"00")))</f>
        <v/>
      </c>
      <c r="J649" s="13" t="n">
        <v>61</v>
      </c>
      <c r="K649" s="14">
        <f>IFERROR($L649/$J649,"")</f>
        <v/>
      </c>
      <c r="L649" s="13" t="n">
        <v>2440</v>
      </c>
      <c r="M649" s="13">
        <f>IFERROR($L649/$H649,"")</f>
        <v/>
      </c>
      <c r="N649" s="11" t="n">
        <v>45700</v>
      </c>
      <c r="O649" s="10">
        <f>IF($N649="","No","Yes")</f>
        <v/>
      </c>
      <c r="P649" s="12">
        <f>IF(OR($F649="",$G649=""),0,IF(AND($F649&lt;=README!$B$4,README!$B$4&lt;=$G649),1,0))</f>
        <v/>
      </c>
      <c r="Q649" s="12">
        <f>IF(OR($F649="",$G649=""),0,IF(AND($F649&lt;=DATE(README!$B$5,12,31),$G649&gt;=DATE(README!$B$5,1,1)),1,0))</f>
        <v/>
      </c>
      <c r="R649" s="10" t="inlineStr">
        <is>
          <t>GUT-VEH0008</t>
        </is>
      </c>
      <c r="S649" s="11" t="n">
        <v>45475</v>
      </c>
      <c r="T649" s="10" t="inlineStr">
        <is>
          <t>3</t>
        </is>
      </c>
      <c r="U649" s="10" t="inlineStr">
        <is>
          <t>VEHICLE</t>
        </is>
      </c>
      <c r="V649" s="10" t="inlineStr">
        <is>
          <t>T</t>
        </is>
      </c>
      <c r="W649" s="10" t="inlineStr">
        <is>
          <t>VIVEK B</t>
        </is>
      </c>
    </row>
    <row r="650">
      <c r="A650" s="10" t="inlineStr">
        <is>
          <t>TN58BJ3434</t>
        </is>
      </c>
      <c r="B650" s="10" t="inlineStr">
        <is>
          <t>WOVEN</t>
        </is>
      </c>
      <c r="C650" s="10" t="inlineStr">
        <is>
          <t>ADBLU</t>
        </is>
      </c>
      <c r="D650" s="10" t="inlineStr">
        <is>
          <t>ADBLU</t>
        </is>
      </c>
      <c r="E650" s="10" t="inlineStr">
        <is>
          <t>YEARLY</t>
        </is>
      </c>
      <c r="F650" s="11" t="n">
        <v>45383</v>
      </c>
      <c r="G650" s="11" t="n">
        <v>45747</v>
      </c>
      <c r="H650" s="12">
        <f>IF(OR($F650="",$G650=""),"",$G650-$F650+1)</f>
        <v/>
      </c>
      <c r="I650" s="10">
        <f>IF($F650="","",IF(MONTH($F650)&gt;=4,YEAR($F650)&amp;"-"&amp;TEXT(YEAR($F650)+1-2000,"00"),YEAR($F650)-1&amp;"-"&amp;TEXT(YEAR($F650)-2000,"00")))</f>
        <v/>
      </c>
      <c r="J650" s="13" t="n">
        <v>61</v>
      </c>
      <c r="K650" s="14">
        <f>IFERROR($L650/$J650,"")</f>
        <v/>
      </c>
      <c r="L650" s="13" t="n">
        <v>2440</v>
      </c>
      <c r="M650" s="13">
        <f>IFERROR($L650/$H650,"")</f>
        <v/>
      </c>
      <c r="N650" s="11" t="n">
        <v>45700</v>
      </c>
      <c r="O650" s="10">
        <f>IF($N650="","No","Yes")</f>
        <v/>
      </c>
      <c r="P650" s="12">
        <f>IF(OR($F650="",$G650=""),0,IF(AND($F650&lt;=README!$B$4,README!$B$4&lt;=$G650),1,0))</f>
        <v/>
      </c>
      <c r="Q650" s="12">
        <f>IF(OR($F650="",$G650=""),0,IF(AND($F650&lt;=DATE(README!$B$5,12,31),$G650&gt;=DATE(README!$B$5,1,1)),1,0))</f>
        <v/>
      </c>
      <c r="R650" s="10" t="inlineStr">
        <is>
          <t>GUT-VEH0008</t>
        </is>
      </c>
      <c r="S650" s="11" t="n">
        <v>45475</v>
      </c>
      <c r="T650" s="10" t="inlineStr">
        <is>
          <t>3</t>
        </is>
      </c>
      <c r="U650" s="10" t="inlineStr">
        <is>
          <t>VEHICLE</t>
        </is>
      </c>
      <c r="V650" s="10" t="inlineStr">
        <is>
          <t>T</t>
        </is>
      </c>
      <c r="W650" s="10" t="inlineStr">
        <is>
          <t>VIVEK B</t>
        </is>
      </c>
    </row>
    <row r="651">
      <c r="A651" s="10" t="inlineStr">
        <is>
          <t>TN58BJ3434</t>
        </is>
      </c>
      <c r="B651" s="10" t="inlineStr">
        <is>
          <t>WOVEN</t>
        </is>
      </c>
      <c r="C651" s="10" t="inlineStr">
        <is>
          <t>FC WORK</t>
        </is>
      </c>
      <c r="D651" s="10" t="inlineStr">
        <is>
          <t>FC WORK</t>
        </is>
      </c>
      <c r="E651" s="10" t="inlineStr">
        <is>
          <t>YEARLY</t>
        </is>
      </c>
      <c r="F651" s="11" t="n">
        <v>45383</v>
      </c>
      <c r="G651" s="11" t="n">
        <v>45747</v>
      </c>
      <c r="H651" s="12">
        <f>IF(OR($F651="",$G651=""),"",$G651-$F651+1)</f>
        <v/>
      </c>
      <c r="I651" s="10">
        <f>IF($F651="","",IF(MONTH($F651)&gt;=4,YEAR($F651)&amp;"-"&amp;TEXT(YEAR($F651)+1-2000,"00"),YEAR($F651)-1&amp;"-"&amp;TEXT(YEAR($F651)-2000,"00")))</f>
        <v/>
      </c>
      <c r="J651" s="13" t="n">
        <v>35000</v>
      </c>
      <c r="K651" s="14">
        <f>IFERROR($L651/$J651,"")</f>
        <v/>
      </c>
      <c r="L651" s="13" t="n">
        <v>35000</v>
      </c>
      <c r="M651" s="13">
        <f>IFERROR($L651/$H651,"")</f>
        <v/>
      </c>
      <c r="N651" s="11" t="n">
        <v>45490</v>
      </c>
      <c r="O651" s="10">
        <f>IF($N651="","No","Yes")</f>
        <v/>
      </c>
      <c r="P651" s="12">
        <f>IF(OR($F651="",$G651=""),0,IF(AND($F651&lt;=README!$B$4,README!$B$4&lt;=$G651),1,0))</f>
        <v/>
      </c>
      <c r="Q651" s="12">
        <f>IF(OR($F651="",$G651=""),0,IF(AND($F651&lt;=DATE(README!$B$5,12,31),$G651&gt;=DATE(README!$B$5,1,1)),1,0))</f>
        <v/>
      </c>
      <c r="R651" s="10" t="inlineStr">
        <is>
          <t>GUT-VEH0009</t>
        </is>
      </c>
      <c r="S651" s="11" t="n">
        <v>45475</v>
      </c>
      <c r="T651" s="10" t="inlineStr">
        <is>
          <t>3</t>
        </is>
      </c>
      <c r="U651" s="10" t="inlineStr">
        <is>
          <t>VEHICLE</t>
        </is>
      </c>
      <c r="V651" s="10" t="inlineStr">
        <is>
          <t>T</t>
        </is>
      </c>
      <c r="W651" s="10" t="inlineStr">
        <is>
          <t>VIVEK B</t>
        </is>
      </c>
    </row>
    <row r="652">
      <c r="A652" s="10" t="inlineStr">
        <is>
          <t>TN58BJ3434</t>
        </is>
      </c>
      <c r="B652" s="10" t="inlineStr">
        <is>
          <t>WOVEN</t>
        </is>
      </c>
      <c r="C652" s="10" t="inlineStr">
        <is>
          <t>ROAD TAX</t>
        </is>
      </c>
      <c r="D652" s="10" t="inlineStr">
        <is>
          <t>ROAD TAX</t>
        </is>
      </c>
      <c r="E652" s="10" t="inlineStr">
        <is>
          <t>YEARLY</t>
        </is>
      </c>
      <c r="F652" s="11" t="n">
        <v>45383</v>
      </c>
      <c r="G652" s="11" t="n">
        <v>45747</v>
      </c>
      <c r="H652" s="12">
        <f>IF(OR($F652="",$G652=""),"",$G652-$F652+1)</f>
        <v/>
      </c>
      <c r="I652" s="10">
        <f>IF($F652="","",IF(MONTH($F652)&gt;=4,YEAR($F652)&amp;"-"&amp;TEXT(YEAR($F652)+1-2000,"00"),YEAR($F652)-1&amp;"-"&amp;TEXT(YEAR($F652)-2000,"00")))</f>
        <v/>
      </c>
      <c r="J652" s="13" t="n">
        <v>32724</v>
      </c>
      <c r="K652" s="14">
        <f>IFERROR($L652/$J652,"")</f>
        <v/>
      </c>
      <c r="L652" s="13" t="n">
        <v>32724</v>
      </c>
      <c r="M652" s="13">
        <f>IFERROR($L652/$H652,"")</f>
        <v/>
      </c>
      <c r="N652" s="11" t="n">
        <v>45727</v>
      </c>
      <c r="O652" s="10">
        <f>IF($N652="","No","Yes")</f>
        <v/>
      </c>
      <c r="P652" s="12">
        <f>IF(OR($F652="",$G652=""),0,IF(AND($F652&lt;=README!$B$4,README!$B$4&lt;=$G652),1,0))</f>
        <v/>
      </c>
      <c r="Q652" s="12">
        <f>IF(OR($F652="",$G652=""),0,IF(AND($F652&lt;=DATE(README!$B$5,12,31),$G652&gt;=DATE(README!$B$5,1,1)),1,0))</f>
        <v/>
      </c>
      <c r="R652" s="10" t="inlineStr">
        <is>
          <t>GUT-VEH0016</t>
        </is>
      </c>
      <c r="S652" s="11" t="n">
        <v>46023</v>
      </c>
      <c r="T652" s="10" t="inlineStr">
        <is>
          <t>5</t>
        </is>
      </c>
      <c r="U652" s="10" t="inlineStr">
        <is>
          <t>VEHICLE</t>
        </is>
      </c>
      <c r="V652" s="10" t="inlineStr">
        <is>
          <t>T</t>
        </is>
      </c>
      <c r="W652" s="10" t="inlineStr">
        <is>
          <t>VIVEK B</t>
        </is>
      </c>
    </row>
    <row r="653">
      <c r="A653" s="10" t="inlineStr">
        <is>
          <t>TN58BJ3434</t>
        </is>
      </c>
      <c r="B653" s="10" t="inlineStr">
        <is>
          <t>WOVEN</t>
        </is>
      </c>
      <c r="C653" s="10" t="inlineStr">
        <is>
          <t>ROAD TAX</t>
        </is>
      </c>
      <c r="D653" s="10" t="inlineStr">
        <is>
          <t>ROAD TAX</t>
        </is>
      </c>
      <c r="E653" s="10" t="inlineStr">
        <is>
          <t>YEARLY</t>
        </is>
      </c>
      <c r="F653" s="11" t="n">
        <v>45383</v>
      </c>
      <c r="G653" s="11" t="n">
        <v>45747</v>
      </c>
      <c r="H653" s="12">
        <f>IF(OR($F653="",$G653=""),"",$G653-$F653+1)</f>
        <v/>
      </c>
      <c r="I653" s="10">
        <f>IF($F653="","",IF(MONTH($F653)&gt;=4,YEAR($F653)&amp;"-"&amp;TEXT(YEAR($F653)+1-2000,"00"),YEAR($F653)-1&amp;"-"&amp;TEXT(YEAR($F653)-2000,"00")))</f>
        <v/>
      </c>
      <c r="J653" s="13" t="n">
        <v>32734</v>
      </c>
      <c r="K653" s="14">
        <f>IFERROR($L653/$J653,"")</f>
        <v/>
      </c>
      <c r="L653" s="13" t="n">
        <v>32734</v>
      </c>
      <c r="M653" s="13">
        <f>IFERROR($L653/$H653,"")</f>
        <v/>
      </c>
      <c r="N653" s="11" t="n">
        <v>45910</v>
      </c>
      <c r="O653" s="10">
        <f>IF($N653="","No","Yes")</f>
        <v/>
      </c>
      <c r="P653" s="12">
        <f>IF(OR($F653="",$G653=""),0,IF(AND($F653&lt;=README!$B$4,README!$B$4&lt;=$G653),1,0))</f>
        <v/>
      </c>
      <c r="Q653" s="12">
        <f>IF(OR($F653="",$G653=""),0,IF(AND($F653&lt;=DATE(README!$B$5,12,31),$G653&gt;=DATE(README!$B$5,1,1)),1,0))</f>
        <v/>
      </c>
      <c r="R653" s="10" t="inlineStr">
        <is>
          <t>GUT-VEH0016</t>
        </is>
      </c>
      <c r="S653" s="11" t="n">
        <v>46023</v>
      </c>
      <c r="T653" s="10" t="inlineStr">
        <is>
          <t>5</t>
        </is>
      </c>
      <c r="U653" s="10" t="inlineStr">
        <is>
          <t>VEHICLE</t>
        </is>
      </c>
      <c r="V653" s="10" t="inlineStr">
        <is>
          <t>T</t>
        </is>
      </c>
      <c r="W653" s="10" t="inlineStr">
        <is>
          <t>VIVEK B</t>
        </is>
      </c>
    </row>
    <row r="654">
      <c r="A654" s="10" t="inlineStr">
        <is>
          <t>TN58BJ3434</t>
        </is>
      </c>
      <c r="B654" s="10" t="inlineStr">
        <is>
          <t>WOVEN</t>
        </is>
      </c>
      <c r="C654" s="10" t="inlineStr">
        <is>
          <t>ROAD TAX</t>
        </is>
      </c>
      <c r="D654" s="10" t="inlineStr">
        <is>
          <t>ROAD TAX</t>
        </is>
      </c>
      <c r="E654" s="10" t="inlineStr">
        <is>
          <t>YEARLY</t>
        </is>
      </c>
      <c r="F654" s="11" t="n">
        <v>45383</v>
      </c>
      <c r="G654" s="11" t="n">
        <v>45747</v>
      </c>
      <c r="H654" s="12">
        <f>IF(OR($F654="",$G654=""),"",$G654-$F654+1)</f>
        <v/>
      </c>
      <c r="I654" s="10">
        <f>IF($F654="","",IF(MONTH($F654)&gt;=4,YEAR($F654)&amp;"-"&amp;TEXT(YEAR($F654)+1-2000,"00"),YEAR($F654)-1&amp;"-"&amp;TEXT(YEAR($F654)-2000,"00")))</f>
        <v/>
      </c>
      <c r="J654" s="13" t="n">
        <v>32724</v>
      </c>
      <c r="K654" s="14">
        <f>IFERROR($L654/$J654,"")</f>
        <v/>
      </c>
      <c r="L654" s="13" t="n">
        <v>32724</v>
      </c>
      <c r="M654" s="13">
        <f>IFERROR($L654/$H654,"")</f>
        <v/>
      </c>
      <c r="N654" s="11" t="n">
        <v>45840</v>
      </c>
      <c r="O654" s="10">
        <f>IF($N654="","No","Yes")</f>
        <v/>
      </c>
      <c r="P654" s="12">
        <f>IF(OR($F654="",$G654=""),0,IF(AND($F654&lt;=README!$B$4,README!$B$4&lt;=$G654),1,0))</f>
        <v/>
      </c>
      <c r="Q654" s="12">
        <f>IF(OR($F654="",$G654=""),0,IF(AND($F654&lt;=DATE(README!$B$5,12,31),$G654&gt;=DATE(README!$B$5,1,1)),1,0))</f>
        <v/>
      </c>
      <c r="R654" s="10" t="inlineStr">
        <is>
          <t>GUT-VEH0016</t>
        </is>
      </c>
      <c r="S654" s="11" t="n">
        <v>46023</v>
      </c>
      <c r="T654" s="10" t="inlineStr">
        <is>
          <t>5</t>
        </is>
      </c>
      <c r="U654" s="10" t="inlineStr">
        <is>
          <t>VEHICLE</t>
        </is>
      </c>
      <c r="V654" s="10" t="inlineStr">
        <is>
          <t>T</t>
        </is>
      </c>
      <c r="W654" s="10" t="inlineStr">
        <is>
          <t>VIVEK B</t>
        </is>
      </c>
    </row>
    <row r="655">
      <c r="A655" s="10" t="inlineStr">
        <is>
          <t>TN58BJ3434</t>
        </is>
      </c>
      <c r="B655" s="10" t="inlineStr">
        <is>
          <t>WOVEN</t>
        </is>
      </c>
      <c r="C655" s="10" t="inlineStr">
        <is>
          <t>ROAD TAX</t>
        </is>
      </c>
      <c r="D655" s="10" t="inlineStr">
        <is>
          <t>ROAD TAX</t>
        </is>
      </c>
      <c r="E655" s="10" t="inlineStr">
        <is>
          <t>YEARLY</t>
        </is>
      </c>
      <c r="F655" s="11" t="n">
        <v>45383</v>
      </c>
      <c r="G655" s="11" t="n">
        <v>45747</v>
      </c>
      <c r="H655" s="12">
        <f>IF(OR($F655="",$G655=""),"",$G655-$F655+1)</f>
        <v/>
      </c>
      <c r="I655" s="10">
        <f>IF($F655="","",IF(MONTH($F655)&gt;=4,YEAR($F655)&amp;"-"&amp;TEXT(YEAR($F655)+1-2000,"00"),YEAR($F655)-1&amp;"-"&amp;TEXT(YEAR($F655)-2000,"00")))</f>
        <v/>
      </c>
      <c r="J655" s="13" t="n">
        <v>32724</v>
      </c>
      <c r="K655" s="14">
        <f>IFERROR($L655/$J655,"")</f>
        <v/>
      </c>
      <c r="L655" s="13" t="n">
        <v>32724</v>
      </c>
      <c r="M655" s="13">
        <f>IFERROR($L655/$H655,"")</f>
        <v/>
      </c>
      <c r="N655" s="11" t="n">
        <v>45649</v>
      </c>
      <c r="O655" s="10">
        <f>IF($N655="","No","Yes")</f>
        <v/>
      </c>
      <c r="P655" s="12">
        <f>IF(OR($F655="",$G655=""),0,IF(AND($F655&lt;=README!$B$4,README!$B$4&lt;=$G655),1,0))</f>
        <v/>
      </c>
      <c r="Q655" s="12">
        <f>IF(OR($F655="",$G655=""),0,IF(AND($F655&lt;=DATE(README!$B$5,12,31),$G655&gt;=DATE(README!$B$5,1,1)),1,0))</f>
        <v/>
      </c>
      <c r="R655" s="10" t="inlineStr">
        <is>
          <t>GUT-VEH0011</t>
        </is>
      </c>
      <c r="S655" s="11" t="n">
        <v>45475</v>
      </c>
      <c r="T655" s="10" t="inlineStr">
        <is>
          <t>3</t>
        </is>
      </c>
      <c r="U655" s="10" t="inlineStr">
        <is>
          <t>VEHICLE</t>
        </is>
      </c>
      <c r="V655" s="10" t="inlineStr">
        <is>
          <t>T</t>
        </is>
      </c>
      <c r="W655" s="10" t="inlineStr">
        <is>
          <t>VIVEK B</t>
        </is>
      </c>
    </row>
    <row r="656">
      <c r="A656" s="10" t="inlineStr">
        <is>
          <t>TN58BJ3434</t>
        </is>
      </c>
      <c r="B656" s="10" t="inlineStr">
        <is>
          <t>WOVEN</t>
        </is>
      </c>
      <c r="C656" s="10" t="inlineStr">
        <is>
          <t>ROAD TAX</t>
        </is>
      </c>
      <c r="D656" s="10" t="inlineStr">
        <is>
          <t>ROAD TAX</t>
        </is>
      </c>
      <c r="E656" s="10" t="inlineStr">
        <is>
          <t>YEARLY</t>
        </is>
      </c>
      <c r="F656" s="11" t="n">
        <v>45383</v>
      </c>
      <c r="G656" s="11" t="n">
        <v>45747</v>
      </c>
      <c r="H656" s="12">
        <f>IF(OR($F656="",$G656=""),"",$G656-$F656+1)</f>
        <v/>
      </c>
      <c r="I656" s="10">
        <f>IF($F656="","",IF(MONTH($F656)&gt;=4,YEAR($F656)&amp;"-"&amp;TEXT(YEAR($F656)+1-2000,"00"),YEAR($F656)-1&amp;"-"&amp;TEXT(YEAR($F656)-2000,"00")))</f>
        <v/>
      </c>
      <c r="J656" s="13" t="n">
        <v>32724</v>
      </c>
      <c r="K656" s="14">
        <f>IFERROR($L656/$J656,"")</f>
        <v/>
      </c>
      <c r="L656" s="13" t="n">
        <v>32724</v>
      </c>
      <c r="M656" s="13">
        <f>IFERROR($L656/$H656,"")</f>
        <v/>
      </c>
      <c r="N656" s="11" t="n">
        <v>45569</v>
      </c>
      <c r="O656" s="10">
        <f>IF($N656="","No","Yes")</f>
        <v/>
      </c>
      <c r="P656" s="12">
        <f>IF(OR($F656="",$G656=""),0,IF(AND($F656&lt;=README!$B$4,README!$B$4&lt;=$G656),1,0))</f>
        <v/>
      </c>
      <c r="Q656" s="12">
        <f>IF(OR($F656="",$G656=""),0,IF(AND($F656&lt;=DATE(README!$B$5,12,31),$G656&gt;=DATE(README!$B$5,1,1)),1,0))</f>
        <v/>
      </c>
      <c r="R656" s="10" t="inlineStr">
        <is>
          <t>GUT-VEH0011</t>
        </is>
      </c>
      <c r="S656" s="11" t="n">
        <v>45475</v>
      </c>
      <c r="T656" s="10" t="inlineStr">
        <is>
          <t>3</t>
        </is>
      </c>
      <c r="U656" s="10" t="inlineStr">
        <is>
          <t>VEHICLE</t>
        </is>
      </c>
      <c r="V656" s="10" t="inlineStr">
        <is>
          <t>T</t>
        </is>
      </c>
      <c r="W656" s="10" t="inlineStr">
        <is>
          <t>VIVEK B</t>
        </is>
      </c>
    </row>
    <row r="657">
      <c r="A657" s="10" t="inlineStr">
        <is>
          <t>TN58BJ3434</t>
        </is>
      </c>
      <c r="B657" s="10" t="inlineStr">
        <is>
          <t>WOVEN</t>
        </is>
      </c>
      <c r="C657" s="10" t="inlineStr">
        <is>
          <t>ROAD TAX</t>
        </is>
      </c>
      <c r="D657" s="10" t="inlineStr">
        <is>
          <t>ROAD TAX</t>
        </is>
      </c>
      <c r="E657" s="10" t="inlineStr">
        <is>
          <t>YEARLY</t>
        </is>
      </c>
      <c r="F657" s="11" t="n">
        <v>45383</v>
      </c>
      <c r="G657" s="11" t="n">
        <v>45747</v>
      </c>
      <c r="H657" s="12">
        <f>IF(OR($F657="",$G657=""),"",$G657-$F657+1)</f>
        <v/>
      </c>
      <c r="I657" s="10">
        <f>IF($F657="","",IF(MONTH($F657)&gt;=4,YEAR($F657)&amp;"-"&amp;TEXT(YEAR($F657)+1-2000,"00"),YEAR($F657)-1&amp;"-"&amp;TEXT(YEAR($F657)-2000,"00")))</f>
        <v/>
      </c>
      <c r="J657" s="13" t="n">
        <v>32724</v>
      </c>
      <c r="K657" s="14">
        <f>IFERROR($L657/$J657,"")</f>
        <v/>
      </c>
      <c r="L657" s="13" t="n">
        <v>32724</v>
      </c>
      <c r="M657" s="13">
        <f>IFERROR($L657/$H657,"")</f>
        <v/>
      </c>
      <c r="N657" s="11" t="n">
        <v>45481</v>
      </c>
      <c r="O657" s="10">
        <f>IF($N657="","No","Yes")</f>
        <v/>
      </c>
      <c r="P657" s="12">
        <f>IF(OR($F657="",$G657=""),0,IF(AND($F657&lt;=README!$B$4,README!$B$4&lt;=$G657),1,0))</f>
        <v/>
      </c>
      <c r="Q657" s="12">
        <f>IF(OR($F657="",$G657=""),0,IF(AND($F657&lt;=DATE(README!$B$5,12,31),$G657&gt;=DATE(README!$B$5,1,1)),1,0))</f>
        <v/>
      </c>
      <c r="R657" s="10" t="inlineStr">
        <is>
          <t>GUT-VEH0011</t>
        </is>
      </c>
      <c r="S657" s="11" t="n">
        <v>45475</v>
      </c>
      <c r="T657" s="10" t="inlineStr">
        <is>
          <t>3</t>
        </is>
      </c>
      <c r="U657" s="10" t="inlineStr">
        <is>
          <t>VEHICLE</t>
        </is>
      </c>
      <c r="V657" s="10" t="inlineStr">
        <is>
          <t>T</t>
        </is>
      </c>
      <c r="W657" s="10" t="inlineStr">
        <is>
          <t>VIVEK B</t>
        </is>
      </c>
    </row>
    <row r="658">
      <c r="A658" s="10" t="inlineStr">
        <is>
          <t>TN58BJ3434</t>
        </is>
      </c>
      <c r="B658" s="10" t="inlineStr">
        <is>
          <t>WOVEN</t>
        </is>
      </c>
      <c r="C658" s="10" t="inlineStr">
        <is>
          <t>RTO EXPENSE</t>
        </is>
      </c>
      <c r="D658" s="10" t="inlineStr">
        <is>
          <t>RTO EXPENSE</t>
        </is>
      </c>
      <c r="E658" s="10" t="inlineStr">
        <is>
          <t>YEARLY</t>
        </is>
      </c>
      <c r="F658" s="11" t="n">
        <v>45383</v>
      </c>
      <c r="G658" s="11" t="n">
        <v>45747</v>
      </c>
      <c r="H658" s="12">
        <f>IF(OR($F658="",$G658=""),"",$G658-$F658+1)</f>
        <v/>
      </c>
      <c r="I658" s="10">
        <f>IF($F658="","",IF(MONTH($F658)&gt;=4,YEAR($F658)&amp;"-"&amp;TEXT(YEAR($F658)+1-2000,"00"),YEAR($F658)-1&amp;"-"&amp;TEXT(YEAR($F658)-2000,"00")))</f>
        <v/>
      </c>
      <c r="J658" s="13" t="n">
        <v>12500</v>
      </c>
      <c r="K658" s="14">
        <f>IFERROR($L658/$J658,"")</f>
        <v/>
      </c>
      <c r="L658" s="13" t="n">
        <v>12500</v>
      </c>
      <c r="M658" s="13">
        <f>IFERROR($L658/$H658,"")</f>
        <v/>
      </c>
      <c r="N658" s="11" t="n">
        <v>45490</v>
      </c>
      <c r="O658" s="10">
        <f>IF($N658="","No","Yes")</f>
        <v/>
      </c>
      <c r="P658" s="12">
        <f>IF(OR($F658="",$G658=""),0,IF(AND($F658&lt;=README!$B$4,README!$B$4&lt;=$G658),1,0))</f>
        <v/>
      </c>
      <c r="Q658" s="12">
        <f>IF(OR($F658="",$G658=""),0,IF(AND($F658&lt;=DATE(README!$B$5,12,31),$G658&gt;=DATE(README!$B$5,1,1)),1,0))</f>
        <v/>
      </c>
      <c r="R658" s="10" t="inlineStr">
        <is>
          <t>GUT-VEH0010</t>
        </is>
      </c>
      <c r="S658" s="11" t="n">
        <v>45475</v>
      </c>
      <c r="T658" s="10" t="inlineStr">
        <is>
          <t>3</t>
        </is>
      </c>
      <c r="U658" s="10" t="inlineStr">
        <is>
          <t>VEHICLE</t>
        </is>
      </c>
      <c r="V658" s="10" t="inlineStr">
        <is>
          <t>T</t>
        </is>
      </c>
      <c r="W658" s="10" t="inlineStr">
        <is>
          <t>VIVEK B</t>
        </is>
      </c>
    </row>
    <row r="659">
      <c r="A659" s="10" t="inlineStr">
        <is>
          <t>TN58BJ3434</t>
        </is>
      </c>
      <c r="B659" s="10" t="inlineStr">
        <is>
          <t>WOVEN</t>
        </is>
      </c>
      <c r="C659" s="10" t="inlineStr">
        <is>
          <t>TYRE</t>
        </is>
      </c>
      <c r="D659" s="10" t="inlineStr">
        <is>
          <t>TYRE</t>
        </is>
      </c>
      <c r="E659" s="10" t="inlineStr">
        <is>
          <t>YEARLY</t>
        </is>
      </c>
      <c r="F659" s="11" t="n">
        <v>45383</v>
      </c>
      <c r="G659" s="11" t="n">
        <v>45747</v>
      </c>
      <c r="H659" s="12">
        <f>IF(OR($F659="",$G659=""),"",$G659-$F659+1)</f>
        <v/>
      </c>
      <c r="I659" s="10">
        <f>IF($F659="","",IF(MONTH($F659)&gt;=4,YEAR($F659)&amp;"-"&amp;TEXT(YEAR($F659)+1-2000,"00"),YEAR($F659)-1&amp;"-"&amp;TEXT(YEAR($F659)-2000,"00")))</f>
        <v/>
      </c>
      <c r="J659" s="13" t="n">
        <v>30200</v>
      </c>
      <c r="K659" s="14">
        <f>IFERROR($L659/$J659,"")</f>
        <v/>
      </c>
      <c r="L659" s="13" t="n">
        <v>30200</v>
      </c>
      <c r="M659" s="13">
        <f>IFERROR($L659/$H659,"")</f>
        <v/>
      </c>
      <c r="N659" s="11" t="n">
        <v>45505</v>
      </c>
      <c r="O659" s="10">
        <f>IF($N659="","No","Yes")</f>
        <v/>
      </c>
      <c r="P659" s="12">
        <f>IF(OR($F659="",$G659=""),0,IF(AND($F659&lt;=README!$B$4,README!$B$4&lt;=$G659),1,0))</f>
        <v/>
      </c>
      <c r="Q659" s="12">
        <f>IF(OR($F659="",$G659=""),0,IF(AND($F659&lt;=DATE(README!$B$5,12,31),$G659&gt;=DATE(README!$B$5,1,1)),1,0))</f>
        <v/>
      </c>
      <c r="R659" s="10" t="inlineStr">
        <is>
          <t>GUT-VEH0006</t>
        </is>
      </c>
      <c r="S659" s="11" t="n">
        <v>45437</v>
      </c>
      <c r="T659" s="10" t="inlineStr">
        <is>
          <t>3</t>
        </is>
      </c>
      <c r="U659" s="10" t="inlineStr">
        <is>
          <t>VEHICLE</t>
        </is>
      </c>
      <c r="V659" s="10" t="inlineStr">
        <is>
          <t>T</t>
        </is>
      </c>
      <c r="W659" s="10" t="inlineStr">
        <is>
          <t>VIVEK B</t>
        </is>
      </c>
    </row>
    <row r="660">
      <c r="A660" s="10" t="inlineStr">
        <is>
          <t>TN58BJ3434</t>
        </is>
      </c>
      <c r="B660" s="10" t="inlineStr">
        <is>
          <t>WOVEN</t>
        </is>
      </c>
      <c r="C660" s="10" t="inlineStr">
        <is>
          <t>VEHICLE INSURANCE</t>
        </is>
      </c>
      <c r="D660" s="10" t="inlineStr">
        <is>
          <t>VEHICLE INSURANCE</t>
        </is>
      </c>
      <c r="E660" s="10" t="inlineStr">
        <is>
          <t>YEARLY</t>
        </is>
      </c>
      <c r="F660" s="11" t="n">
        <v>45383</v>
      </c>
      <c r="G660" s="11" t="n">
        <v>45747</v>
      </c>
      <c r="H660" s="12">
        <f>IF(OR($F660="",$G660=""),"",$G660-$F660+1)</f>
        <v/>
      </c>
      <c r="I660" s="10">
        <f>IF($F660="","",IF(MONTH($F660)&gt;=4,YEAR($F660)&amp;"-"&amp;TEXT(YEAR($F660)+1-2000,"00"),YEAR($F660)-1&amp;"-"&amp;TEXT(YEAR($F660)-2000,"00")))</f>
        <v/>
      </c>
      <c r="J660" s="13" t="n">
        <v>81142</v>
      </c>
      <c r="K660" s="14">
        <f>IFERROR($L660/$J660,"")</f>
        <v/>
      </c>
      <c r="L660" s="13" t="n">
        <v>0</v>
      </c>
      <c r="M660" s="13">
        <f>IFERROR($L660/$H660,"")</f>
        <v/>
      </c>
      <c r="N660" s="11" t="n"/>
      <c r="O660" s="10">
        <f>IF($N660="","No","Yes")</f>
        <v/>
      </c>
      <c r="P660" s="12">
        <f>IF(OR($F660="",$G660=""),0,IF(AND($F660&lt;=README!$B$4,README!$B$4&lt;=$G660),1,0))</f>
        <v/>
      </c>
      <c r="Q660" s="12">
        <f>IF(OR($F660="",$G660=""),0,IF(AND($F660&lt;=DATE(README!$B$5,12,31),$G660&gt;=DATE(README!$B$5,1,1)),1,0))</f>
        <v/>
      </c>
      <c r="R660" s="10" t="inlineStr">
        <is>
          <t>GUT-VEH0012</t>
        </is>
      </c>
      <c r="S660" s="11" t="n">
        <v>45478</v>
      </c>
      <c r="T660" s="10" t="inlineStr">
        <is>
          <t>3</t>
        </is>
      </c>
      <c r="U660" s="10" t="inlineStr">
        <is>
          <t>VEHICLE</t>
        </is>
      </c>
      <c r="V660" s="10" t="inlineStr">
        <is>
          <t>T</t>
        </is>
      </c>
      <c r="W660" s="10" t="inlineStr">
        <is>
          <t>VIVEK B</t>
        </is>
      </c>
    </row>
    <row r="661">
      <c r="A661" s="10" t="inlineStr">
        <is>
          <t>TN58BJ3434</t>
        </is>
      </c>
      <c r="B661" s="10" t="inlineStr">
        <is>
          <t>WOVEN</t>
        </is>
      </c>
      <c r="C661" s="10" t="inlineStr">
        <is>
          <t>VEHICLE INSURANCE</t>
        </is>
      </c>
      <c r="D661" s="10" t="inlineStr">
        <is>
          <t>VEHICLE INSURANCE</t>
        </is>
      </c>
      <c r="E661" s="10" t="inlineStr">
        <is>
          <t>YEARLY</t>
        </is>
      </c>
      <c r="F661" s="11" t="n">
        <v>45748</v>
      </c>
      <c r="G661" s="11" t="n">
        <v>46112</v>
      </c>
      <c r="H661" s="12">
        <f>IF(OR($F661="",$G661=""),"",$G661-$F661+1)</f>
        <v/>
      </c>
      <c r="I661" s="10">
        <f>IF($F661="","",IF(MONTH($F661)&gt;=4,YEAR($F661)&amp;"-"&amp;TEXT(YEAR($F661)+1-2000,"00"),YEAR($F661)-1&amp;"-"&amp;TEXT(YEAR($F661)-2000,"00")))</f>
        <v/>
      </c>
      <c r="J661" s="13" t="n">
        <v>79431</v>
      </c>
      <c r="K661" s="14">
        <f>IFERROR($L661/$J661,"")</f>
        <v/>
      </c>
      <c r="L661" s="13" t="n">
        <v>79431</v>
      </c>
      <c r="M661" s="13">
        <f>IFERROR($L661/$H661,"")</f>
        <v/>
      </c>
      <c r="N661" s="11" t="n">
        <v>45799</v>
      </c>
      <c r="O661" s="10">
        <f>IF($N661="","No","Yes")</f>
        <v/>
      </c>
      <c r="P661" s="12">
        <f>IF(OR($F661="",$G661=""),0,IF(AND($F661&lt;=README!$B$4,README!$B$4&lt;=$G661),1,0))</f>
        <v/>
      </c>
      <c r="Q661" s="12">
        <f>IF(OR($F661="",$G661=""),0,IF(AND($F661&lt;=DATE(README!$B$5,12,31),$G661&gt;=DATE(README!$B$5,1,1)),1,0))</f>
        <v/>
      </c>
      <c r="R661" s="10" t="inlineStr">
        <is>
          <t>GUT-VEH0019</t>
        </is>
      </c>
      <c r="S661" s="11" t="n">
        <v>45799</v>
      </c>
      <c r="T661" s="10" t="inlineStr">
        <is>
          <t>5</t>
        </is>
      </c>
      <c r="U661" s="10" t="inlineStr">
        <is>
          <t>VEHICLE</t>
        </is>
      </c>
      <c r="V661" s="10" t="inlineStr">
        <is>
          <t>T</t>
        </is>
      </c>
      <c r="W661" s="10" t="inlineStr">
        <is>
          <t>VIVEK B</t>
        </is>
      </c>
    </row>
    <row r="662">
      <c r="A662" s="10" t="inlineStr">
        <is>
          <t>TN58BJ3434</t>
        </is>
      </c>
      <c r="B662" s="10" t="inlineStr"/>
      <c r="C662" s="10" t="inlineStr">
        <is>
          <t>VEHICLE OUTSIDE SERVICES</t>
        </is>
      </c>
      <c r="D662" s="10" t="inlineStr">
        <is>
          <t xml:space="preserve">MAINTENANCE SERVICE </t>
        </is>
      </c>
      <c r="E662" s="10" t="inlineStr">
        <is>
          <t>YEARLY</t>
        </is>
      </c>
      <c r="F662" s="11" t="n">
        <v>45748</v>
      </c>
      <c r="G662" s="11" t="n">
        <v>46112</v>
      </c>
      <c r="H662" s="12">
        <f>IF(OR($F662="",$G662=""),"",$G662-$F662+1)</f>
        <v/>
      </c>
      <c r="I662" s="10">
        <f>IF($F662="","",IF(MONTH($F662)&gt;=4,YEAR($F662)&amp;"-"&amp;TEXT(YEAR($F662)+1-2000,"00"),YEAR($F662)-1&amp;"-"&amp;TEXT(YEAR($F662)-2000,"00")))</f>
        <v/>
      </c>
      <c r="J662" s="13" t="n">
        <v>30590.43</v>
      </c>
      <c r="K662" s="14">
        <f>IFERROR($L662/$J662,"")</f>
        <v/>
      </c>
      <c r="L662" s="13" t="n">
        <v>30590.43</v>
      </c>
      <c r="M662" s="13">
        <f>IFERROR($L662/$H662,"")</f>
        <v/>
      </c>
      <c r="N662" s="11" t="n">
        <v>46028</v>
      </c>
      <c r="O662" s="10">
        <f>IF($N662="","No","Yes")</f>
        <v/>
      </c>
      <c r="P662" s="12">
        <f>IF(OR($F662="",$G662=""),0,IF(AND($F662&lt;=README!$B$4,README!$B$4&lt;=$G662),1,0))</f>
        <v/>
      </c>
      <c r="Q662" s="12">
        <f>IF(OR($F662="",$G662=""),0,IF(AND($F662&lt;=DATE(README!$B$5,12,31),$G662&gt;=DATE(README!$B$5,1,1)),1,0))</f>
        <v/>
      </c>
      <c r="R662" s="10" t="inlineStr">
        <is>
          <t>GUT-VEH0021</t>
        </is>
      </c>
      <c r="S662" s="11" t="n">
        <v>45812</v>
      </c>
      <c r="T662" s="10" t="inlineStr">
        <is>
          <t>5</t>
        </is>
      </c>
      <c r="U662" s="10" t="inlineStr">
        <is>
          <t>VEHICLE</t>
        </is>
      </c>
      <c r="V662" s="10" t="inlineStr">
        <is>
          <t>T</t>
        </is>
      </c>
      <c r="W662" s="10" t="inlineStr">
        <is>
          <t>VIVEK B</t>
        </is>
      </c>
    </row>
    <row r="663">
      <c r="A663" s="10" t="inlineStr">
        <is>
          <t>TN58BJ3434</t>
        </is>
      </c>
      <c r="B663" s="10" t="inlineStr">
        <is>
          <t>WOVEN</t>
        </is>
      </c>
      <c r="C663" s="10" t="inlineStr">
        <is>
          <t>ROAD TAX</t>
        </is>
      </c>
      <c r="D663" s="10" t="inlineStr">
        <is>
          <t>ROAD TAX</t>
        </is>
      </c>
      <c r="E663" s="10" t="inlineStr">
        <is>
          <t>QUARTER - IV</t>
        </is>
      </c>
      <c r="F663" s="11" t="n">
        <v>46023</v>
      </c>
      <c r="G663" s="11" t="n">
        <v>46112</v>
      </c>
      <c r="H663" s="12">
        <f>IF(OR($F663="",$G663=""),"",$G663-$F663+1)</f>
        <v/>
      </c>
      <c r="I663" s="10">
        <f>IF($F663="","",IF(MONTH($F663)&gt;=4,YEAR($F663)&amp;"-"&amp;TEXT(YEAR($F663)+1-2000,"00"),YEAR($F663)-1&amp;"-"&amp;TEXT(YEAR($F663)-2000,"00")))</f>
        <v/>
      </c>
      <c r="J663" s="13" t="n">
        <v>32734</v>
      </c>
      <c r="K663" s="14">
        <f>IFERROR($L663/$J663,"")</f>
        <v/>
      </c>
      <c r="L663" s="13" t="n">
        <v>32734</v>
      </c>
      <c r="M663" s="13">
        <f>IFERROR($L663/$H663,"")</f>
        <v/>
      </c>
      <c r="N663" s="11" t="n">
        <v>46065</v>
      </c>
      <c r="O663" s="10">
        <f>IF($N663="","No","Yes")</f>
        <v/>
      </c>
      <c r="P663" s="12">
        <f>IF(OR($F663="",$G663=""),0,IF(AND($F663&lt;=README!$B$4,README!$B$4&lt;=$G663),1,0))</f>
        <v/>
      </c>
      <c r="Q663" s="12">
        <f>IF(OR($F663="",$G663=""),0,IF(AND($F663&lt;=DATE(README!$B$5,12,31),$G663&gt;=DATE(README!$B$5,1,1)),1,0))</f>
        <v/>
      </c>
      <c r="R663" s="10" t="inlineStr">
        <is>
          <t>GUT-VEH0016</t>
        </is>
      </c>
      <c r="S663" s="11" t="n">
        <v>46023</v>
      </c>
      <c r="T663" s="10" t="inlineStr">
        <is>
          <t>5</t>
        </is>
      </c>
      <c r="U663" s="10" t="inlineStr">
        <is>
          <t>VEHICLE</t>
        </is>
      </c>
      <c r="V663" s="10" t="inlineStr">
        <is>
          <t>T</t>
        </is>
      </c>
      <c r="W663" s="10" t="inlineStr">
        <is>
          <t>VIVEK B</t>
        </is>
      </c>
    </row>
    <row r="664">
      <c r="A664" s="10" t="inlineStr">
        <is>
          <t>TN58BJ3434</t>
        </is>
      </c>
      <c r="B664" s="10" t="inlineStr">
        <is>
          <t>WOVEN</t>
        </is>
      </c>
      <c r="C664" s="10" t="inlineStr">
        <is>
          <t>TYRE</t>
        </is>
      </c>
      <c r="D664" s="10" t="inlineStr">
        <is>
          <t>TYRE</t>
        </is>
      </c>
      <c r="E664" s="10" t="inlineStr">
        <is>
          <t>FEBRUARY</t>
        </is>
      </c>
      <c r="F664" s="11" t="n">
        <v>46054</v>
      </c>
      <c r="G664" s="11" t="n">
        <v>46081</v>
      </c>
      <c r="H664" s="12">
        <f>IF(OR($F664="",$G664=""),"",$G664-$F664+1)</f>
        <v/>
      </c>
      <c r="I664" s="10">
        <f>IF($F664="","",IF(MONTH($F664)&gt;=4,YEAR($F664)&amp;"-"&amp;TEXT(YEAR($F664)+1-2000,"00"),YEAR($F664)-1&amp;"-"&amp;TEXT(YEAR($F664)-2000,"00")))</f>
        <v/>
      </c>
      <c r="J664" s="13" t="n">
        <v>30300</v>
      </c>
      <c r="K664" s="14">
        <f>IFERROR($L664/$J664,"")</f>
        <v/>
      </c>
      <c r="L664" s="13" t="n">
        <v>0</v>
      </c>
      <c r="M664" s="13">
        <f>IFERROR($L664/$H664,"")</f>
        <v/>
      </c>
      <c r="N664" s="11" t="n"/>
      <c r="O664" s="10">
        <f>IF($N664="","No","Yes")</f>
        <v/>
      </c>
      <c r="P664" s="12">
        <f>IF(OR($F664="",$G664=""),0,IF(AND($F664&lt;=README!$B$4,README!$B$4&lt;=$G664),1,0))</f>
        <v/>
      </c>
      <c r="Q664" s="12">
        <f>IF(OR($F664="",$G664=""),0,IF(AND($F664&lt;=DATE(README!$B$5,12,31),$G664&gt;=DATE(README!$B$5,1,1)),1,0))</f>
        <v/>
      </c>
      <c r="R664" s="10" t="inlineStr">
        <is>
          <t>GUT-VEH0026</t>
        </is>
      </c>
      <c r="S664" s="11" t="n">
        <v>45957</v>
      </c>
      <c r="T664" s="10" t="inlineStr">
        <is>
          <t>5</t>
        </is>
      </c>
      <c r="U664" s="10" t="inlineStr">
        <is>
          <t>VEHICLE</t>
        </is>
      </c>
      <c r="V664" s="10" t="inlineStr">
        <is>
          <t>T</t>
        </is>
      </c>
      <c r="W664" s="10" t="inlineStr">
        <is>
          <t>VIVEK B</t>
        </is>
      </c>
    </row>
    <row r="665">
      <c r="A665" s="10" t="inlineStr">
        <is>
          <t>TN58BJ3434</t>
        </is>
      </c>
      <c r="B665" s="10" t="inlineStr">
        <is>
          <t>WOVEN</t>
        </is>
      </c>
      <c r="C665" s="10" t="inlineStr">
        <is>
          <t>ROAD TAX</t>
        </is>
      </c>
      <c r="D665" s="10" t="inlineStr">
        <is>
          <t>ROAD TAX</t>
        </is>
      </c>
      <c r="E665" s="10" t="inlineStr">
        <is>
          <t>QUARTER - I</t>
        </is>
      </c>
      <c r="F665" s="11" t="n">
        <v>46113</v>
      </c>
      <c r="G665" s="11" t="n">
        <v>46203</v>
      </c>
      <c r="H665" s="12">
        <f>IF(OR($F665="",$G665=""),"",$G665-$F665+1)</f>
        <v/>
      </c>
      <c r="I665" s="10">
        <f>IF($F665="","",IF(MONTH($F665)&gt;=4,YEAR($F665)&amp;"-"&amp;TEXT(YEAR($F665)+1-2000,"00"),YEAR($F665)-1&amp;"-"&amp;TEXT(YEAR($F665)-2000,"00")))</f>
        <v/>
      </c>
      <c r="J665" s="13" t="n">
        <v>32734</v>
      </c>
      <c r="K665" s="14">
        <f>IFERROR($L665/$J665,"")</f>
        <v/>
      </c>
      <c r="L665" s="13" t="n">
        <v>32734</v>
      </c>
      <c r="M665" s="13">
        <f>IFERROR($L665/$H665,"")</f>
        <v/>
      </c>
      <c r="N665" s="11" t="n">
        <v>46088</v>
      </c>
      <c r="O665" s="10">
        <f>IF($N665="","No","Yes")</f>
        <v/>
      </c>
      <c r="P665" s="12">
        <f>IF(OR($F665="",$G665=""),0,IF(AND($F665&lt;=README!$B$4,README!$B$4&lt;=$G665),1,0))</f>
        <v/>
      </c>
      <c r="Q665" s="12">
        <f>IF(OR($F665="",$G665=""),0,IF(AND($F665&lt;=DATE(README!$B$5,12,31),$G665&gt;=DATE(README!$B$5,1,1)),1,0))</f>
        <v/>
      </c>
      <c r="R665" s="10" t="inlineStr">
        <is>
          <t>GUT-VEH0029</t>
        </is>
      </c>
      <c r="S665" s="11" t="n">
        <v>46087</v>
      </c>
      <c r="T665" s="10" t="inlineStr">
        <is>
          <t>5</t>
        </is>
      </c>
      <c r="U665" s="10" t="inlineStr">
        <is>
          <t>VEHICLE</t>
        </is>
      </c>
      <c r="V665" s="10" t="inlineStr">
        <is>
          <t>T</t>
        </is>
      </c>
      <c r="W665" s="10" t="inlineStr">
        <is>
          <t>VIVEK B</t>
        </is>
      </c>
    </row>
    <row r="666">
      <c r="A666" s="10" t="inlineStr">
        <is>
          <t>TN58BJ3434</t>
        </is>
      </c>
      <c r="B666" s="10" t="inlineStr">
        <is>
          <t>WOVEN</t>
        </is>
      </c>
      <c r="C666" s="10" t="inlineStr">
        <is>
          <t>VEHICLE INSURANCE</t>
        </is>
      </c>
      <c r="D666" s="10" t="inlineStr">
        <is>
          <t>VEHICLE INSURANCE</t>
        </is>
      </c>
      <c r="E666" s="10" t="inlineStr">
        <is>
          <t>YEARLY</t>
        </is>
      </c>
      <c r="F666" s="11" t="n">
        <v>46113</v>
      </c>
      <c r="G666" s="11" t="n">
        <v>46477</v>
      </c>
      <c r="H666" s="12">
        <f>IF(OR($F666="",$G666=""),"",$G666-$F666+1)</f>
        <v/>
      </c>
      <c r="I666" s="10">
        <f>IF($F666="","",IF(MONTH($F666)&gt;=4,YEAR($F666)&amp;"-"&amp;TEXT(YEAR($F666)+1-2000,"00"),YEAR($F666)-1&amp;"-"&amp;TEXT(YEAR($F666)-2000,"00")))</f>
        <v/>
      </c>
      <c r="J666" s="13" t="n">
        <v>78636</v>
      </c>
      <c r="K666" s="14">
        <f>IFERROR($L666/$J666,"")</f>
        <v/>
      </c>
      <c r="L666" s="13" t="n">
        <v>78636</v>
      </c>
      <c r="M666" s="13">
        <f>IFERROR($L666/$H666,"")</f>
        <v/>
      </c>
      <c r="N666" s="11" t="n">
        <v>46167</v>
      </c>
      <c r="O666" s="10">
        <f>IF($N666="","No","Yes")</f>
        <v/>
      </c>
      <c r="P666" s="12">
        <f>IF(OR($F666="",$G666=""),0,IF(AND($F666&lt;=README!$B$4,README!$B$4&lt;=$G666),1,0))</f>
        <v/>
      </c>
      <c r="Q666" s="12">
        <f>IF(OR($F666="",$G666=""),0,IF(AND($F666&lt;=DATE(README!$B$5,12,31),$G666&gt;=DATE(README!$B$5,1,1)),1,0))</f>
        <v/>
      </c>
      <c r="R666" s="10" t="inlineStr">
        <is>
          <t>GUT-VEH0035</t>
        </is>
      </c>
      <c r="S666" s="11" t="n">
        <v>46162</v>
      </c>
      <c r="T666" s="10" t="inlineStr">
        <is>
          <t>5</t>
        </is>
      </c>
      <c r="U666" s="10" t="inlineStr">
        <is>
          <t>VEHICLE</t>
        </is>
      </c>
      <c r="V666" s="10" t="inlineStr">
        <is>
          <t>T</t>
        </is>
      </c>
      <c r="W666" s="10" t="inlineStr">
        <is>
          <t>VIVEK B</t>
        </is>
      </c>
    </row>
    <row r="667">
      <c r="A667" s="10" t="inlineStr">
        <is>
          <t>TN58BJ3434</t>
        </is>
      </c>
      <c r="B667" s="10" t="inlineStr">
        <is>
          <t>WOVEN</t>
        </is>
      </c>
      <c r="C667" s="10" t="inlineStr">
        <is>
          <t>ROAD TAX</t>
        </is>
      </c>
      <c r="D667" s="10" t="inlineStr">
        <is>
          <t>ROAD TAX</t>
        </is>
      </c>
      <c r="E667" s="10" t="inlineStr">
        <is>
          <t>QUARTER - II</t>
        </is>
      </c>
      <c r="F667" s="11" t="n">
        <v>46204</v>
      </c>
      <c r="G667" s="11" t="n">
        <v>46295</v>
      </c>
      <c r="H667" s="12">
        <f>IF(OR($F667="",$G667=""),"",$G667-$F667+1)</f>
        <v/>
      </c>
      <c r="I667" s="10">
        <f>IF($F667="","",IF(MONTH($F667)&gt;=4,YEAR($F667)&amp;"-"&amp;TEXT(YEAR($F667)+1-2000,"00"),YEAR($F667)-1&amp;"-"&amp;TEXT(YEAR($F667)-2000,"00")))</f>
        <v/>
      </c>
      <c r="J667" s="13" t="n">
        <v>32734</v>
      </c>
      <c r="K667" s="14">
        <f>IFERROR($L667/$J667,"")</f>
        <v/>
      </c>
      <c r="L667" s="13" t="n">
        <v>32734</v>
      </c>
      <c r="M667" s="13">
        <f>IFERROR($L667/$H667,"")</f>
        <v/>
      </c>
      <c r="N667" s="11" t="n">
        <v>46196</v>
      </c>
      <c r="O667" s="10">
        <f>IF($N667="","No","Yes")</f>
        <v/>
      </c>
      <c r="P667" s="12">
        <f>IF(OR($F667="",$G667=""),0,IF(AND($F667&lt;=README!$B$4,README!$B$4&lt;=$G667),1,0))</f>
        <v/>
      </c>
      <c r="Q667" s="12">
        <f>IF(OR($F667="",$G667=""),0,IF(AND($F667&lt;=DATE(README!$B$5,12,31),$G667&gt;=DATE(README!$B$5,1,1)),1,0))</f>
        <v/>
      </c>
      <c r="R667" s="10" t="inlineStr">
        <is>
          <t>GUT-VEH0038</t>
        </is>
      </c>
      <c r="S667" s="11" t="n">
        <v>46193</v>
      </c>
      <c r="T667" s="10" t="inlineStr">
        <is>
          <t>5</t>
        </is>
      </c>
      <c r="U667" s="10" t="inlineStr">
        <is>
          <t>VEHICLE</t>
        </is>
      </c>
      <c r="V667" s="10" t="inlineStr">
        <is>
          <t>T</t>
        </is>
      </c>
      <c r="W667" s="10" t="inlineStr">
        <is>
          <t>VIVEK B</t>
        </is>
      </c>
    </row>
    <row r="668">
      <c r="A668" s="10" t="inlineStr">
        <is>
          <t>TN58BJ3636</t>
        </is>
      </c>
      <c r="B668" s="10" t="inlineStr">
        <is>
          <t>SOCKS</t>
        </is>
      </c>
      <c r="C668" s="10" t="inlineStr">
        <is>
          <t>ADBLU</t>
        </is>
      </c>
      <c r="D668" s="10" t="inlineStr">
        <is>
          <t>ADBLU</t>
        </is>
      </c>
      <c r="E668" s="10" t="inlineStr">
        <is>
          <t>YEARLY</t>
        </is>
      </c>
      <c r="F668" s="11" t="n">
        <v>45383</v>
      </c>
      <c r="G668" s="11" t="n">
        <v>45747</v>
      </c>
      <c r="H668" s="12">
        <f>IF(OR($F668="",$G668=""),"",$G668-$F668+1)</f>
        <v/>
      </c>
      <c r="I668" s="10">
        <f>IF($F668="","",IF(MONTH($F668)&gt;=4,YEAR($F668)&amp;"-"&amp;TEXT(YEAR($F668)+1-2000,"00"),YEAR($F668)-1&amp;"-"&amp;TEXT(YEAR($F668)-2000,"00")))</f>
        <v/>
      </c>
      <c r="J668" s="13" t="n">
        <v>61</v>
      </c>
      <c r="K668" s="14">
        <f>IFERROR($L668/$J668,"")</f>
        <v/>
      </c>
      <c r="L668" s="13" t="n">
        <v>1220</v>
      </c>
      <c r="M668" s="13">
        <f>IFERROR($L668/$H668,"")</f>
        <v/>
      </c>
      <c r="N668" s="11" t="n">
        <v>45479</v>
      </c>
      <c r="O668" s="10">
        <f>IF($N668="","No","Yes")</f>
        <v/>
      </c>
      <c r="P668" s="12">
        <f>IF(OR($F668="",$G668=""),0,IF(AND($F668&lt;=README!$B$4,README!$B$4&lt;=$G668),1,0))</f>
        <v/>
      </c>
      <c r="Q668" s="12">
        <f>IF(OR($F668="",$G668=""),0,IF(AND($F668&lt;=DATE(README!$B$5,12,31),$G668&gt;=DATE(README!$B$5,1,1)),1,0))</f>
        <v/>
      </c>
      <c r="R668" s="10" t="inlineStr">
        <is>
          <t>GUP-VEH0008</t>
        </is>
      </c>
      <c r="S668" s="11" t="n">
        <v>45461</v>
      </c>
      <c r="T668" s="10" t="inlineStr">
        <is>
          <t>541</t>
        </is>
      </c>
      <c r="U668" s="10" t="inlineStr">
        <is>
          <t>VEHICLE</t>
        </is>
      </c>
      <c r="V668" s="10" t="inlineStr">
        <is>
          <t>T</t>
        </is>
      </c>
      <c r="W668" s="10" t="inlineStr">
        <is>
          <t>VIVEK B</t>
        </is>
      </c>
    </row>
    <row r="669">
      <c r="A669" s="10" t="inlineStr">
        <is>
          <t>TN58BJ3636</t>
        </is>
      </c>
      <c r="B669" s="10" t="inlineStr">
        <is>
          <t>SOCKS</t>
        </is>
      </c>
      <c r="C669" s="10" t="inlineStr">
        <is>
          <t>ADBLU</t>
        </is>
      </c>
      <c r="D669" s="10" t="inlineStr">
        <is>
          <t>ADBLU</t>
        </is>
      </c>
      <c r="E669" s="10" t="inlineStr">
        <is>
          <t>YEARLY</t>
        </is>
      </c>
      <c r="F669" s="11" t="n">
        <v>45383</v>
      </c>
      <c r="G669" s="11" t="n">
        <v>45747</v>
      </c>
      <c r="H669" s="12">
        <f>IF(OR($F669="",$G669=""),"",$G669-$F669+1)</f>
        <v/>
      </c>
      <c r="I669" s="10">
        <f>IF($F669="","",IF(MONTH($F669)&gt;=4,YEAR($F669)&amp;"-"&amp;TEXT(YEAR($F669)+1-2000,"00"),YEAR($F669)-1&amp;"-"&amp;TEXT(YEAR($F669)-2000,"00")))</f>
        <v/>
      </c>
      <c r="J669" s="13" t="n">
        <v>61</v>
      </c>
      <c r="K669" s="14">
        <f>IFERROR($L669/$J669,"")</f>
        <v/>
      </c>
      <c r="L669" s="13" t="n">
        <v>1708</v>
      </c>
      <c r="M669" s="13">
        <f>IFERROR($L669/$H669,"")</f>
        <v/>
      </c>
      <c r="N669" s="11" t="n">
        <v>45623</v>
      </c>
      <c r="O669" s="10">
        <f>IF($N669="","No","Yes")</f>
        <v/>
      </c>
      <c r="P669" s="12">
        <f>IF(OR($F669="",$G669=""),0,IF(AND($F669&lt;=README!$B$4,README!$B$4&lt;=$G669),1,0))</f>
        <v/>
      </c>
      <c r="Q669" s="12">
        <f>IF(OR($F669="",$G669=""),0,IF(AND($F669&lt;=DATE(README!$B$5,12,31),$G669&gt;=DATE(README!$B$5,1,1)),1,0))</f>
        <v/>
      </c>
      <c r="R669" s="10" t="inlineStr">
        <is>
          <t>GUP-VEH0008</t>
        </is>
      </c>
      <c r="S669" s="11" t="n">
        <v>45461</v>
      </c>
      <c r="T669" s="10" t="inlineStr">
        <is>
          <t>541</t>
        </is>
      </c>
      <c r="U669" s="10" t="inlineStr">
        <is>
          <t>VEHICLE</t>
        </is>
      </c>
      <c r="V669" s="10" t="inlineStr">
        <is>
          <t>T</t>
        </is>
      </c>
      <c r="W669" s="10" t="inlineStr">
        <is>
          <t>VIVEK B</t>
        </is>
      </c>
    </row>
    <row r="670">
      <c r="A670" s="10" t="inlineStr">
        <is>
          <t>TN58BJ3636</t>
        </is>
      </c>
      <c r="B670" s="10" t="inlineStr">
        <is>
          <t>SOCKS</t>
        </is>
      </c>
      <c r="C670" s="10" t="inlineStr">
        <is>
          <t>ADBLU</t>
        </is>
      </c>
      <c r="D670" s="10" t="inlineStr">
        <is>
          <t>ADBLU</t>
        </is>
      </c>
      <c r="E670" s="10" t="inlineStr">
        <is>
          <t>YEARLY</t>
        </is>
      </c>
      <c r="F670" s="11" t="n">
        <v>45383</v>
      </c>
      <c r="G670" s="11" t="n">
        <v>45747</v>
      </c>
      <c r="H670" s="12">
        <f>IF(OR($F670="",$G670=""),"",$G670-$F670+1)</f>
        <v/>
      </c>
      <c r="I670" s="10">
        <f>IF($F670="","",IF(MONTH($F670)&gt;=4,YEAR($F670)&amp;"-"&amp;TEXT(YEAR($F670)+1-2000,"00"),YEAR($F670)-1&amp;"-"&amp;TEXT(YEAR($F670)-2000,"00")))</f>
        <v/>
      </c>
      <c r="J670" s="13" t="n">
        <v>61</v>
      </c>
      <c r="K670" s="14">
        <f>IFERROR($L670/$J670,"")</f>
        <v/>
      </c>
      <c r="L670" s="13" t="n">
        <v>1586</v>
      </c>
      <c r="M670" s="13">
        <f>IFERROR($L670/$H670,"")</f>
        <v/>
      </c>
      <c r="N670" s="11" t="n">
        <v>45602</v>
      </c>
      <c r="O670" s="10">
        <f>IF($N670="","No","Yes")</f>
        <v/>
      </c>
      <c r="P670" s="12">
        <f>IF(OR($F670="",$G670=""),0,IF(AND($F670&lt;=README!$B$4,README!$B$4&lt;=$G670),1,0))</f>
        <v/>
      </c>
      <c r="Q670" s="12">
        <f>IF(OR($F670="",$G670=""),0,IF(AND($F670&lt;=DATE(README!$B$5,12,31),$G670&gt;=DATE(README!$B$5,1,1)),1,0))</f>
        <v/>
      </c>
      <c r="R670" s="10" t="inlineStr">
        <is>
          <t>GUP-VEH0008</t>
        </is>
      </c>
      <c r="S670" s="11" t="n">
        <v>45461</v>
      </c>
      <c r="T670" s="10" t="inlineStr">
        <is>
          <t>541</t>
        </is>
      </c>
      <c r="U670" s="10" t="inlineStr">
        <is>
          <t>VEHICLE</t>
        </is>
      </c>
      <c r="V670" s="10" t="inlineStr">
        <is>
          <t>T</t>
        </is>
      </c>
      <c r="W670" s="10" t="inlineStr">
        <is>
          <t>VIVEK B</t>
        </is>
      </c>
    </row>
    <row r="671">
      <c r="A671" s="10" t="inlineStr">
        <is>
          <t>TN58BJ3636</t>
        </is>
      </c>
      <c r="B671" s="10" t="inlineStr">
        <is>
          <t>SOCKS</t>
        </is>
      </c>
      <c r="C671" s="10" t="inlineStr">
        <is>
          <t>ADBLU</t>
        </is>
      </c>
      <c r="D671" s="10" t="inlineStr">
        <is>
          <t>ADBLU</t>
        </is>
      </c>
      <c r="E671" s="10" t="inlineStr">
        <is>
          <t>YEARLY</t>
        </is>
      </c>
      <c r="F671" s="11" t="n">
        <v>45383</v>
      </c>
      <c r="G671" s="11" t="n">
        <v>45747</v>
      </c>
      <c r="H671" s="12">
        <f>IF(OR($F671="",$G671=""),"",$G671-$F671+1)</f>
        <v/>
      </c>
      <c r="I671" s="10">
        <f>IF($F671="","",IF(MONTH($F671)&gt;=4,YEAR($F671)&amp;"-"&amp;TEXT(YEAR($F671)+1-2000,"00"),YEAR($F671)-1&amp;"-"&amp;TEXT(YEAR($F671)-2000,"00")))</f>
        <v/>
      </c>
      <c r="J671" s="13" t="n">
        <v>61</v>
      </c>
      <c r="K671" s="14">
        <f>IFERROR($L671/$J671,"")</f>
        <v/>
      </c>
      <c r="L671" s="13" t="n">
        <v>7320</v>
      </c>
      <c r="M671" s="13">
        <f>IFERROR($L671/$H671,"")</f>
        <v/>
      </c>
      <c r="N671" s="11" t="n">
        <v>45700</v>
      </c>
      <c r="O671" s="10">
        <f>IF($N671="","No","Yes")</f>
        <v/>
      </c>
      <c r="P671" s="12">
        <f>IF(OR($F671="",$G671=""),0,IF(AND($F671&lt;=README!$B$4,README!$B$4&lt;=$G671),1,0))</f>
        <v/>
      </c>
      <c r="Q671" s="12">
        <f>IF(OR($F671="",$G671=""),0,IF(AND($F671&lt;=DATE(README!$B$5,12,31),$G671&gt;=DATE(README!$B$5,1,1)),1,0))</f>
        <v/>
      </c>
      <c r="R671" s="10" t="inlineStr">
        <is>
          <t>GUP-VEH0008</t>
        </is>
      </c>
      <c r="S671" s="11" t="n">
        <v>45461</v>
      </c>
      <c r="T671" s="10" t="inlineStr">
        <is>
          <t>541</t>
        </is>
      </c>
      <c r="U671" s="10" t="inlineStr">
        <is>
          <t>VEHICLE</t>
        </is>
      </c>
      <c r="V671" s="10" t="inlineStr">
        <is>
          <t>T</t>
        </is>
      </c>
      <c r="W671" s="10" t="inlineStr">
        <is>
          <t>VIVEK B</t>
        </is>
      </c>
    </row>
    <row r="672">
      <c r="A672" s="10" t="inlineStr">
        <is>
          <t>TN58BJ3636</t>
        </is>
      </c>
      <c r="B672" s="10" t="inlineStr">
        <is>
          <t>SOCKS</t>
        </is>
      </c>
      <c r="C672" s="10" t="inlineStr">
        <is>
          <t>ADBLU</t>
        </is>
      </c>
      <c r="D672" s="10" t="inlineStr">
        <is>
          <t>ADBLU</t>
        </is>
      </c>
      <c r="E672" s="10" t="inlineStr">
        <is>
          <t>YEARLY</t>
        </is>
      </c>
      <c r="F672" s="11" t="n">
        <v>45383</v>
      </c>
      <c r="G672" s="11" t="n">
        <v>45747</v>
      </c>
      <c r="H672" s="12">
        <f>IF(OR($F672="",$G672=""),"",$G672-$F672+1)</f>
        <v/>
      </c>
      <c r="I672" s="10">
        <f>IF($F672="","",IF(MONTH($F672)&gt;=4,YEAR($F672)&amp;"-"&amp;TEXT(YEAR($F672)+1-2000,"00"),YEAR($F672)-1&amp;"-"&amp;TEXT(YEAR($F672)-2000,"00")))</f>
        <v/>
      </c>
      <c r="J672" s="13" t="n">
        <v>61</v>
      </c>
      <c r="K672" s="14">
        <f>IFERROR($L672/$J672,"")</f>
        <v/>
      </c>
      <c r="L672" s="13" t="n">
        <v>7320</v>
      </c>
      <c r="M672" s="13">
        <f>IFERROR($L672/$H672,"")</f>
        <v/>
      </c>
      <c r="N672" s="11" t="n">
        <v>45700</v>
      </c>
      <c r="O672" s="10">
        <f>IF($N672="","No","Yes")</f>
        <v/>
      </c>
      <c r="P672" s="12">
        <f>IF(OR($F672="",$G672=""),0,IF(AND($F672&lt;=README!$B$4,README!$B$4&lt;=$G672),1,0))</f>
        <v/>
      </c>
      <c r="Q672" s="12">
        <f>IF(OR($F672="",$G672=""),0,IF(AND($F672&lt;=DATE(README!$B$5,12,31),$G672&gt;=DATE(README!$B$5,1,1)),1,0))</f>
        <v/>
      </c>
      <c r="R672" s="10" t="inlineStr">
        <is>
          <t>GUP-VEH0008</t>
        </is>
      </c>
      <c r="S672" s="11" t="n">
        <v>45461</v>
      </c>
      <c r="T672" s="10" t="inlineStr">
        <is>
          <t>541</t>
        </is>
      </c>
      <c r="U672" s="10" t="inlineStr">
        <is>
          <t>VEHICLE</t>
        </is>
      </c>
      <c r="V672" s="10" t="inlineStr">
        <is>
          <t>T</t>
        </is>
      </c>
      <c r="W672" s="10" t="inlineStr">
        <is>
          <t>VIVEK B</t>
        </is>
      </c>
    </row>
    <row r="673">
      <c r="A673" s="10" t="inlineStr">
        <is>
          <t>TN58BJ3636</t>
        </is>
      </c>
      <c r="B673" s="10" t="inlineStr">
        <is>
          <t>SOCKS</t>
        </is>
      </c>
      <c r="C673" s="10" t="inlineStr">
        <is>
          <t>ROAD TAX</t>
        </is>
      </c>
      <c r="D673" s="10" t="inlineStr">
        <is>
          <t>ROAD TAX</t>
        </is>
      </c>
      <c r="E673" s="10" t="inlineStr">
        <is>
          <t>YEARLY</t>
        </is>
      </c>
      <c r="F673" s="11" t="n">
        <v>45383</v>
      </c>
      <c r="G673" s="11" t="n">
        <v>45747</v>
      </c>
      <c r="H673" s="12">
        <f>IF(OR($F673="",$G673=""),"",$G673-$F673+1)</f>
        <v/>
      </c>
      <c r="I673" s="10">
        <f>IF($F673="","",IF(MONTH($F673)&gt;=4,YEAR($F673)&amp;"-"&amp;TEXT(YEAR($F673)+1-2000,"00"),YEAR($F673)-1&amp;"-"&amp;TEXT(YEAR($F673)-2000,"00")))</f>
        <v/>
      </c>
      <c r="J673" s="13" t="n">
        <v>32724</v>
      </c>
      <c r="K673" s="14">
        <f>IFERROR($L673/$J673,"")</f>
        <v/>
      </c>
      <c r="L673" s="13" t="n">
        <v>32724</v>
      </c>
      <c r="M673" s="13">
        <f>IFERROR($L673/$H673,"")</f>
        <v/>
      </c>
      <c r="N673" s="11" t="n">
        <v>45649</v>
      </c>
      <c r="O673" s="10">
        <f>IF($N673="","No","Yes")</f>
        <v/>
      </c>
      <c r="P673" s="12">
        <f>IF(OR($F673="",$G673=""),0,IF(AND($F673&lt;=README!$B$4,README!$B$4&lt;=$G673),1,0))</f>
        <v/>
      </c>
      <c r="Q673" s="12">
        <f>IF(OR($F673="",$G673=""),0,IF(AND($F673&lt;=DATE(README!$B$5,12,31),$G673&gt;=DATE(README!$B$5,1,1)),1,0))</f>
        <v/>
      </c>
      <c r="R673" s="10" t="inlineStr">
        <is>
          <t>GUP-VEH0011</t>
        </is>
      </c>
      <c r="S673" s="11" t="n">
        <v>45477</v>
      </c>
      <c r="T673" s="10" t="inlineStr">
        <is>
          <t>548</t>
        </is>
      </c>
      <c r="U673" s="10" t="inlineStr">
        <is>
          <t>VEHICLE</t>
        </is>
      </c>
      <c r="V673" s="10" t="inlineStr">
        <is>
          <t>T</t>
        </is>
      </c>
      <c r="W673" s="10" t="inlineStr">
        <is>
          <t>VIVEK B</t>
        </is>
      </c>
    </row>
    <row r="674">
      <c r="A674" s="10" t="inlineStr">
        <is>
          <t>TN58BJ3636</t>
        </is>
      </c>
      <c r="B674" s="10" t="inlineStr">
        <is>
          <t>SOCKS</t>
        </is>
      </c>
      <c r="C674" s="10" t="inlineStr">
        <is>
          <t>ROAD TAX</t>
        </is>
      </c>
      <c r="D674" s="10" t="inlineStr">
        <is>
          <t>ROAD TAX</t>
        </is>
      </c>
      <c r="E674" s="10" t="inlineStr">
        <is>
          <t>YEARLY</t>
        </is>
      </c>
      <c r="F674" s="11" t="n">
        <v>45383</v>
      </c>
      <c r="G674" s="11" t="n">
        <v>45747</v>
      </c>
      <c r="H674" s="12">
        <f>IF(OR($F674="",$G674=""),"",$G674-$F674+1)</f>
        <v/>
      </c>
      <c r="I674" s="10">
        <f>IF($F674="","",IF(MONTH($F674)&gt;=4,YEAR($F674)&amp;"-"&amp;TEXT(YEAR($F674)+1-2000,"00"),YEAR($F674)-1&amp;"-"&amp;TEXT(YEAR($F674)-2000,"00")))</f>
        <v/>
      </c>
      <c r="J674" s="13" t="n">
        <v>32724</v>
      </c>
      <c r="K674" s="14">
        <f>IFERROR($L674/$J674,"")</f>
        <v/>
      </c>
      <c r="L674" s="13" t="n">
        <v>32724</v>
      </c>
      <c r="M674" s="13">
        <f>IFERROR($L674/$H674,"")</f>
        <v/>
      </c>
      <c r="N674" s="11" t="n">
        <v>45569</v>
      </c>
      <c r="O674" s="10">
        <f>IF($N674="","No","Yes")</f>
        <v/>
      </c>
      <c r="P674" s="12">
        <f>IF(OR($F674="",$G674=""),0,IF(AND($F674&lt;=README!$B$4,README!$B$4&lt;=$G674),1,0))</f>
        <v/>
      </c>
      <c r="Q674" s="12">
        <f>IF(OR($F674="",$G674=""),0,IF(AND($F674&lt;=DATE(README!$B$5,12,31),$G674&gt;=DATE(README!$B$5,1,1)),1,0))</f>
        <v/>
      </c>
      <c r="R674" s="10" t="inlineStr">
        <is>
          <t>GUP-VEH0011</t>
        </is>
      </c>
      <c r="S674" s="11" t="n">
        <v>45477</v>
      </c>
      <c r="T674" s="10" t="inlineStr">
        <is>
          <t>548</t>
        </is>
      </c>
      <c r="U674" s="10" t="inlineStr">
        <is>
          <t>VEHICLE</t>
        </is>
      </c>
      <c r="V674" s="10" t="inlineStr">
        <is>
          <t>T</t>
        </is>
      </c>
      <c r="W674" s="10" t="inlineStr">
        <is>
          <t>VIVEK B</t>
        </is>
      </c>
    </row>
    <row r="675">
      <c r="A675" s="10" t="inlineStr">
        <is>
          <t>TN58BJ3636</t>
        </is>
      </c>
      <c r="B675" s="10" t="inlineStr">
        <is>
          <t>SOCKS</t>
        </is>
      </c>
      <c r="C675" s="10" t="inlineStr">
        <is>
          <t>ROAD TAX</t>
        </is>
      </c>
      <c r="D675" s="10" t="inlineStr">
        <is>
          <t>ROAD TAX</t>
        </is>
      </c>
      <c r="E675" s="10" t="inlineStr">
        <is>
          <t>YEARLY</t>
        </is>
      </c>
      <c r="F675" s="11" t="n">
        <v>45383</v>
      </c>
      <c r="G675" s="11" t="n">
        <v>45747</v>
      </c>
      <c r="H675" s="12">
        <f>IF(OR($F675="",$G675=""),"",$G675-$F675+1)</f>
        <v/>
      </c>
      <c r="I675" s="10">
        <f>IF($F675="","",IF(MONTH($F675)&gt;=4,YEAR($F675)&amp;"-"&amp;TEXT(YEAR($F675)+1-2000,"00"),YEAR($F675)-1&amp;"-"&amp;TEXT(YEAR($F675)-2000,"00")))</f>
        <v/>
      </c>
      <c r="J675" s="13" t="n">
        <v>32724</v>
      </c>
      <c r="K675" s="14">
        <f>IFERROR($L675/$J675,"")</f>
        <v/>
      </c>
      <c r="L675" s="13" t="n">
        <v>32724</v>
      </c>
      <c r="M675" s="13">
        <f>IFERROR($L675/$H675,"")</f>
        <v/>
      </c>
      <c r="N675" s="11" t="n">
        <v>45481</v>
      </c>
      <c r="O675" s="10">
        <f>IF($N675="","No","Yes")</f>
        <v/>
      </c>
      <c r="P675" s="12">
        <f>IF(OR($F675="",$G675=""),0,IF(AND($F675&lt;=README!$B$4,README!$B$4&lt;=$G675),1,0))</f>
        <v/>
      </c>
      <c r="Q675" s="12">
        <f>IF(OR($F675="",$G675=""),0,IF(AND($F675&lt;=DATE(README!$B$5,12,31),$G675&gt;=DATE(README!$B$5,1,1)),1,0))</f>
        <v/>
      </c>
      <c r="R675" s="10" t="inlineStr">
        <is>
          <t>GUP-VEH0011</t>
        </is>
      </c>
      <c r="S675" s="11" t="n">
        <v>45477</v>
      </c>
      <c r="T675" s="10" t="inlineStr">
        <is>
          <t>548</t>
        </is>
      </c>
      <c r="U675" s="10" t="inlineStr">
        <is>
          <t>VEHICLE</t>
        </is>
      </c>
      <c r="V675" s="10" t="inlineStr">
        <is>
          <t>T</t>
        </is>
      </c>
      <c r="W675" s="10" t="inlineStr">
        <is>
          <t>VIVEK B</t>
        </is>
      </c>
    </row>
    <row r="676">
      <c r="A676" s="10" t="inlineStr">
        <is>
          <t>TN58BJ3636</t>
        </is>
      </c>
      <c r="B676" s="10" t="inlineStr">
        <is>
          <t>SOCKS</t>
        </is>
      </c>
      <c r="C676" s="10" t="inlineStr">
        <is>
          <t>TYRE</t>
        </is>
      </c>
      <c r="D676" s="10" t="inlineStr">
        <is>
          <t>TYRE</t>
        </is>
      </c>
      <c r="E676" s="10" t="inlineStr">
        <is>
          <t>YEARLY</t>
        </is>
      </c>
      <c r="F676" s="11" t="n">
        <v>45383</v>
      </c>
      <c r="G676" s="11" t="n">
        <v>45747</v>
      </c>
      <c r="H676" s="12">
        <f>IF(OR($F676="",$G676=""),"",$G676-$F676+1)</f>
        <v/>
      </c>
      <c r="I676" s="10">
        <f>IF($F676="","",IF(MONTH($F676)&gt;=4,YEAR($F676)&amp;"-"&amp;TEXT(YEAR($F676)+1-2000,"00"),YEAR($F676)-1&amp;"-"&amp;TEXT(YEAR($F676)-2000,"00")))</f>
        <v/>
      </c>
      <c r="J676" s="13" t="n">
        <v>30200</v>
      </c>
      <c r="K676" s="14">
        <f>IFERROR($L676/$J676,"")</f>
        <v/>
      </c>
      <c r="L676" s="13" t="n">
        <v>30200</v>
      </c>
      <c r="M676" s="13">
        <f>IFERROR($L676/$H676,"")</f>
        <v/>
      </c>
      <c r="N676" s="11" t="n">
        <v>45652</v>
      </c>
      <c r="O676" s="10">
        <f>IF($N676="","No","Yes")</f>
        <v/>
      </c>
      <c r="P676" s="12">
        <f>IF(OR($F676="",$G676=""),0,IF(AND($F676&lt;=README!$B$4,README!$B$4&lt;=$G676),1,0))</f>
        <v/>
      </c>
      <c r="Q676" s="12">
        <f>IF(OR($F676="",$G676=""),0,IF(AND($F676&lt;=DATE(README!$B$5,12,31),$G676&gt;=DATE(README!$B$5,1,1)),1,0))</f>
        <v/>
      </c>
      <c r="R676" s="10" t="inlineStr">
        <is>
          <t>GUP-VEH0006</t>
        </is>
      </c>
      <c r="S676" s="11" t="n">
        <v>45442</v>
      </c>
      <c r="T676" s="10" t="inlineStr">
        <is>
          <t>522</t>
        </is>
      </c>
      <c r="U676" s="10" t="inlineStr">
        <is>
          <t>VEHICLE</t>
        </is>
      </c>
      <c r="V676" s="10" t="inlineStr">
        <is>
          <t>T</t>
        </is>
      </c>
      <c r="W676" s="10" t="inlineStr">
        <is>
          <t>VIVEK B</t>
        </is>
      </c>
    </row>
    <row r="677">
      <c r="A677" s="10" t="inlineStr">
        <is>
          <t>TN58BJ3636</t>
        </is>
      </c>
      <c r="B677" s="10" t="inlineStr">
        <is>
          <t>SOCKS</t>
        </is>
      </c>
      <c r="C677" s="10" t="inlineStr">
        <is>
          <t>VEHICLE INSURANCE</t>
        </is>
      </c>
      <c r="D677" s="10" t="inlineStr">
        <is>
          <t>VEHICLE INSURANCE</t>
        </is>
      </c>
      <c r="E677" s="10" t="inlineStr">
        <is>
          <t>YEARLY</t>
        </is>
      </c>
      <c r="F677" s="11" t="n">
        <v>45383</v>
      </c>
      <c r="G677" s="11" t="n">
        <v>45747</v>
      </c>
      <c r="H677" s="12">
        <f>IF(OR($F677="",$G677=""),"",$G677-$F677+1)</f>
        <v/>
      </c>
      <c r="I677" s="10">
        <f>IF($F677="","",IF(MONTH($F677)&gt;=4,YEAR($F677)&amp;"-"&amp;TEXT(YEAR($F677)+1-2000,"00"),YEAR($F677)-1&amp;"-"&amp;TEXT(YEAR($F677)-2000,"00")))</f>
        <v/>
      </c>
      <c r="J677" s="13" t="n">
        <v>79453</v>
      </c>
      <c r="K677" s="14">
        <f>IFERROR($L677/$J677,"")</f>
        <v/>
      </c>
      <c r="L677" s="13" t="n">
        <v>79453</v>
      </c>
      <c r="M677" s="13">
        <f>IFERROR($L677/$H677,"")</f>
        <v/>
      </c>
      <c r="N677" s="11" t="n">
        <v>45632</v>
      </c>
      <c r="O677" s="10">
        <f>IF($N677="","No","Yes")</f>
        <v/>
      </c>
      <c r="P677" s="12">
        <f>IF(OR($F677="",$G677=""),0,IF(AND($F677&lt;=README!$B$4,README!$B$4&lt;=$G677),1,0))</f>
        <v/>
      </c>
      <c r="Q677" s="12">
        <f>IF(OR($F677="",$G677=""),0,IF(AND($F677&lt;=DATE(README!$B$5,12,31),$G677&gt;=DATE(README!$B$5,1,1)),1,0))</f>
        <v/>
      </c>
      <c r="R677" s="10" t="inlineStr">
        <is>
          <t>GUP-VEH0013</t>
        </is>
      </c>
      <c r="S677" s="11" t="n">
        <v>45478</v>
      </c>
      <c r="T677" s="10" t="inlineStr">
        <is>
          <t>550</t>
        </is>
      </c>
      <c r="U677" s="10" t="inlineStr">
        <is>
          <t>VEHICLE</t>
        </is>
      </c>
      <c r="V677" s="10" t="inlineStr">
        <is>
          <t>T</t>
        </is>
      </c>
      <c r="W677" s="10" t="inlineStr">
        <is>
          <t>VIVEK B</t>
        </is>
      </c>
    </row>
    <row r="678">
      <c r="A678" s="10" t="inlineStr">
        <is>
          <t>TN58BJ3636</t>
        </is>
      </c>
      <c r="B678" s="10" t="inlineStr">
        <is>
          <t>SOCKS</t>
        </is>
      </c>
      <c r="C678" s="10" t="inlineStr">
        <is>
          <t>VEHICLE OUTSIDE SERVICES</t>
        </is>
      </c>
      <c r="D678" s="10" t="inlineStr">
        <is>
          <t xml:space="preserve">MAINTENANCE SERVICE </t>
        </is>
      </c>
      <c r="E678" s="10" t="inlineStr">
        <is>
          <t>YEARLY</t>
        </is>
      </c>
      <c r="F678" s="11" t="n">
        <v>45383</v>
      </c>
      <c r="G678" s="11" t="n">
        <v>45747</v>
      </c>
      <c r="H678" s="12">
        <f>IF(OR($F678="",$G678=""),"",$G678-$F678+1)</f>
        <v/>
      </c>
      <c r="I678" s="10">
        <f>IF($F678="","",IF(MONTH($F678)&gt;=4,YEAR($F678)&amp;"-"&amp;TEXT(YEAR($F678)+1-2000,"00"),YEAR($F678)-1&amp;"-"&amp;TEXT(YEAR($F678)-2000,"00")))</f>
        <v/>
      </c>
      <c r="J678" s="13" t="n">
        <v>25471.34</v>
      </c>
      <c r="K678" s="14">
        <f>IFERROR($L678/$J678,"")</f>
        <v/>
      </c>
      <c r="L678" s="13" t="n">
        <v>25471.34</v>
      </c>
      <c r="M678" s="13">
        <f>IFERROR($L678/$H678,"")</f>
        <v/>
      </c>
      <c r="N678" s="11" t="n">
        <v>45605</v>
      </c>
      <c r="O678" s="10">
        <f>IF($N678="","No","Yes")</f>
        <v/>
      </c>
      <c r="P678" s="12">
        <f>IF(OR($F678="",$G678=""),0,IF(AND($F678&lt;=README!$B$4,README!$B$4&lt;=$G678),1,0))</f>
        <v/>
      </c>
      <c r="Q678" s="12">
        <f>IF(OR($F678="",$G678=""),0,IF(AND($F678&lt;=DATE(README!$B$5,12,31),$G678&gt;=DATE(README!$B$5,1,1)),1,0))</f>
        <v/>
      </c>
      <c r="R678" s="10" t="inlineStr">
        <is>
          <t>GUP-VEH0012</t>
        </is>
      </c>
      <c r="S678" s="11" t="n">
        <v>45477</v>
      </c>
      <c r="T678" s="10" t="inlineStr">
        <is>
          <t>549</t>
        </is>
      </c>
      <c r="U678" s="10" t="inlineStr">
        <is>
          <t>VEHICLE</t>
        </is>
      </c>
      <c r="V678" s="10" t="inlineStr">
        <is>
          <t>T</t>
        </is>
      </c>
      <c r="W678" s="10" t="inlineStr">
        <is>
          <t>VIVEK B</t>
        </is>
      </c>
    </row>
    <row r="679">
      <c r="A679" s="10" t="inlineStr">
        <is>
          <t>TN58BJ3636</t>
        </is>
      </c>
      <c r="B679" s="10" t="inlineStr">
        <is>
          <t>SOCKS</t>
        </is>
      </c>
      <c r="C679" s="10" t="inlineStr">
        <is>
          <t>VEHICLE OUTSIDE SERVICES</t>
        </is>
      </c>
      <c r="D679" s="10" t="inlineStr">
        <is>
          <t>MAINTENANCE SERVICE - 2</t>
        </is>
      </c>
      <c r="E679" s="10" t="inlineStr">
        <is>
          <t>YEARLY</t>
        </is>
      </c>
      <c r="F679" s="11" t="n">
        <v>45383</v>
      </c>
      <c r="G679" s="11" t="n">
        <v>45747</v>
      </c>
      <c r="H679" s="12">
        <f>IF(OR($F679="",$G679=""),"",$G679-$F679+1)</f>
        <v/>
      </c>
      <c r="I679" s="10">
        <f>IF($F679="","",IF(MONTH($F679)&gt;=4,YEAR($F679)&amp;"-"&amp;TEXT(YEAR($F679)+1-2000,"00"),YEAR($F679)-1&amp;"-"&amp;TEXT(YEAR($F679)-2000,"00")))</f>
        <v/>
      </c>
      <c r="J679" s="13" t="n">
        <v>24941.7</v>
      </c>
      <c r="K679" s="14">
        <f>IFERROR($L679/$J679,"")</f>
        <v/>
      </c>
      <c r="L679" s="13" t="n">
        <v>24941.7</v>
      </c>
      <c r="M679" s="13">
        <f>IFERROR($L679/$H679,"")</f>
        <v/>
      </c>
      <c r="N679" s="11" t="n">
        <v>45749</v>
      </c>
      <c r="O679" s="10">
        <f>IF($N679="","No","Yes")</f>
        <v/>
      </c>
      <c r="P679" s="12">
        <f>IF(OR($F679="",$G679=""),0,IF(AND($F679&lt;=README!$B$4,README!$B$4&lt;=$G679),1,0))</f>
        <v/>
      </c>
      <c r="Q679" s="12">
        <f>IF(OR($F679="",$G679=""),0,IF(AND($F679&lt;=DATE(README!$B$5,12,31),$G679&gt;=DATE(README!$B$5,1,1)),1,0))</f>
        <v/>
      </c>
      <c r="R679" s="10" t="inlineStr">
        <is>
          <t>GUP-VEH0012</t>
        </is>
      </c>
      <c r="S679" s="11" t="n">
        <v>45477</v>
      </c>
      <c r="T679" s="10" t="inlineStr">
        <is>
          <t>549</t>
        </is>
      </c>
      <c r="U679" s="10" t="inlineStr">
        <is>
          <t>VEHICLE</t>
        </is>
      </c>
      <c r="V679" s="10" t="inlineStr">
        <is>
          <t>T</t>
        </is>
      </c>
      <c r="W679" s="10" t="inlineStr">
        <is>
          <t>VIVEK B</t>
        </is>
      </c>
    </row>
    <row r="680">
      <c r="A680" s="10" t="inlineStr">
        <is>
          <t>TN58BJ3636</t>
        </is>
      </c>
      <c r="B680" s="10" t="inlineStr">
        <is>
          <t>SOCKS</t>
        </is>
      </c>
      <c r="C680" s="10" t="inlineStr">
        <is>
          <t>ROAD TAX</t>
        </is>
      </c>
      <c r="D680" s="10" t="inlineStr">
        <is>
          <t>ROAD TAX</t>
        </is>
      </c>
      <c r="E680" s="10" t="inlineStr">
        <is>
          <t>QUARTER - I</t>
        </is>
      </c>
      <c r="F680" s="11" t="n">
        <v>45748</v>
      </c>
      <c r="G680" s="11" t="n">
        <v>45838</v>
      </c>
      <c r="H680" s="12">
        <f>IF(OR($F680="",$G680=""),"",$G680-$F680+1)</f>
        <v/>
      </c>
      <c r="I680" s="10">
        <f>IF($F680="","",IF(MONTH($F680)&gt;=4,YEAR($F680)&amp;"-"&amp;TEXT(YEAR($F680)+1-2000,"00"),YEAR($F680)-1&amp;"-"&amp;TEXT(YEAR($F680)-2000,"00")))</f>
        <v/>
      </c>
      <c r="J680" s="13" t="n">
        <v>32724</v>
      </c>
      <c r="K680" s="14">
        <f>IFERROR($L680/$J680,"")</f>
        <v/>
      </c>
      <c r="L680" s="13" t="n">
        <v>32724</v>
      </c>
      <c r="M680" s="13">
        <f>IFERROR($L680/$H680,"")</f>
        <v/>
      </c>
      <c r="N680" s="11" t="n">
        <v>46030</v>
      </c>
      <c r="O680" s="10">
        <f>IF($N680="","No","Yes")</f>
        <v/>
      </c>
      <c r="P680" s="12">
        <f>IF(OR($F680="",$G680=""),0,IF(AND($F680&lt;=README!$B$4,README!$B$4&lt;=$G680),1,0))</f>
        <v/>
      </c>
      <c r="Q680" s="12">
        <f>IF(OR($F680="",$G680=""),0,IF(AND($F680&lt;=DATE(README!$B$5,12,31),$G680&gt;=DATE(README!$B$5,1,1)),1,0))</f>
        <v/>
      </c>
      <c r="R680" s="10" t="inlineStr">
        <is>
          <t>GUP-VEH0014</t>
        </is>
      </c>
      <c r="S680" s="11" t="n">
        <v>45748</v>
      </c>
      <c r="T680" s="10" t="inlineStr">
        <is>
          <t>609</t>
        </is>
      </c>
      <c r="U680" s="10" t="inlineStr">
        <is>
          <t>VEHICLE</t>
        </is>
      </c>
      <c r="V680" s="10" t="inlineStr">
        <is>
          <t>T</t>
        </is>
      </c>
      <c r="W680" s="10" t="inlineStr">
        <is>
          <t>VIVEK B</t>
        </is>
      </c>
    </row>
    <row r="681">
      <c r="A681" s="10" t="inlineStr">
        <is>
          <t>TN58BJ3636</t>
        </is>
      </c>
      <c r="B681" s="10" t="inlineStr">
        <is>
          <t>SOCKS</t>
        </is>
      </c>
      <c r="C681" s="10" t="inlineStr">
        <is>
          <t>RTO EXPENSE</t>
        </is>
      </c>
      <c r="D681" s="10" t="inlineStr">
        <is>
          <t>RTO PENALTY</t>
        </is>
      </c>
      <c r="E681" s="10" t="inlineStr">
        <is>
          <t>YEARLY</t>
        </is>
      </c>
      <c r="F681" s="11" t="n">
        <v>45748</v>
      </c>
      <c r="G681" s="11" t="n">
        <v>46112</v>
      </c>
      <c r="H681" s="12">
        <f>IF(OR($F681="",$G681=""),"",$G681-$F681+1)</f>
        <v/>
      </c>
      <c r="I681" s="10">
        <f>IF($F681="","",IF(MONTH($F681)&gt;=4,YEAR($F681)&amp;"-"&amp;TEXT(YEAR($F681)+1-2000,"00"),YEAR($F681)-1&amp;"-"&amp;TEXT(YEAR($F681)-2000,"00")))</f>
        <v/>
      </c>
      <c r="J681" s="13" t="n">
        <v>8276</v>
      </c>
      <c r="K681" s="14">
        <f>IFERROR($L681/$J681,"")</f>
        <v/>
      </c>
      <c r="L681" s="13" t="n">
        <v>8276</v>
      </c>
      <c r="M681" s="13">
        <f>IFERROR($L681/$H681,"")</f>
        <v/>
      </c>
      <c r="N681" s="11" t="n">
        <v>45911</v>
      </c>
      <c r="O681" s="10">
        <f>IF($N681="","No","Yes")</f>
        <v/>
      </c>
      <c r="P681" s="12">
        <f>IF(OR($F681="",$G681=""),0,IF(AND($F681&lt;=README!$B$4,README!$B$4&lt;=$G681),1,0))</f>
        <v/>
      </c>
      <c r="Q681" s="12">
        <f>IF(OR($F681="",$G681=""),0,IF(AND($F681&lt;=DATE(README!$B$5,12,31),$G681&gt;=DATE(README!$B$5,1,1)),1,0))</f>
        <v/>
      </c>
      <c r="R681" s="10" t="inlineStr">
        <is>
          <t>GUP-VEH0022</t>
        </is>
      </c>
      <c r="S681" s="11" t="n">
        <v>45834</v>
      </c>
      <c r="T681" s="10" t="inlineStr">
        <is>
          <t>655</t>
        </is>
      </c>
      <c r="U681" s="10" t="inlineStr">
        <is>
          <t>VEHICLE</t>
        </is>
      </c>
      <c r="V681" s="10" t="inlineStr">
        <is>
          <t>T</t>
        </is>
      </c>
      <c r="W681" s="10" t="inlineStr">
        <is>
          <t>VIVEK B</t>
        </is>
      </c>
    </row>
    <row r="682">
      <c r="A682" s="10" t="inlineStr">
        <is>
          <t>TN58BJ3636</t>
        </is>
      </c>
      <c r="B682" s="10" t="inlineStr">
        <is>
          <t>SOCKS</t>
        </is>
      </c>
      <c r="C682" s="10" t="inlineStr">
        <is>
          <t>VEHICLE INSURANCE</t>
        </is>
      </c>
      <c r="D682" s="10" t="inlineStr">
        <is>
          <t>VEHICLE INSURANCE</t>
        </is>
      </c>
      <c r="E682" s="10" t="inlineStr">
        <is>
          <t>YEARLY</t>
        </is>
      </c>
      <c r="F682" s="11" t="n">
        <v>45748</v>
      </c>
      <c r="G682" s="11" t="n">
        <v>46112</v>
      </c>
      <c r="H682" s="12">
        <f>IF(OR($F682="",$G682=""),"",$G682-$F682+1)</f>
        <v/>
      </c>
      <c r="I682" s="10">
        <f>IF($F682="","",IF(MONTH($F682)&gt;=4,YEAR($F682)&amp;"-"&amp;TEXT(YEAR($F682)+1-2000,"00"),YEAR($F682)-1&amp;"-"&amp;TEXT(YEAR($F682)-2000,"00")))</f>
        <v/>
      </c>
      <c r="J682" s="13" t="n">
        <v>77425</v>
      </c>
      <c r="K682" s="14">
        <f>IFERROR($L682/$J682,"")</f>
        <v/>
      </c>
      <c r="L682" s="13" t="n">
        <v>77425</v>
      </c>
      <c r="M682" s="13">
        <f>IFERROR($L682/$H682,"")</f>
        <v/>
      </c>
      <c r="N682" s="11" t="n">
        <v>45994</v>
      </c>
      <c r="O682" s="10">
        <f>IF($N682="","No","Yes")</f>
        <v/>
      </c>
      <c r="P682" s="12">
        <f>IF(OR($F682="",$G682=""),0,IF(AND($F682&lt;=README!$B$4,README!$B$4&lt;=$G682),1,0))</f>
        <v/>
      </c>
      <c r="Q682" s="12">
        <f>IF(OR($F682="",$G682=""),0,IF(AND($F682&lt;=DATE(README!$B$5,12,31),$G682&gt;=DATE(README!$B$5,1,1)),1,0))</f>
        <v/>
      </c>
      <c r="R682" s="10" t="inlineStr">
        <is>
          <t>GUP-VEH0020</t>
        </is>
      </c>
      <c r="S682" s="11" t="n">
        <v>45799</v>
      </c>
      <c r="T682" s="10" t="inlineStr">
        <is>
          <t>645</t>
        </is>
      </c>
      <c r="U682" s="10" t="inlineStr">
        <is>
          <t>VEHICLE</t>
        </is>
      </c>
      <c r="V682" s="10" t="inlineStr">
        <is>
          <t>T</t>
        </is>
      </c>
      <c r="W682" s="10" t="inlineStr">
        <is>
          <t>VIVEK B</t>
        </is>
      </c>
    </row>
    <row r="683">
      <c r="A683" s="10" t="inlineStr">
        <is>
          <t>TN58BJ3636</t>
        </is>
      </c>
      <c r="B683" s="10" t="inlineStr">
        <is>
          <t>GENERAL</t>
        </is>
      </c>
      <c r="C683" s="10" t="inlineStr">
        <is>
          <t>VEHICLE OUTSIDE SERVICES</t>
        </is>
      </c>
      <c r="D683" s="10" t="inlineStr">
        <is>
          <t>MAINTENANCE SERVICE - 2</t>
        </is>
      </c>
      <c r="E683" s="10" t="inlineStr">
        <is>
          <t>YEARLY</t>
        </is>
      </c>
      <c r="F683" s="11" t="n">
        <v>45748</v>
      </c>
      <c r="G683" s="11" t="n">
        <v>46112</v>
      </c>
      <c r="H683" s="12">
        <f>IF(OR($F683="",$G683=""),"",$G683-$F683+1)</f>
        <v/>
      </c>
      <c r="I683" s="10">
        <f>IF($F683="","",IF(MONTH($F683)&gt;=4,YEAR($F683)&amp;"-"&amp;TEXT(YEAR($F683)+1-2000,"00"),YEAR($F683)-1&amp;"-"&amp;TEXT(YEAR($F683)-2000,"00")))</f>
        <v/>
      </c>
      <c r="J683" s="13" t="n">
        <v>35838.85</v>
      </c>
      <c r="K683" s="14">
        <f>IFERROR($L683/$J683,"")</f>
        <v/>
      </c>
      <c r="L683" s="13" t="n">
        <v>35838.85</v>
      </c>
      <c r="M683" s="13">
        <f>IFERROR($L683/$H683,"")</f>
        <v/>
      </c>
      <c r="N683" s="11" t="n">
        <v>45952</v>
      </c>
      <c r="O683" s="10">
        <f>IF($N683="","No","Yes")</f>
        <v/>
      </c>
      <c r="P683" s="12">
        <f>IF(OR($F683="",$G683=""),0,IF(AND($F683&lt;=README!$B$4,README!$B$4&lt;=$G683),1,0))</f>
        <v/>
      </c>
      <c r="Q683" s="12">
        <f>IF(OR($F683="",$G683=""),0,IF(AND($F683&lt;=DATE(README!$B$5,12,31),$G683&gt;=DATE(README!$B$5,1,1)),1,0))</f>
        <v/>
      </c>
      <c r="R683" s="10" t="inlineStr">
        <is>
          <t>GUP-VEH0019</t>
        </is>
      </c>
      <c r="S683" s="11" t="n">
        <v>45777</v>
      </c>
      <c r="T683" s="10" t="inlineStr">
        <is>
          <t>638</t>
        </is>
      </c>
      <c r="U683" s="10" t="inlineStr">
        <is>
          <t>VEHICLE</t>
        </is>
      </c>
      <c r="V683" s="10" t="inlineStr">
        <is>
          <t>T</t>
        </is>
      </c>
      <c r="W683" s="10" t="inlineStr">
        <is>
          <t>VIVEK B</t>
        </is>
      </c>
    </row>
    <row r="684">
      <c r="A684" s="10" t="inlineStr">
        <is>
          <t>TN58BJ3636</t>
        </is>
      </c>
      <c r="B684" s="10" t="inlineStr">
        <is>
          <t>GENERAL</t>
        </is>
      </c>
      <c r="C684" s="10" t="inlineStr">
        <is>
          <t>VEHICLE OUTSIDE SERVICES</t>
        </is>
      </c>
      <c r="D684" s="10" t="inlineStr">
        <is>
          <t xml:space="preserve">MAINTENANCE SERVICE </t>
        </is>
      </c>
      <c r="E684" s="10" t="inlineStr">
        <is>
          <t>YEARLY</t>
        </is>
      </c>
      <c r="F684" s="11" t="n">
        <v>45748</v>
      </c>
      <c r="G684" s="11" t="n">
        <v>46112</v>
      </c>
      <c r="H684" s="12">
        <f>IF(OR($F684="",$G684=""),"",$G684-$F684+1)</f>
        <v/>
      </c>
      <c r="I684" s="10">
        <f>IF($F684="","",IF(MONTH($F684)&gt;=4,YEAR($F684)&amp;"-"&amp;TEXT(YEAR($F684)+1-2000,"00"),YEAR($F684)-1&amp;"-"&amp;TEXT(YEAR($F684)-2000,"00")))</f>
        <v/>
      </c>
      <c r="J684" s="13" t="n">
        <v>2626.99</v>
      </c>
      <c r="K684" s="14">
        <f>IFERROR($L684/$J684,"")</f>
        <v/>
      </c>
      <c r="L684" s="13" t="n">
        <v>2626.99</v>
      </c>
      <c r="M684" s="13">
        <f>IFERROR($L684/$H684,"")</f>
        <v/>
      </c>
      <c r="N684" s="11" t="n">
        <v>45925</v>
      </c>
      <c r="O684" s="10">
        <f>IF($N684="","No","Yes")</f>
        <v/>
      </c>
      <c r="P684" s="12">
        <f>IF(OR($F684="",$G684=""),0,IF(AND($F684&lt;=README!$B$4,README!$B$4&lt;=$G684),1,0))</f>
        <v/>
      </c>
      <c r="Q684" s="12">
        <f>IF(OR($F684="",$G684=""),0,IF(AND($F684&lt;=DATE(README!$B$5,12,31),$G684&gt;=DATE(README!$B$5,1,1)),1,0))</f>
        <v/>
      </c>
      <c r="R684" s="10" t="inlineStr">
        <is>
          <t>GUP-VEH0019</t>
        </is>
      </c>
      <c r="S684" s="11" t="n">
        <v>45777</v>
      </c>
      <c r="T684" s="10" t="inlineStr">
        <is>
          <t>638</t>
        </is>
      </c>
      <c r="U684" s="10" t="inlineStr">
        <is>
          <t>VEHICLE</t>
        </is>
      </c>
      <c r="V684" s="10" t="inlineStr">
        <is>
          <t>T</t>
        </is>
      </c>
      <c r="W684" s="10" t="inlineStr">
        <is>
          <t>VIVEK B</t>
        </is>
      </c>
    </row>
    <row r="685">
      <c r="A685" s="10" t="inlineStr">
        <is>
          <t>TN58BJ3636</t>
        </is>
      </c>
      <c r="B685" s="10" t="inlineStr">
        <is>
          <t>SOCKS</t>
        </is>
      </c>
      <c r="C685" s="10" t="inlineStr">
        <is>
          <t>ROAD TAX</t>
        </is>
      </c>
      <c r="D685" s="10" t="inlineStr">
        <is>
          <t>ROAD TAX</t>
        </is>
      </c>
      <c r="E685" s="10" t="inlineStr">
        <is>
          <t>QUARTER - II</t>
        </is>
      </c>
      <c r="F685" s="11" t="n">
        <v>45839</v>
      </c>
      <c r="G685" s="11" t="n">
        <v>45930</v>
      </c>
      <c r="H685" s="12">
        <f>IF(OR($F685="",$G685=""),"",$G685-$F685+1)</f>
        <v/>
      </c>
      <c r="I685" s="10">
        <f>IF($F685="","",IF(MONTH($F685)&gt;=4,YEAR($F685)&amp;"-"&amp;TEXT(YEAR($F685)+1-2000,"00"),YEAR($F685)-1&amp;"-"&amp;TEXT(YEAR($F685)-2000,"00")))</f>
        <v/>
      </c>
      <c r="J685" s="13" t="n">
        <v>32724</v>
      </c>
      <c r="K685" s="14">
        <f>IFERROR($L685/$J685,"")</f>
        <v/>
      </c>
      <c r="L685" s="13" t="n">
        <v>32724</v>
      </c>
      <c r="M685" s="13">
        <f>IFERROR($L685/$H685,"")</f>
        <v/>
      </c>
      <c r="N685" s="11" t="n">
        <v>46030</v>
      </c>
      <c r="O685" s="10">
        <f>IF($N685="","No","Yes")</f>
        <v/>
      </c>
      <c r="P685" s="12">
        <f>IF(OR($F685="",$G685=""),0,IF(AND($F685&lt;=README!$B$4,README!$B$4&lt;=$G685),1,0))</f>
        <v/>
      </c>
      <c r="Q685" s="12">
        <f>IF(OR($F685="",$G685=""),0,IF(AND($F685&lt;=DATE(README!$B$5,12,31),$G685&gt;=DATE(README!$B$5,1,1)),1,0))</f>
        <v/>
      </c>
      <c r="R685" s="10" t="inlineStr">
        <is>
          <t>GUP-VEH0014</t>
        </is>
      </c>
      <c r="S685" s="11" t="n">
        <v>45748</v>
      </c>
      <c r="T685" s="10" t="inlineStr">
        <is>
          <t>609</t>
        </is>
      </c>
      <c r="U685" s="10" t="inlineStr">
        <is>
          <t>VEHICLE</t>
        </is>
      </c>
      <c r="V685" s="10" t="inlineStr">
        <is>
          <t>T</t>
        </is>
      </c>
      <c r="W685" s="10" t="inlineStr">
        <is>
          <t>VIVEK B</t>
        </is>
      </c>
    </row>
    <row r="686">
      <c r="A686" s="10" t="inlineStr">
        <is>
          <t>TN58BJ3636</t>
        </is>
      </c>
      <c r="B686" s="10" t="inlineStr">
        <is>
          <t>SOCKS</t>
        </is>
      </c>
      <c r="C686" s="10" t="inlineStr">
        <is>
          <t>ROAD TAX</t>
        </is>
      </c>
      <c r="D686" s="10" t="inlineStr">
        <is>
          <t>ROAD TAX</t>
        </is>
      </c>
      <c r="E686" s="10" t="inlineStr">
        <is>
          <t>QUARTER - III</t>
        </is>
      </c>
      <c r="F686" s="11" t="n">
        <v>45931</v>
      </c>
      <c r="G686" s="11" t="n">
        <v>46022</v>
      </c>
      <c r="H686" s="12">
        <f>IF(OR($F686="",$G686=""),"",$G686-$F686+1)</f>
        <v/>
      </c>
      <c r="I686" s="10">
        <f>IF($F686="","",IF(MONTH($F686)&gt;=4,YEAR($F686)&amp;"-"&amp;TEXT(YEAR($F686)+1-2000,"00"),YEAR($F686)-1&amp;"-"&amp;TEXT(YEAR($F686)-2000,"00")))</f>
        <v/>
      </c>
      <c r="J686" s="13" t="n">
        <v>32734</v>
      </c>
      <c r="K686" s="14">
        <f>IFERROR($L686/$J686,"")</f>
        <v/>
      </c>
      <c r="L686" s="13" t="n">
        <v>32734</v>
      </c>
      <c r="M686" s="13">
        <f>IFERROR($L686/$H686,"")</f>
        <v/>
      </c>
      <c r="N686" s="11" t="n">
        <v>46030</v>
      </c>
      <c r="O686" s="10">
        <f>IF($N686="","No","Yes")</f>
        <v/>
      </c>
      <c r="P686" s="12">
        <f>IF(OR($F686="",$G686=""),0,IF(AND($F686&lt;=README!$B$4,README!$B$4&lt;=$G686),1,0))</f>
        <v/>
      </c>
      <c r="Q686" s="12">
        <f>IF(OR($F686="",$G686=""),0,IF(AND($F686&lt;=DATE(README!$B$5,12,31),$G686&gt;=DATE(README!$B$5,1,1)),1,0))</f>
        <v/>
      </c>
      <c r="R686" s="10" t="inlineStr">
        <is>
          <t>GUP-VEH0014</t>
        </is>
      </c>
      <c r="S686" s="11" t="n">
        <v>45748</v>
      </c>
      <c r="T686" s="10" t="inlineStr">
        <is>
          <t>609</t>
        </is>
      </c>
      <c r="U686" s="10" t="inlineStr">
        <is>
          <t>VEHICLE</t>
        </is>
      </c>
      <c r="V686" s="10" t="inlineStr">
        <is>
          <t>T</t>
        </is>
      </c>
      <c r="W686" s="10" t="inlineStr">
        <is>
          <t>VIVEK B</t>
        </is>
      </c>
    </row>
    <row r="687">
      <c r="A687" s="10" t="inlineStr">
        <is>
          <t>TN58BJ3636</t>
        </is>
      </c>
      <c r="B687" s="10" t="inlineStr">
        <is>
          <t>SOCKS</t>
        </is>
      </c>
      <c r="C687" s="10" t="inlineStr">
        <is>
          <t>RTO EXPENSE</t>
        </is>
      </c>
      <c r="D687" s="10" t="inlineStr">
        <is>
          <t>HP-LOAN CLOSURE</t>
        </is>
      </c>
      <c r="E687" s="10" t="inlineStr">
        <is>
          <t>DECEMBER</t>
        </is>
      </c>
      <c r="F687" s="11" t="n">
        <v>45992</v>
      </c>
      <c r="G687" s="11" t="n">
        <v>46022</v>
      </c>
      <c r="H687" s="12">
        <f>IF(OR($F687="",$G687=""),"",$G687-$F687+1)</f>
        <v/>
      </c>
      <c r="I687" s="10">
        <f>IF($F687="","",IF(MONTH($F687)&gt;=4,YEAR($F687)&amp;"-"&amp;TEXT(YEAR($F687)+1-2000,"00"),YEAR($F687)-1&amp;"-"&amp;TEXT(YEAR($F687)-2000,"00")))</f>
        <v/>
      </c>
      <c r="J687" s="13" t="n">
        <v>2000</v>
      </c>
      <c r="K687" s="14">
        <f>IFERROR($L687/$J687,"")</f>
        <v/>
      </c>
      <c r="L687" s="13" t="n">
        <v>2000</v>
      </c>
      <c r="M687" s="13">
        <f>IFERROR($L687/$H687,"")</f>
        <v/>
      </c>
      <c r="N687" s="11" t="n">
        <v>45994</v>
      </c>
      <c r="O687" s="10">
        <f>IF($N687="","No","Yes")</f>
        <v/>
      </c>
      <c r="P687" s="12">
        <f>IF(OR($F687="",$G687=""),0,IF(AND($F687&lt;=README!$B$4,README!$B$4&lt;=$G687),1,0))</f>
        <v/>
      </c>
      <c r="Q687" s="12">
        <f>IF(OR($F687="",$G687=""),0,IF(AND($F687&lt;=DATE(README!$B$5,12,31),$G687&gt;=DATE(README!$B$5,1,1)),1,0))</f>
        <v/>
      </c>
      <c r="R687" s="10" t="inlineStr">
        <is>
          <t>GUP-VEH0022</t>
        </is>
      </c>
      <c r="S687" s="11" t="n">
        <v>45834</v>
      </c>
      <c r="T687" s="10" t="inlineStr">
        <is>
          <t>655</t>
        </is>
      </c>
      <c r="U687" s="10" t="inlineStr">
        <is>
          <t>VEHICLE</t>
        </is>
      </c>
      <c r="V687" s="10" t="inlineStr">
        <is>
          <t>T</t>
        </is>
      </c>
      <c r="W687" s="10" t="inlineStr">
        <is>
          <t>VIVEK B</t>
        </is>
      </c>
    </row>
    <row r="688">
      <c r="A688" s="10" t="inlineStr">
        <is>
          <t>TN58BJ3636</t>
        </is>
      </c>
      <c r="B688" s="10" t="inlineStr">
        <is>
          <t>SOCKS</t>
        </is>
      </c>
      <c r="C688" s="10" t="inlineStr">
        <is>
          <t>ROAD TAX</t>
        </is>
      </c>
      <c r="D688" s="10" t="inlineStr">
        <is>
          <t>ROAD TAX</t>
        </is>
      </c>
      <c r="E688" s="10" t="inlineStr">
        <is>
          <t>QUARTER - IV</t>
        </is>
      </c>
      <c r="F688" s="11" t="n">
        <v>46023</v>
      </c>
      <c r="G688" s="11" t="n">
        <v>46112</v>
      </c>
      <c r="H688" s="12">
        <f>IF(OR($F688="",$G688=""),"",$G688-$F688+1)</f>
        <v/>
      </c>
      <c r="I688" s="10">
        <f>IF($F688="","",IF(MONTH($F688)&gt;=4,YEAR($F688)&amp;"-"&amp;TEXT(YEAR($F688)+1-2000,"00"),YEAR($F688)-1&amp;"-"&amp;TEXT(YEAR($F688)-2000,"00")))</f>
        <v/>
      </c>
      <c r="J688" s="13" t="n">
        <v>32734</v>
      </c>
      <c r="K688" s="14">
        <f>IFERROR($L688/$J688,"")</f>
        <v/>
      </c>
      <c r="L688" s="13" t="n">
        <v>32734</v>
      </c>
      <c r="M688" s="13">
        <f>IFERROR($L688/$H688,"")</f>
        <v/>
      </c>
      <c r="N688" s="11" t="n">
        <v>46030</v>
      </c>
      <c r="O688" s="10">
        <f>IF($N688="","No","Yes")</f>
        <v/>
      </c>
      <c r="P688" s="12">
        <f>IF(OR($F688="",$G688=""),0,IF(AND($F688&lt;=README!$B$4,README!$B$4&lt;=$G688),1,0))</f>
        <v/>
      </c>
      <c r="Q688" s="12">
        <f>IF(OR($F688="",$G688=""),0,IF(AND($F688&lt;=DATE(README!$B$5,12,31),$G688&gt;=DATE(README!$B$5,1,1)),1,0))</f>
        <v/>
      </c>
      <c r="R688" s="10" t="inlineStr">
        <is>
          <t>GUP-VEH0014</t>
        </is>
      </c>
      <c r="S688" s="11" t="n">
        <v>45748</v>
      </c>
      <c r="T688" s="10" t="inlineStr">
        <is>
          <t>609</t>
        </is>
      </c>
      <c r="U688" s="10" t="inlineStr">
        <is>
          <t>VEHICLE</t>
        </is>
      </c>
      <c r="V688" s="10" t="inlineStr">
        <is>
          <t>T</t>
        </is>
      </c>
      <c r="W688" s="10" t="inlineStr">
        <is>
          <t>VIVEK B</t>
        </is>
      </c>
    </row>
    <row r="689">
      <c r="A689" s="10" t="inlineStr">
        <is>
          <t>TN58BJ3636</t>
        </is>
      </c>
      <c r="B689" s="10" t="inlineStr">
        <is>
          <t>SOCKS</t>
        </is>
      </c>
      <c r="C689" s="10" t="inlineStr">
        <is>
          <t>TYRE</t>
        </is>
      </c>
      <c r="D689" s="10" t="inlineStr">
        <is>
          <t>TYRE</t>
        </is>
      </c>
      <c r="E689" s="10" t="inlineStr">
        <is>
          <t>FEBRUARY</t>
        </is>
      </c>
      <c r="F689" s="11" t="n">
        <v>46054</v>
      </c>
      <c r="G689" s="11" t="n">
        <v>46081</v>
      </c>
      <c r="H689" s="12">
        <f>IF(OR($F689="",$G689=""),"",$G689-$F689+1)</f>
        <v/>
      </c>
      <c r="I689" s="10">
        <f>IF($F689="","",IF(MONTH($F689)&gt;=4,YEAR($F689)&amp;"-"&amp;TEXT(YEAR($F689)+1-2000,"00"),YEAR($F689)-1&amp;"-"&amp;TEXT(YEAR($F689)-2000,"00")))</f>
        <v/>
      </c>
      <c r="J689" s="13" t="n">
        <v>30300</v>
      </c>
      <c r="K689" s="14">
        <f>IFERROR($L689/$J689,"")</f>
        <v/>
      </c>
      <c r="L689" s="13" t="n">
        <v>30300</v>
      </c>
      <c r="M689" s="13">
        <f>IFERROR($L689/$H689,"")</f>
        <v/>
      </c>
      <c r="N689" s="11" t="n">
        <v>46072</v>
      </c>
      <c r="O689" s="10">
        <f>IF($N689="","No","Yes")</f>
        <v/>
      </c>
      <c r="P689" s="12">
        <f>IF(OR($F689="",$G689=""),0,IF(AND($F689&lt;=README!$B$4,README!$B$4&lt;=$G689),1,0))</f>
        <v/>
      </c>
      <c r="Q689" s="12">
        <f>IF(OR($F689="",$G689=""),0,IF(AND($F689&lt;=DATE(README!$B$5,12,31),$G689&gt;=DATE(README!$B$5,1,1)),1,0))</f>
        <v/>
      </c>
      <c r="R689" s="10" t="inlineStr">
        <is>
          <t>GUP-VEH0025</t>
        </is>
      </c>
      <c r="S689" s="11" t="n">
        <v>45957</v>
      </c>
      <c r="T689" s="10" t="inlineStr">
        <is>
          <t>726</t>
        </is>
      </c>
      <c r="U689" s="10" t="inlineStr">
        <is>
          <t>VEHICLE</t>
        </is>
      </c>
      <c r="V689" s="10" t="inlineStr">
        <is>
          <t>T</t>
        </is>
      </c>
      <c r="W689" s="10" t="inlineStr">
        <is>
          <t>VIVEK B</t>
        </is>
      </c>
    </row>
    <row r="690">
      <c r="A690" s="10" t="inlineStr">
        <is>
          <t>TN58BJ3636</t>
        </is>
      </c>
      <c r="B690" s="10" t="inlineStr">
        <is>
          <t>GENERAL</t>
        </is>
      </c>
      <c r="C690" s="10" t="inlineStr">
        <is>
          <t>VEHICLE OUTSIDE SERVICES</t>
        </is>
      </c>
      <c r="D690" s="10" t="inlineStr">
        <is>
          <t>MAINTENANCE SERVICE - 3</t>
        </is>
      </c>
      <c r="E690" s="10" t="inlineStr">
        <is>
          <t>MARCH</t>
        </is>
      </c>
      <c r="F690" s="11" t="n">
        <v>46082</v>
      </c>
      <c r="G690" s="11" t="n">
        <v>46112</v>
      </c>
      <c r="H690" s="12">
        <f>IF(OR($F690="",$G690=""),"",$G690-$F690+1)</f>
        <v/>
      </c>
      <c r="I690" s="10">
        <f>IF($F690="","",IF(MONTH($F690)&gt;=4,YEAR($F690)&amp;"-"&amp;TEXT(YEAR($F690)+1-2000,"00"),YEAR($F690)-1&amp;"-"&amp;TEXT(YEAR($F690)-2000,"00")))</f>
        <v/>
      </c>
      <c r="J690" s="13" t="n">
        <v>22355.23</v>
      </c>
      <c r="K690" s="14">
        <f>IFERROR($L690/$J690,"")</f>
        <v/>
      </c>
      <c r="L690" s="13" t="n">
        <v>22355.23</v>
      </c>
      <c r="M690" s="13">
        <f>IFERROR($L690/$H690,"")</f>
        <v/>
      </c>
      <c r="N690" s="11" t="n">
        <v>46083</v>
      </c>
      <c r="O690" s="10">
        <f>IF($N690="","No","Yes")</f>
        <v/>
      </c>
      <c r="P690" s="12">
        <f>IF(OR($F690="",$G690=""),0,IF(AND($F690&lt;=README!$B$4,README!$B$4&lt;=$G690),1,0))</f>
        <v/>
      </c>
      <c r="Q690" s="12">
        <f>IF(OR($F690="",$G690=""),0,IF(AND($F690&lt;=DATE(README!$B$5,12,31),$G690&gt;=DATE(README!$B$5,1,1)),1,0))</f>
        <v/>
      </c>
      <c r="R690" s="10" t="inlineStr">
        <is>
          <t>GUP-VEH0019</t>
        </is>
      </c>
      <c r="S690" s="11" t="n">
        <v>45777</v>
      </c>
      <c r="T690" s="10" t="inlineStr">
        <is>
          <t>638</t>
        </is>
      </c>
      <c r="U690" s="10" t="inlineStr">
        <is>
          <t>VEHICLE</t>
        </is>
      </c>
      <c r="V690" s="10" t="inlineStr">
        <is>
          <t>T</t>
        </is>
      </c>
      <c r="W690" s="10" t="inlineStr">
        <is>
          <t>VIVEK B</t>
        </is>
      </c>
    </row>
    <row r="691">
      <c r="A691" s="10" t="inlineStr">
        <is>
          <t>TN58BJ3636</t>
        </is>
      </c>
      <c r="B691" s="10" t="inlineStr">
        <is>
          <t>SOCKS</t>
        </is>
      </c>
      <c r="C691" s="10" t="inlineStr">
        <is>
          <t>FC WORK</t>
        </is>
      </c>
      <c r="D691" s="10" t="inlineStr">
        <is>
          <t>FC WORK</t>
        </is>
      </c>
      <c r="E691" s="10" t="inlineStr">
        <is>
          <t>YEARLY</t>
        </is>
      </c>
      <c r="F691" s="11" t="n">
        <v>46113</v>
      </c>
      <c r="G691" s="11" t="n">
        <v>46477</v>
      </c>
      <c r="H691" s="12">
        <f>IF(OR($F691="",$G691=""),"",$G691-$F691+1)</f>
        <v/>
      </c>
      <c r="I691" s="10">
        <f>IF($F691="","",IF(MONTH($F691)&gt;=4,YEAR($F691)&amp;"-"&amp;TEXT(YEAR($F691)+1-2000,"00"),YEAR($F691)-1&amp;"-"&amp;TEXT(YEAR($F691)-2000,"00")))</f>
        <v/>
      </c>
      <c r="J691" s="13" t="n">
        <v>57080</v>
      </c>
      <c r="K691" s="14">
        <f>IFERROR($L691/$J691,"")</f>
        <v/>
      </c>
      <c r="L691" s="13" t="n">
        <v>57080</v>
      </c>
      <c r="M691" s="13">
        <f>IFERROR($L691/$H691,"")</f>
        <v/>
      </c>
      <c r="N691" s="11" t="n">
        <v>46121</v>
      </c>
      <c r="O691" s="10">
        <f>IF($N691="","No","Yes")</f>
        <v/>
      </c>
      <c r="P691" s="12">
        <f>IF(OR($F691="",$G691=""),0,IF(AND($F691&lt;=README!$B$4,README!$B$4&lt;=$G691),1,0))</f>
        <v/>
      </c>
      <c r="Q691" s="12">
        <f>IF(OR($F691="",$G691=""),0,IF(AND($F691&lt;=DATE(README!$B$5,12,31),$G691&gt;=DATE(README!$B$5,1,1)),1,0))</f>
        <v/>
      </c>
      <c r="R691" s="10" t="inlineStr">
        <is>
          <t>GUP-VEH0032</t>
        </is>
      </c>
      <c r="S691" s="11" t="n">
        <v>46118</v>
      </c>
      <c r="T691" s="10" t="inlineStr">
        <is>
          <t>813</t>
        </is>
      </c>
      <c r="U691" s="10" t="inlineStr">
        <is>
          <t>VEHICLE</t>
        </is>
      </c>
      <c r="V691" s="10" t="inlineStr">
        <is>
          <t>T</t>
        </is>
      </c>
      <c r="W691" s="10" t="inlineStr">
        <is>
          <t>VIVEK B</t>
        </is>
      </c>
    </row>
    <row r="692">
      <c r="A692" s="10" t="inlineStr">
        <is>
          <t>TN58BJ3636</t>
        </is>
      </c>
      <c r="B692" s="10" t="inlineStr">
        <is>
          <t>SOCKS</t>
        </is>
      </c>
      <c r="C692" s="10" t="inlineStr">
        <is>
          <t>ROAD TAX</t>
        </is>
      </c>
      <c r="D692" s="10" t="inlineStr">
        <is>
          <t>ROAD TAX</t>
        </is>
      </c>
      <c r="E692" s="10" t="inlineStr">
        <is>
          <t>QUARTER - I</t>
        </is>
      </c>
      <c r="F692" s="11" t="n">
        <v>46113</v>
      </c>
      <c r="G692" s="11" t="n">
        <v>46203</v>
      </c>
      <c r="H692" s="12">
        <f>IF(OR($F692="",$G692=""),"",$G692-$F692+1)</f>
        <v/>
      </c>
      <c r="I692" s="10">
        <f>IF($F692="","",IF(MONTH($F692)&gt;=4,YEAR($F692)&amp;"-"&amp;TEXT(YEAR($F692)+1-2000,"00"),YEAR($F692)-1&amp;"-"&amp;TEXT(YEAR($F692)-2000,"00")))</f>
        <v/>
      </c>
      <c r="J692" s="13" t="n">
        <v>32734</v>
      </c>
      <c r="K692" s="14">
        <f>IFERROR($L692/$J692,"")</f>
        <v/>
      </c>
      <c r="L692" s="13" t="n">
        <v>32734</v>
      </c>
      <c r="M692" s="13">
        <f>IFERROR($L692/$H692,"")</f>
        <v/>
      </c>
      <c r="N692" s="11" t="n">
        <v>46088</v>
      </c>
      <c r="O692" s="10">
        <f>IF($N692="","No","Yes")</f>
        <v/>
      </c>
      <c r="P692" s="12">
        <f>IF(OR($F692="",$G692=""),0,IF(AND($F692&lt;=README!$B$4,README!$B$4&lt;=$G692),1,0))</f>
        <v/>
      </c>
      <c r="Q692" s="12">
        <f>IF(OR($F692="",$G692=""),0,IF(AND($F692&lt;=DATE(README!$B$5,12,31),$G692&gt;=DATE(README!$B$5,1,1)),1,0))</f>
        <v/>
      </c>
      <c r="R692" s="10" t="inlineStr">
        <is>
          <t>GUP-VEH0030</t>
        </is>
      </c>
      <c r="S692" s="11" t="n">
        <v>46113</v>
      </c>
      <c r="T692" s="10" t="inlineStr">
        <is>
          <t>796</t>
        </is>
      </c>
      <c r="U692" s="10" t="inlineStr">
        <is>
          <t>VEHICLE</t>
        </is>
      </c>
      <c r="V692" s="10" t="inlineStr">
        <is>
          <t>T</t>
        </is>
      </c>
      <c r="W692" s="10" t="inlineStr">
        <is>
          <t>VIVEK B</t>
        </is>
      </c>
    </row>
    <row r="693">
      <c r="A693" s="10" t="inlineStr">
        <is>
          <t>TN58BJ3636</t>
        </is>
      </c>
      <c r="B693" s="10" t="inlineStr">
        <is>
          <t>SOCKS</t>
        </is>
      </c>
      <c r="C693" s="10" t="inlineStr">
        <is>
          <t>RTO EXPENSE</t>
        </is>
      </c>
      <c r="D693" s="10" t="inlineStr">
        <is>
          <t>RTO EXPENSES - FC</t>
        </is>
      </c>
      <c r="E693" s="10" t="inlineStr">
        <is>
          <t>YEARLY</t>
        </is>
      </c>
      <c r="F693" s="11" t="n">
        <v>46113</v>
      </c>
      <c r="G693" s="11" t="n">
        <v>46477</v>
      </c>
      <c r="H693" s="12">
        <f>IF(OR($F693="",$G693=""),"",$G693-$F693+1)</f>
        <v/>
      </c>
      <c r="I693" s="10">
        <f>IF($F693="","",IF(MONTH($F693)&gt;=4,YEAR($F693)&amp;"-"&amp;TEXT(YEAR($F693)+1-2000,"00"),YEAR($F693)-1&amp;"-"&amp;TEXT(YEAR($F693)-2000,"00")))</f>
        <v/>
      </c>
      <c r="J693" s="13" t="n">
        <v>12500</v>
      </c>
      <c r="K693" s="14">
        <f>IFERROR($L693/$J693,"")</f>
        <v/>
      </c>
      <c r="L693" s="13" t="n">
        <v>12500</v>
      </c>
      <c r="M693" s="13">
        <f>IFERROR($L693/$H693,"")</f>
        <v/>
      </c>
      <c r="N693" s="11" t="n">
        <v>46121</v>
      </c>
      <c r="O693" s="10">
        <f>IF($N693="","No","Yes")</f>
        <v/>
      </c>
      <c r="P693" s="12">
        <f>IF(OR($F693="",$G693=""),0,IF(AND($F693&lt;=README!$B$4,README!$B$4&lt;=$G693),1,0))</f>
        <v/>
      </c>
      <c r="Q693" s="12">
        <f>IF(OR($F693="",$G693=""),0,IF(AND($F693&lt;=DATE(README!$B$5,12,31),$G693&gt;=DATE(README!$B$5,1,1)),1,0))</f>
        <v/>
      </c>
      <c r="R693" s="10" t="inlineStr">
        <is>
          <t>GUP-VEH0033</t>
        </is>
      </c>
      <c r="S693" s="11" t="n">
        <v>46118</v>
      </c>
      <c r="T693" s="10" t="inlineStr">
        <is>
          <t>814</t>
        </is>
      </c>
      <c r="U693" s="10" t="inlineStr">
        <is>
          <t>VEHICLE</t>
        </is>
      </c>
      <c r="V693" s="10" t="inlineStr">
        <is>
          <t>T</t>
        </is>
      </c>
      <c r="W693" s="10" t="inlineStr">
        <is>
          <t>VIVEK B</t>
        </is>
      </c>
    </row>
    <row r="694">
      <c r="A694" s="10" t="inlineStr">
        <is>
          <t>TN58BJ3636</t>
        </is>
      </c>
      <c r="B694" s="10" t="inlineStr">
        <is>
          <t>SOCKS</t>
        </is>
      </c>
      <c r="C694" s="10" t="inlineStr">
        <is>
          <t>ROAD TAX</t>
        </is>
      </c>
      <c r="D694" s="10" t="inlineStr">
        <is>
          <t>ROAD TAX</t>
        </is>
      </c>
      <c r="E694" s="10" t="inlineStr">
        <is>
          <t>QUARTER - II</t>
        </is>
      </c>
      <c r="F694" s="11" t="n">
        <v>46204</v>
      </c>
      <c r="G694" s="11" t="n">
        <v>46295</v>
      </c>
      <c r="H694" s="12">
        <f>IF(OR($F694="",$G694=""),"",$G694-$F694+1)</f>
        <v/>
      </c>
      <c r="I694" s="10">
        <f>IF($F694="","",IF(MONTH($F694)&gt;=4,YEAR($F694)&amp;"-"&amp;TEXT(YEAR($F694)+1-2000,"00"),YEAR($F694)-1&amp;"-"&amp;TEXT(YEAR($F694)-2000,"00")))</f>
        <v/>
      </c>
      <c r="J694" s="13" t="n">
        <v>32734</v>
      </c>
      <c r="K694" s="14">
        <f>IFERROR($L694/$J694,"")</f>
        <v/>
      </c>
      <c r="L694" s="13" t="n">
        <v>32734</v>
      </c>
      <c r="M694" s="13">
        <f>IFERROR($L694/$H694,"")</f>
        <v/>
      </c>
      <c r="N694" s="11" t="n">
        <v>46196</v>
      </c>
      <c r="O694" s="10">
        <f>IF($N694="","No","Yes")</f>
        <v/>
      </c>
      <c r="P694" s="12">
        <f>IF(OR($F694="",$G694=""),0,IF(AND($F694&lt;=README!$B$4,README!$B$4&lt;=$G694),1,0))</f>
        <v/>
      </c>
      <c r="Q694" s="12">
        <f>IF(OR($F694="",$G694=""),0,IF(AND($F694&lt;=DATE(README!$B$5,12,31),$G694&gt;=DATE(README!$B$5,1,1)),1,0))</f>
        <v/>
      </c>
      <c r="R694" s="10" t="inlineStr">
        <is>
          <t>GUP-VEH0030</t>
        </is>
      </c>
      <c r="S694" s="11" t="n">
        <v>46113</v>
      </c>
      <c r="T694" s="10" t="inlineStr">
        <is>
          <t>796</t>
        </is>
      </c>
      <c r="U694" s="10" t="inlineStr">
        <is>
          <t>VEHICLE</t>
        </is>
      </c>
      <c r="V694" s="10" t="inlineStr">
        <is>
          <t>T</t>
        </is>
      </c>
      <c r="W694" s="10" t="inlineStr">
        <is>
          <t>VIVEK B</t>
        </is>
      </c>
    </row>
    <row r="695">
      <c r="A695" s="10" t="inlineStr">
        <is>
          <t>TN58BJ3636</t>
        </is>
      </c>
      <c r="B695" s="10" t="inlineStr">
        <is>
          <t>SOCKS</t>
        </is>
      </c>
      <c r="C695" s="10" t="inlineStr">
        <is>
          <t>VEHICLE OUTSIDE SERVICES</t>
        </is>
      </c>
      <c r="D695" s="10" t="inlineStr">
        <is>
          <t>ELETRICAL WORK - VEHICLE</t>
        </is>
      </c>
      <c r="E695" s="10" t="inlineStr">
        <is>
          <t>JULY</t>
        </is>
      </c>
      <c r="F695" s="11" t="n">
        <v>46204</v>
      </c>
      <c r="G695" s="11" t="n">
        <v>46234</v>
      </c>
      <c r="H695" s="12">
        <f>IF(OR($F695="",$G695=""),"",$G695-$F695+1)</f>
        <v/>
      </c>
      <c r="I695" s="10">
        <f>IF($F695="","",IF(MONTH($F695)&gt;=4,YEAR($F695)&amp;"-"&amp;TEXT(YEAR($F695)+1-2000,"00"),YEAR($F695)-1&amp;"-"&amp;TEXT(YEAR($F695)-2000,"00")))</f>
        <v/>
      </c>
      <c r="J695" s="13" t="n">
        <v>9440</v>
      </c>
      <c r="K695" s="14">
        <f>IFERROR($L695/$J695,"")</f>
        <v/>
      </c>
      <c r="L695" s="13" t="n">
        <v>9440</v>
      </c>
      <c r="M695" s="13">
        <f>IFERROR($L695/$H695,"")</f>
        <v/>
      </c>
      <c r="N695" s="11" t="n">
        <v>46224</v>
      </c>
      <c r="O695" s="10">
        <f>IF($N695="","No","Yes")</f>
        <v/>
      </c>
      <c r="P695" s="12">
        <f>IF(OR($F695="",$G695=""),0,IF(AND($F695&lt;=README!$B$4,README!$B$4&lt;=$G695),1,0))</f>
        <v/>
      </c>
      <c r="Q695" s="12">
        <f>IF(OR($F695="",$G695=""),0,IF(AND($F695&lt;=DATE(README!$B$5,12,31),$G695&gt;=DATE(README!$B$5,1,1)),1,0))</f>
        <v/>
      </c>
      <c r="R695" s="10" t="inlineStr">
        <is>
          <t>GUP-VEH0031</t>
        </is>
      </c>
      <c r="S695" s="11" t="n">
        <v>46114</v>
      </c>
      <c r="T695" s="10" t="inlineStr">
        <is>
          <t>810</t>
        </is>
      </c>
      <c r="U695" s="10" t="inlineStr">
        <is>
          <t>VEHICLE</t>
        </is>
      </c>
      <c r="V695" s="10" t="inlineStr">
        <is>
          <t>T</t>
        </is>
      </c>
      <c r="W695" s="10" t="inlineStr">
        <is>
          <t>VIVEK B</t>
        </is>
      </c>
    </row>
    <row r="696">
      <c r="A696" s="10" t="inlineStr">
        <is>
          <t>TN58BK3434</t>
        </is>
      </c>
      <c r="B696" s="10" t="inlineStr">
        <is>
          <t>WOVEN</t>
        </is>
      </c>
      <c r="C696" s="10" t="inlineStr">
        <is>
          <t>ADBLU</t>
        </is>
      </c>
      <c r="D696" s="10" t="inlineStr">
        <is>
          <t>ADBLU</t>
        </is>
      </c>
      <c r="E696" s="10" t="inlineStr">
        <is>
          <t>YEARLY</t>
        </is>
      </c>
      <c r="F696" s="11" t="n">
        <v>45383</v>
      </c>
      <c r="G696" s="11" t="n">
        <v>45747</v>
      </c>
      <c r="H696" s="12">
        <f>IF(OR($F696="",$G696=""),"",$G696-$F696+1)</f>
        <v/>
      </c>
      <c r="I696" s="10">
        <f>IF($F696="","",IF(MONTH($F696)&gt;=4,YEAR($F696)&amp;"-"&amp;TEXT(YEAR($F696)+1-2000,"00"),YEAR($F696)-1&amp;"-"&amp;TEXT(YEAR($F696)-2000,"00")))</f>
        <v/>
      </c>
      <c r="J696" s="13" t="n">
        <v>61</v>
      </c>
      <c r="K696" s="14">
        <f>IFERROR($L696/$J696,"")</f>
        <v/>
      </c>
      <c r="L696" s="13" t="n">
        <v>2440</v>
      </c>
      <c r="M696" s="13">
        <f>IFERROR($L696/$H696,"")</f>
        <v/>
      </c>
      <c r="N696" s="11" t="n">
        <v>45602</v>
      </c>
      <c r="O696" s="10">
        <f>IF($N696="","No","Yes")</f>
        <v/>
      </c>
      <c r="P696" s="12">
        <f>IF(OR($F696="",$G696=""),0,IF(AND($F696&lt;=README!$B$4,README!$B$4&lt;=$G696),1,0))</f>
        <v/>
      </c>
      <c r="Q696" s="12">
        <f>IF(OR($F696="",$G696=""),0,IF(AND($F696&lt;=DATE(README!$B$5,12,31),$G696&gt;=DATE(README!$B$5,1,1)),1,0))</f>
        <v/>
      </c>
      <c r="R696" s="10" t="inlineStr">
        <is>
          <t>GUT-VEH0008</t>
        </is>
      </c>
      <c r="S696" s="11" t="n">
        <v>45475</v>
      </c>
      <c r="T696" s="10" t="inlineStr">
        <is>
          <t>3</t>
        </is>
      </c>
      <c r="U696" s="10" t="inlineStr">
        <is>
          <t>VEHICLE</t>
        </is>
      </c>
      <c r="V696" s="10" t="inlineStr">
        <is>
          <t>T</t>
        </is>
      </c>
      <c r="W696" s="10" t="inlineStr">
        <is>
          <t>VIVEK B</t>
        </is>
      </c>
    </row>
    <row r="697">
      <c r="A697" s="10" t="inlineStr">
        <is>
          <t>TN58BK3434</t>
        </is>
      </c>
      <c r="B697" s="10" t="inlineStr">
        <is>
          <t>WOVEN</t>
        </is>
      </c>
      <c r="C697" s="10" t="inlineStr">
        <is>
          <t>ADBLU</t>
        </is>
      </c>
      <c r="D697" s="10" t="inlineStr">
        <is>
          <t>ADBLU</t>
        </is>
      </c>
      <c r="E697" s="10" t="inlineStr">
        <is>
          <t>YEARLY</t>
        </is>
      </c>
      <c r="F697" s="11" t="n">
        <v>45383</v>
      </c>
      <c r="G697" s="11" t="n">
        <v>45747</v>
      </c>
      <c r="H697" s="12">
        <f>IF(OR($F697="",$G697=""),"",$G697-$F697+1)</f>
        <v/>
      </c>
      <c r="I697" s="10">
        <f>IF($F697="","",IF(MONTH($F697)&gt;=4,YEAR($F697)&amp;"-"&amp;TEXT(YEAR($F697)+1-2000,"00"),YEAR($F697)-1&amp;"-"&amp;TEXT(YEAR($F697)-2000,"00")))</f>
        <v/>
      </c>
      <c r="J697" s="13" t="n">
        <v>61</v>
      </c>
      <c r="K697" s="14">
        <f>IFERROR($L697/$J697,"")</f>
        <v/>
      </c>
      <c r="L697" s="13" t="n">
        <v>2440</v>
      </c>
      <c r="M697" s="13">
        <f>IFERROR($L697/$H697,"")</f>
        <v/>
      </c>
      <c r="N697" s="11" t="n">
        <v>45623</v>
      </c>
      <c r="O697" s="10">
        <f>IF($N697="","No","Yes")</f>
        <v/>
      </c>
      <c r="P697" s="12">
        <f>IF(OR($F697="",$G697=""),0,IF(AND($F697&lt;=README!$B$4,README!$B$4&lt;=$G697),1,0))</f>
        <v/>
      </c>
      <c r="Q697" s="12">
        <f>IF(OR($F697="",$G697=""),0,IF(AND($F697&lt;=DATE(README!$B$5,12,31),$G697&gt;=DATE(README!$B$5,1,1)),1,0))</f>
        <v/>
      </c>
      <c r="R697" s="10" t="inlineStr">
        <is>
          <t>GUT-VEH0008</t>
        </is>
      </c>
      <c r="S697" s="11" t="n">
        <v>45475</v>
      </c>
      <c r="T697" s="10" t="inlineStr">
        <is>
          <t>3</t>
        </is>
      </c>
      <c r="U697" s="10" t="inlineStr">
        <is>
          <t>VEHICLE</t>
        </is>
      </c>
      <c r="V697" s="10" t="inlineStr">
        <is>
          <t>T</t>
        </is>
      </c>
      <c r="W697" s="10" t="inlineStr">
        <is>
          <t>VIVEK B</t>
        </is>
      </c>
    </row>
    <row r="698">
      <c r="A698" s="10" t="inlineStr">
        <is>
          <t>TN58BK3434</t>
        </is>
      </c>
      <c r="B698" s="10" t="inlineStr">
        <is>
          <t>WOVEN</t>
        </is>
      </c>
      <c r="C698" s="10" t="inlineStr">
        <is>
          <t>ADBLU</t>
        </is>
      </c>
      <c r="D698" s="10" t="inlineStr">
        <is>
          <t>ADBLU</t>
        </is>
      </c>
      <c r="E698" s="10" t="inlineStr">
        <is>
          <t>YEARLY</t>
        </is>
      </c>
      <c r="F698" s="11" t="n">
        <v>45383</v>
      </c>
      <c r="G698" s="11" t="n">
        <v>45747</v>
      </c>
      <c r="H698" s="12">
        <f>IF(OR($F698="",$G698=""),"",$G698-$F698+1)</f>
        <v/>
      </c>
      <c r="I698" s="10">
        <f>IF($F698="","",IF(MONTH($F698)&gt;=4,YEAR($F698)&amp;"-"&amp;TEXT(YEAR($F698)+1-2000,"00"),YEAR($F698)-1&amp;"-"&amp;TEXT(YEAR($F698)-2000,"00")))</f>
        <v/>
      </c>
      <c r="J698" s="13" t="n">
        <v>61</v>
      </c>
      <c r="K698" s="14">
        <f>IFERROR($L698/$J698,"")</f>
        <v/>
      </c>
      <c r="L698" s="13" t="n">
        <v>2196</v>
      </c>
      <c r="M698" s="13">
        <f>IFERROR($L698/$H698,"")</f>
        <v/>
      </c>
      <c r="N698" s="11" t="n">
        <v>45479</v>
      </c>
      <c r="O698" s="10">
        <f>IF($N698="","No","Yes")</f>
        <v/>
      </c>
      <c r="P698" s="12">
        <f>IF(OR($F698="",$G698=""),0,IF(AND($F698&lt;=README!$B$4,README!$B$4&lt;=$G698),1,0))</f>
        <v/>
      </c>
      <c r="Q698" s="12">
        <f>IF(OR($F698="",$G698=""),0,IF(AND($F698&lt;=DATE(README!$B$5,12,31),$G698&gt;=DATE(README!$B$5,1,1)),1,0))</f>
        <v/>
      </c>
      <c r="R698" s="10" t="inlineStr">
        <is>
          <t>GUT-VEH0008</t>
        </is>
      </c>
      <c r="S698" s="11" t="n">
        <v>45475</v>
      </c>
      <c r="T698" s="10" t="inlineStr">
        <is>
          <t>3</t>
        </is>
      </c>
      <c r="U698" s="10" t="inlineStr">
        <is>
          <t>VEHICLE</t>
        </is>
      </c>
      <c r="V698" s="10" t="inlineStr">
        <is>
          <t>T</t>
        </is>
      </c>
      <c r="W698" s="10" t="inlineStr">
        <is>
          <t>VIVEK B</t>
        </is>
      </c>
    </row>
    <row r="699">
      <c r="A699" s="10" t="inlineStr">
        <is>
          <t>TN58BK3434</t>
        </is>
      </c>
      <c r="B699" s="10" t="inlineStr">
        <is>
          <t>WOVEN</t>
        </is>
      </c>
      <c r="C699" s="10" t="inlineStr">
        <is>
          <t>ADBLU</t>
        </is>
      </c>
      <c r="D699" s="10" t="inlineStr">
        <is>
          <t>ADBLU</t>
        </is>
      </c>
      <c r="E699" s="10" t="inlineStr">
        <is>
          <t>YEARLY</t>
        </is>
      </c>
      <c r="F699" s="11" t="n">
        <v>45383</v>
      </c>
      <c r="G699" s="11" t="n">
        <v>45747</v>
      </c>
      <c r="H699" s="12">
        <f>IF(OR($F699="",$G699=""),"",$G699-$F699+1)</f>
        <v/>
      </c>
      <c r="I699" s="10">
        <f>IF($F699="","",IF(MONTH($F699)&gt;=4,YEAR($F699)&amp;"-"&amp;TEXT(YEAR($F699)+1-2000,"00"),YEAR($F699)-1&amp;"-"&amp;TEXT(YEAR($F699)-2000,"00")))</f>
        <v/>
      </c>
      <c r="J699" s="13" t="n">
        <v>61</v>
      </c>
      <c r="K699" s="14">
        <f>IFERROR($L699/$J699,"")</f>
        <v/>
      </c>
      <c r="L699" s="13" t="n">
        <v>2196</v>
      </c>
      <c r="M699" s="13">
        <f>IFERROR($L699/$H699,"")</f>
        <v/>
      </c>
      <c r="N699" s="11" t="n">
        <v>45700</v>
      </c>
      <c r="O699" s="10">
        <f>IF($N699="","No","Yes")</f>
        <v/>
      </c>
      <c r="P699" s="12">
        <f>IF(OR($F699="",$G699=""),0,IF(AND($F699&lt;=README!$B$4,README!$B$4&lt;=$G699),1,0))</f>
        <v/>
      </c>
      <c r="Q699" s="12">
        <f>IF(OR($F699="",$G699=""),0,IF(AND($F699&lt;=DATE(README!$B$5,12,31),$G699&gt;=DATE(README!$B$5,1,1)),1,0))</f>
        <v/>
      </c>
      <c r="R699" s="10" t="inlineStr">
        <is>
          <t>GUT-VEH0008</t>
        </is>
      </c>
      <c r="S699" s="11" t="n">
        <v>45475</v>
      </c>
      <c r="T699" s="10" t="inlineStr">
        <is>
          <t>3</t>
        </is>
      </c>
      <c r="U699" s="10" t="inlineStr">
        <is>
          <t>VEHICLE</t>
        </is>
      </c>
      <c r="V699" s="10" t="inlineStr">
        <is>
          <t>T</t>
        </is>
      </c>
      <c r="W699" s="10" t="inlineStr">
        <is>
          <t>VIVEK B</t>
        </is>
      </c>
    </row>
    <row r="700">
      <c r="A700" s="10" t="inlineStr">
        <is>
          <t>TN58BK3434</t>
        </is>
      </c>
      <c r="B700" s="10" t="inlineStr">
        <is>
          <t>WOVEN</t>
        </is>
      </c>
      <c r="C700" s="10" t="inlineStr">
        <is>
          <t>ADBLU</t>
        </is>
      </c>
      <c r="D700" s="10" t="inlineStr">
        <is>
          <t>ADBLU</t>
        </is>
      </c>
      <c r="E700" s="10" t="inlineStr">
        <is>
          <t>YEARLY</t>
        </is>
      </c>
      <c r="F700" s="11" t="n">
        <v>45383</v>
      </c>
      <c r="G700" s="11" t="n">
        <v>45747</v>
      </c>
      <c r="H700" s="12">
        <f>IF(OR($F700="",$G700=""),"",$G700-$F700+1)</f>
        <v/>
      </c>
      <c r="I700" s="10">
        <f>IF($F700="","",IF(MONTH($F700)&gt;=4,YEAR($F700)&amp;"-"&amp;TEXT(YEAR($F700)+1-2000,"00"),YEAR($F700)-1&amp;"-"&amp;TEXT(YEAR($F700)-2000,"00")))</f>
        <v/>
      </c>
      <c r="J700" s="13" t="n">
        <v>61</v>
      </c>
      <c r="K700" s="14">
        <f>IFERROR($L700/$J700,"")</f>
        <v/>
      </c>
      <c r="L700" s="13" t="n">
        <v>2196</v>
      </c>
      <c r="M700" s="13">
        <f>IFERROR($L700/$H700,"")</f>
        <v/>
      </c>
      <c r="N700" s="11" t="n">
        <v>45700</v>
      </c>
      <c r="O700" s="10">
        <f>IF($N700="","No","Yes")</f>
        <v/>
      </c>
      <c r="P700" s="12">
        <f>IF(OR($F700="",$G700=""),0,IF(AND($F700&lt;=README!$B$4,README!$B$4&lt;=$G700),1,0))</f>
        <v/>
      </c>
      <c r="Q700" s="12">
        <f>IF(OR($F700="",$G700=""),0,IF(AND($F700&lt;=DATE(README!$B$5,12,31),$G700&gt;=DATE(README!$B$5,1,1)),1,0))</f>
        <v/>
      </c>
      <c r="R700" s="10" t="inlineStr">
        <is>
          <t>GUT-VEH0008</t>
        </is>
      </c>
      <c r="S700" s="11" t="n">
        <v>45475</v>
      </c>
      <c r="T700" s="10" t="inlineStr">
        <is>
          <t>3</t>
        </is>
      </c>
      <c r="U700" s="10" t="inlineStr">
        <is>
          <t>VEHICLE</t>
        </is>
      </c>
      <c r="V700" s="10" t="inlineStr">
        <is>
          <t>T</t>
        </is>
      </c>
      <c r="W700" s="10" t="inlineStr">
        <is>
          <t>VIVEK B</t>
        </is>
      </c>
    </row>
    <row r="701">
      <c r="A701" s="10" t="inlineStr">
        <is>
          <t>TN58BK3434</t>
        </is>
      </c>
      <c r="B701" s="10" t="inlineStr">
        <is>
          <t>WOVEN</t>
        </is>
      </c>
      <c r="C701" s="10" t="inlineStr">
        <is>
          <t>FC WORK</t>
        </is>
      </c>
      <c r="D701" s="10" t="inlineStr">
        <is>
          <t>FC WORK</t>
        </is>
      </c>
      <c r="E701" s="10" t="inlineStr">
        <is>
          <t>YEARLY</t>
        </is>
      </c>
      <c r="F701" s="11" t="n">
        <v>45383</v>
      </c>
      <c r="G701" s="11" t="n">
        <v>45747</v>
      </c>
      <c r="H701" s="12">
        <f>IF(OR($F701="",$G701=""),"",$G701-$F701+1)</f>
        <v/>
      </c>
      <c r="I701" s="10">
        <f>IF($F701="","",IF(MONTH($F701)&gt;=4,YEAR($F701)&amp;"-"&amp;TEXT(YEAR($F701)+1-2000,"00"),YEAR($F701)-1&amp;"-"&amp;TEXT(YEAR($F701)-2000,"00")))</f>
        <v/>
      </c>
      <c r="J701" s="13" t="n">
        <v>35000</v>
      </c>
      <c r="K701" s="14">
        <f>IFERROR($L701/$J701,"")</f>
        <v/>
      </c>
      <c r="L701" s="13" t="n">
        <v>35000</v>
      </c>
      <c r="M701" s="13">
        <f>IFERROR($L701/$H701,"")</f>
        <v/>
      </c>
      <c r="N701" s="11" t="n">
        <v>45638</v>
      </c>
      <c r="O701" s="10">
        <f>IF($N701="","No","Yes")</f>
        <v/>
      </c>
      <c r="P701" s="12">
        <f>IF(OR($F701="",$G701=""),0,IF(AND($F701&lt;=README!$B$4,README!$B$4&lt;=$G701),1,0))</f>
        <v/>
      </c>
      <c r="Q701" s="12">
        <f>IF(OR($F701="",$G701=""),0,IF(AND($F701&lt;=DATE(README!$B$5,12,31),$G701&gt;=DATE(README!$B$5,1,1)),1,0))</f>
        <v/>
      </c>
      <c r="R701" s="10" t="inlineStr">
        <is>
          <t>GUT-VEH0009</t>
        </is>
      </c>
      <c r="S701" s="11" t="n">
        <v>45475</v>
      </c>
      <c r="T701" s="10" t="inlineStr">
        <is>
          <t>3</t>
        </is>
      </c>
      <c r="U701" s="10" t="inlineStr">
        <is>
          <t>VEHICLE</t>
        </is>
      </c>
      <c r="V701" s="10" t="inlineStr">
        <is>
          <t>T</t>
        </is>
      </c>
      <c r="W701" s="10" t="inlineStr">
        <is>
          <t>VIVEK B</t>
        </is>
      </c>
    </row>
    <row r="702">
      <c r="A702" s="10" t="inlineStr">
        <is>
          <t>TN58BK3434</t>
        </is>
      </c>
      <c r="B702" s="10" t="inlineStr">
        <is>
          <t>WOVEN</t>
        </is>
      </c>
      <c r="C702" s="10" t="inlineStr">
        <is>
          <t>ROAD TAX</t>
        </is>
      </c>
      <c r="D702" s="10" t="inlineStr">
        <is>
          <t>ROAD TAX</t>
        </is>
      </c>
      <c r="E702" s="10" t="inlineStr">
        <is>
          <t>YEARLY</t>
        </is>
      </c>
      <c r="F702" s="11" t="n">
        <v>45383</v>
      </c>
      <c r="G702" s="11" t="n">
        <v>45747</v>
      </c>
      <c r="H702" s="12">
        <f>IF(OR($F702="",$G702=""),"",$G702-$F702+1)</f>
        <v/>
      </c>
      <c r="I702" s="10">
        <f>IF($F702="","",IF(MONTH($F702)&gt;=4,YEAR($F702)&amp;"-"&amp;TEXT(YEAR($F702)+1-2000,"00"),YEAR($F702)-1&amp;"-"&amp;TEXT(YEAR($F702)-2000,"00")))</f>
        <v/>
      </c>
      <c r="J702" s="13" t="n">
        <v>32734</v>
      </c>
      <c r="K702" s="14">
        <f>IFERROR($L702/$J702,"")</f>
        <v/>
      </c>
      <c r="L702" s="13" t="n">
        <v>32734</v>
      </c>
      <c r="M702" s="13">
        <f>IFERROR($L702/$H702,"")</f>
        <v/>
      </c>
      <c r="N702" s="11" t="n">
        <v>45910</v>
      </c>
      <c r="O702" s="10">
        <f>IF($N702="","No","Yes")</f>
        <v/>
      </c>
      <c r="P702" s="12">
        <f>IF(OR($F702="",$G702=""),0,IF(AND($F702&lt;=README!$B$4,README!$B$4&lt;=$G702),1,0))</f>
        <v/>
      </c>
      <c r="Q702" s="12">
        <f>IF(OR($F702="",$G702=""),0,IF(AND($F702&lt;=DATE(README!$B$5,12,31),$G702&gt;=DATE(README!$B$5,1,1)),1,0))</f>
        <v/>
      </c>
      <c r="R702" s="10" t="inlineStr">
        <is>
          <t>GUT-VEH0016</t>
        </is>
      </c>
      <c r="S702" s="11" t="n">
        <v>46023</v>
      </c>
      <c r="T702" s="10" t="inlineStr">
        <is>
          <t>5</t>
        </is>
      </c>
      <c r="U702" s="10" t="inlineStr">
        <is>
          <t>VEHICLE</t>
        </is>
      </c>
      <c r="V702" s="10" t="inlineStr">
        <is>
          <t>T</t>
        </is>
      </c>
      <c r="W702" s="10" t="inlineStr">
        <is>
          <t>VIVEK B</t>
        </is>
      </c>
    </row>
    <row r="703">
      <c r="A703" s="10" t="inlineStr">
        <is>
          <t>TN58BK3434</t>
        </is>
      </c>
      <c r="B703" s="10" t="inlineStr">
        <is>
          <t>WOVEN</t>
        </is>
      </c>
      <c r="C703" s="10" t="inlineStr">
        <is>
          <t>ROAD TAX</t>
        </is>
      </c>
      <c r="D703" s="10" t="inlineStr">
        <is>
          <t>ROAD TAX</t>
        </is>
      </c>
      <c r="E703" s="10" t="inlineStr">
        <is>
          <t>YEARLY</t>
        </is>
      </c>
      <c r="F703" s="11" t="n">
        <v>45383</v>
      </c>
      <c r="G703" s="11" t="n">
        <v>45747</v>
      </c>
      <c r="H703" s="12">
        <f>IF(OR($F703="",$G703=""),"",$G703-$F703+1)</f>
        <v/>
      </c>
      <c r="I703" s="10">
        <f>IF($F703="","",IF(MONTH($F703)&gt;=4,YEAR($F703)&amp;"-"&amp;TEXT(YEAR($F703)+1-2000,"00"),YEAR($F703)-1&amp;"-"&amp;TEXT(YEAR($F703)-2000,"00")))</f>
        <v/>
      </c>
      <c r="J703" s="13" t="n">
        <v>32724</v>
      </c>
      <c r="K703" s="14">
        <f>IFERROR($L703/$J703,"")</f>
        <v/>
      </c>
      <c r="L703" s="13" t="n">
        <v>32724</v>
      </c>
      <c r="M703" s="13">
        <f>IFERROR($L703/$H703,"")</f>
        <v/>
      </c>
      <c r="N703" s="11" t="n">
        <v>45840</v>
      </c>
      <c r="O703" s="10">
        <f>IF($N703="","No","Yes")</f>
        <v/>
      </c>
      <c r="P703" s="12">
        <f>IF(OR($F703="",$G703=""),0,IF(AND($F703&lt;=README!$B$4,README!$B$4&lt;=$G703),1,0))</f>
        <v/>
      </c>
      <c r="Q703" s="12">
        <f>IF(OR($F703="",$G703=""),0,IF(AND($F703&lt;=DATE(README!$B$5,12,31),$G703&gt;=DATE(README!$B$5,1,1)),1,0))</f>
        <v/>
      </c>
      <c r="R703" s="10" t="inlineStr">
        <is>
          <t>GUT-VEH0016</t>
        </is>
      </c>
      <c r="S703" s="11" t="n">
        <v>46023</v>
      </c>
      <c r="T703" s="10" t="inlineStr">
        <is>
          <t>5</t>
        </is>
      </c>
      <c r="U703" s="10" t="inlineStr">
        <is>
          <t>VEHICLE</t>
        </is>
      </c>
      <c r="V703" s="10" t="inlineStr">
        <is>
          <t>T</t>
        </is>
      </c>
      <c r="W703" s="10" t="inlineStr">
        <is>
          <t>VIVEK B</t>
        </is>
      </c>
    </row>
    <row r="704">
      <c r="A704" s="10" t="inlineStr">
        <is>
          <t>TN58BK3434</t>
        </is>
      </c>
      <c r="B704" s="10" t="inlineStr">
        <is>
          <t>WOVEN</t>
        </is>
      </c>
      <c r="C704" s="10" t="inlineStr">
        <is>
          <t>ROAD TAX</t>
        </is>
      </c>
      <c r="D704" s="10" t="inlineStr">
        <is>
          <t>ROAD TAX</t>
        </is>
      </c>
      <c r="E704" s="10" t="inlineStr">
        <is>
          <t>YEARLY</t>
        </is>
      </c>
      <c r="F704" s="11" t="n">
        <v>45383</v>
      </c>
      <c r="G704" s="11" t="n">
        <v>45747</v>
      </c>
      <c r="H704" s="12">
        <f>IF(OR($F704="",$G704=""),"",$G704-$F704+1)</f>
        <v/>
      </c>
      <c r="I704" s="10">
        <f>IF($F704="","",IF(MONTH($F704)&gt;=4,YEAR($F704)&amp;"-"&amp;TEXT(YEAR($F704)+1-2000,"00"),YEAR($F704)-1&amp;"-"&amp;TEXT(YEAR($F704)-2000,"00")))</f>
        <v/>
      </c>
      <c r="J704" s="13" t="n">
        <v>32724</v>
      </c>
      <c r="K704" s="14">
        <f>IFERROR($L704/$J704,"")</f>
        <v/>
      </c>
      <c r="L704" s="13" t="n">
        <v>32724</v>
      </c>
      <c r="M704" s="13">
        <f>IFERROR($L704/$H704,"")</f>
        <v/>
      </c>
      <c r="N704" s="11" t="n">
        <v>45727</v>
      </c>
      <c r="O704" s="10">
        <f>IF($N704="","No","Yes")</f>
        <v/>
      </c>
      <c r="P704" s="12">
        <f>IF(OR($F704="",$G704=""),0,IF(AND($F704&lt;=README!$B$4,README!$B$4&lt;=$G704),1,0))</f>
        <v/>
      </c>
      <c r="Q704" s="12">
        <f>IF(OR($F704="",$G704=""),0,IF(AND($F704&lt;=DATE(README!$B$5,12,31),$G704&gt;=DATE(README!$B$5,1,1)),1,0))</f>
        <v/>
      </c>
      <c r="R704" s="10" t="inlineStr">
        <is>
          <t>GUT-VEH0016</t>
        </is>
      </c>
      <c r="S704" s="11" t="n">
        <v>46023</v>
      </c>
      <c r="T704" s="10" t="inlineStr">
        <is>
          <t>5</t>
        </is>
      </c>
      <c r="U704" s="10" t="inlineStr">
        <is>
          <t>VEHICLE</t>
        </is>
      </c>
      <c r="V704" s="10" t="inlineStr">
        <is>
          <t>T</t>
        </is>
      </c>
      <c r="W704" s="10" t="inlineStr">
        <is>
          <t>VIVEK B</t>
        </is>
      </c>
    </row>
    <row r="705">
      <c r="A705" s="10" t="inlineStr">
        <is>
          <t>TN58BK3434</t>
        </is>
      </c>
      <c r="B705" s="10" t="inlineStr">
        <is>
          <t>WOVEN</t>
        </is>
      </c>
      <c r="C705" s="10" t="inlineStr">
        <is>
          <t>ROAD TAX</t>
        </is>
      </c>
      <c r="D705" s="10" t="inlineStr">
        <is>
          <t>ROAD TAX</t>
        </is>
      </c>
      <c r="E705" s="10" t="inlineStr">
        <is>
          <t>YEARLY</t>
        </is>
      </c>
      <c r="F705" s="11" t="n">
        <v>45383</v>
      </c>
      <c r="G705" s="11" t="n">
        <v>45747</v>
      </c>
      <c r="H705" s="12">
        <f>IF(OR($F705="",$G705=""),"",$G705-$F705+1)</f>
        <v/>
      </c>
      <c r="I705" s="10">
        <f>IF($F705="","",IF(MONTH($F705)&gt;=4,YEAR($F705)&amp;"-"&amp;TEXT(YEAR($F705)+1-2000,"00"),YEAR($F705)-1&amp;"-"&amp;TEXT(YEAR($F705)-2000,"00")))</f>
        <v/>
      </c>
      <c r="J705" s="13" t="n">
        <v>32724</v>
      </c>
      <c r="K705" s="14">
        <f>IFERROR($L705/$J705,"")</f>
        <v/>
      </c>
      <c r="L705" s="13" t="n">
        <v>32724</v>
      </c>
      <c r="M705" s="13">
        <f>IFERROR($L705/$H705,"")</f>
        <v/>
      </c>
      <c r="N705" s="11" t="n">
        <v>45649</v>
      </c>
      <c r="O705" s="10">
        <f>IF($N705="","No","Yes")</f>
        <v/>
      </c>
      <c r="P705" s="12">
        <f>IF(OR($F705="",$G705=""),0,IF(AND($F705&lt;=README!$B$4,README!$B$4&lt;=$G705),1,0))</f>
        <v/>
      </c>
      <c r="Q705" s="12">
        <f>IF(OR($F705="",$G705=""),0,IF(AND($F705&lt;=DATE(README!$B$5,12,31),$G705&gt;=DATE(README!$B$5,1,1)),1,0))</f>
        <v/>
      </c>
      <c r="R705" s="10" t="inlineStr">
        <is>
          <t>GUT-VEH0011</t>
        </is>
      </c>
      <c r="S705" s="11" t="n">
        <v>45475</v>
      </c>
      <c r="T705" s="10" t="inlineStr">
        <is>
          <t>3</t>
        </is>
      </c>
      <c r="U705" s="10" t="inlineStr">
        <is>
          <t>VEHICLE</t>
        </is>
      </c>
      <c r="V705" s="10" t="inlineStr">
        <is>
          <t>T</t>
        </is>
      </c>
      <c r="W705" s="10" t="inlineStr">
        <is>
          <t>VIVEK B</t>
        </is>
      </c>
    </row>
    <row r="706">
      <c r="A706" s="10" t="inlineStr">
        <is>
          <t>TN58BK3434</t>
        </is>
      </c>
      <c r="B706" s="10" t="inlineStr">
        <is>
          <t>WOVEN</t>
        </is>
      </c>
      <c r="C706" s="10" t="inlineStr">
        <is>
          <t>ROAD TAX</t>
        </is>
      </c>
      <c r="D706" s="10" t="inlineStr">
        <is>
          <t>ROAD TAX</t>
        </is>
      </c>
      <c r="E706" s="10" t="inlineStr">
        <is>
          <t>YEARLY</t>
        </is>
      </c>
      <c r="F706" s="11" t="n">
        <v>45383</v>
      </c>
      <c r="G706" s="11" t="n">
        <v>45747</v>
      </c>
      <c r="H706" s="12">
        <f>IF(OR($F706="",$G706=""),"",$G706-$F706+1)</f>
        <v/>
      </c>
      <c r="I706" s="10">
        <f>IF($F706="","",IF(MONTH($F706)&gt;=4,YEAR($F706)&amp;"-"&amp;TEXT(YEAR($F706)+1-2000,"00"),YEAR($F706)-1&amp;"-"&amp;TEXT(YEAR($F706)-2000,"00")))</f>
        <v/>
      </c>
      <c r="J706" s="13" t="n">
        <v>32724</v>
      </c>
      <c r="K706" s="14">
        <f>IFERROR($L706/$J706,"")</f>
        <v/>
      </c>
      <c r="L706" s="13" t="n">
        <v>32724</v>
      </c>
      <c r="M706" s="13">
        <f>IFERROR($L706/$H706,"")</f>
        <v/>
      </c>
      <c r="N706" s="11" t="n">
        <v>45569</v>
      </c>
      <c r="O706" s="10">
        <f>IF($N706="","No","Yes")</f>
        <v/>
      </c>
      <c r="P706" s="12">
        <f>IF(OR($F706="",$G706=""),0,IF(AND($F706&lt;=README!$B$4,README!$B$4&lt;=$G706),1,0))</f>
        <v/>
      </c>
      <c r="Q706" s="12">
        <f>IF(OR($F706="",$G706=""),0,IF(AND($F706&lt;=DATE(README!$B$5,12,31),$G706&gt;=DATE(README!$B$5,1,1)),1,0))</f>
        <v/>
      </c>
      <c r="R706" s="10" t="inlineStr">
        <is>
          <t>GUT-VEH0011</t>
        </is>
      </c>
      <c r="S706" s="11" t="n">
        <v>45475</v>
      </c>
      <c r="T706" s="10" t="inlineStr">
        <is>
          <t>3</t>
        </is>
      </c>
      <c r="U706" s="10" t="inlineStr">
        <is>
          <t>VEHICLE</t>
        </is>
      </c>
      <c r="V706" s="10" t="inlineStr">
        <is>
          <t>T</t>
        </is>
      </c>
      <c r="W706" s="10" t="inlineStr">
        <is>
          <t>VIVEK B</t>
        </is>
      </c>
    </row>
    <row r="707">
      <c r="A707" s="10" t="inlineStr">
        <is>
          <t>TN58BK3434</t>
        </is>
      </c>
      <c r="B707" s="10" t="inlineStr">
        <is>
          <t>WOVEN</t>
        </is>
      </c>
      <c r="C707" s="10" t="inlineStr">
        <is>
          <t>ROAD TAX</t>
        </is>
      </c>
      <c r="D707" s="10" t="inlineStr">
        <is>
          <t>ROAD TAX</t>
        </is>
      </c>
      <c r="E707" s="10" t="inlineStr">
        <is>
          <t>YEARLY</t>
        </is>
      </c>
      <c r="F707" s="11" t="n">
        <v>45383</v>
      </c>
      <c r="G707" s="11" t="n">
        <v>45747</v>
      </c>
      <c r="H707" s="12">
        <f>IF(OR($F707="",$G707=""),"",$G707-$F707+1)</f>
        <v/>
      </c>
      <c r="I707" s="10">
        <f>IF($F707="","",IF(MONTH($F707)&gt;=4,YEAR($F707)&amp;"-"&amp;TEXT(YEAR($F707)+1-2000,"00"),YEAR($F707)-1&amp;"-"&amp;TEXT(YEAR($F707)-2000,"00")))</f>
        <v/>
      </c>
      <c r="J707" s="13" t="n">
        <v>32724</v>
      </c>
      <c r="K707" s="14">
        <f>IFERROR($L707/$J707,"")</f>
        <v/>
      </c>
      <c r="L707" s="13" t="n">
        <v>32724</v>
      </c>
      <c r="M707" s="13">
        <f>IFERROR($L707/$H707,"")</f>
        <v/>
      </c>
      <c r="N707" s="11" t="n">
        <v>45481</v>
      </c>
      <c r="O707" s="10">
        <f>IF($N707="","No","Yes")</f>
        <v/>
      </c>
      <c r="P707" s="12">
        <f>IF(OR($F707="",$G707=""),0,IF(AND($F707&lt;=README!$B$4,README!$B$4&lt;=$G707),1,0))</f>
        <v/>
      </c>
      <c r="Q707" s="12">
        <f>IF(OR($F707="",$G707=""),0,IF(AND($F707&lt;=DATE(README!$B$5,12,31),$G707&gt;=DATE(README!$B$5,1,1)),1,0))</f>
        <v/>
      </c>
      <c r="R707" s="10" t="inlineStr">
        <is>
          <t>GUT-VEH0011</t>
        </is>
      </c>
      <c r="S707" s="11" t="n">
        <v>45475</v>
      </c>
      <c r="T707" s="10" t="inlineStr">
        <is>
          <t>3</t>
        </is>
      </c>
      <c r="U707" s="10" t="inlineStr">
        <is>
          <t>VEHICLE</t>
        </is>
      </c>
      <c r="V707" s="10" t="inlineStr">
        <is>
          <t>T</t>
        </is>
      </c>
      <c r="W707" s="10" t="inlineStr">
        <is>
          <t>VIVEK B</t>
        </is>
      </c>
    </row>
    <row r="708">
      <c r="A708" s="10" t="inlineStr">
        <is>
          <t>TN58BK3434</t>
        </is>
      </c>
      <c r="B708" s="10" t="inlineStr">
        <is>
          <t>WOVEN</t>
        </is>
      </c>
      <c r="C708" s="10" t="inlineStr">
        <is>
          <t>RTO EXPENSE</t>
        </is>
      </c>
      <c r="D708" s="10" t="inlineStr">
        <is>
          <t>RTO EXPENSE</t>
        </is>
      </c>
      <c r="E708" s="10" t="inlineStr">
        <is>
          <t>YEARLY</t>
        </is>
      </c>
      <c r="F708" s="11" t="n">
        <v>45383</v>
      </c>
      <c r="G708" s="11" t="n">
        <v>45747</v>
      </c>
      <c r="H708" s="12">
        <f>IF(OR($F708="",$G708=""),"",$G708-$F708+1)</f>
        <v/>
      </c>
      <c r="I708" s="10">
        <f>IF($F708="","",IF(MONTH($F708)&gt;=4,YEAR($F708)&amp;"-"&amp;TEXT(YEAR($F708)+1-2000,"00"),YEAR($F708)-1&amp;"-"&amp;TEXT(YEAR($F708)-2000,"00")))</f>
        <v/>
      </c>
      <c r="J708" s="13" t="n">
        <v>12500</v>
      </c>
      <c r="K708" s="14">
        <f>IFERROR($L708/$J708,"")</f>
        <v/>
      </c>
      <c r="L708" s="13" t="n">
        <v>12500</v>
      </c>
      <c r="M708" s="13">
        <f>IFERROR($L708/$H708,"")</f>
        <v/>
      </c>
      <c r="N708" s="11" t="n">
        <v>45638</v>
      </c>
      <c r="O708" s="10">
        <f>IF($N708="","No","Yes")</f>
        <v/>
      </c>
      <c r="P708" s="12">
        <f>IF(OR($F708="",$G708=""),0,IF(AND($F708&lt;=README!$B$4,README!$B$4&lt;=$G708),1,0))</f>
        <v/>
      </c>
      <c r="Q708" s="12">
        <f>IF(OR($F708="",$G708=""),0,IF(AND($F708&lt;=DATE(README!$B$5,12,31),$G708&gt;=DATE(README!$B$5,1,1)),1,0))</f>
        <v/>
      </c>
      <c r="R708" s="10" t="inlineStr">
        <is>
          <t>GUT-VEH0010</t>
        </is>
      </c>
      <c r="S708" s="11" t="n">
        <v>45475</v>
      </c>
      <c r="T708" s="10" t="inlineStr">
        <is>
          <t>3</t>
        </is>
      </c>
      <c r="U708" s="10" t="inlineStr">
        <is>
          <t>VEHICLE</t>
        </is>
      </c>
      <c r="V708" s="10" t="inlineStr">
        <is>
          <t>T</t>
        </is>
      </c>
      <c r="W708" s="10" t="inlineStr">
        <is>
          <t>VIVEK B</t>
        </is>
      </c>
    </row>
    <row r="709">
      <c r="A709" s="10" t="inlineStr">
        <is>
          <t>TN58BK3434</t>
        </is>
      </c>
      <c r="B709" s="10" t="inlineStr">
        <is>
          <t>WOVEN</t>
        </is>
      </c>
      <c r="C709" s="10" t="inlineStr">
        <is>
          <t>TYRE</t>
        </is>
      </c>
      <c r="D709" s="10" t="inlineStr">
        <is>
          <t>TYRE</t>
        </is>
      </c>
      <c r="E709" s="10" t="inlineStr">
        <is>
          <t>YEARLY</t>
        </is>
      </c>
      <c r="F709" s="11" t="n">
        <v>45383</v>
      </c>
      <c r="G709" s="11" t="n">
        <v>45747</v>
      </c>
      <c r="H709" s="12">
        <f>IF(OR($F709="",$G709=""),"",$G709-$F709+1)</f>
        <v/>
      </c>
      <c r="I709" s="10">
        <f>IF($F709="","",IF(MONTH($F709)&gt;=4,YEAR($F709)&amp;"-"&amp;TEXT(YEAR($F709)+1-2000,"00"),YEAR($F709)-1&amp;"-"&amp;TEXT(YEAR($F709)-2000,"00")))</f>
        <v/>
      </c>
      <c r="J709" s="13" t="n">
        <v>30200</v>
      </c>
      <c r="K709" s="14">
        <f>IFERROR($L709/$J709,"")</f>
        <v/>
      </c>
      <c r="L709" s="13" t="n">
        <v>30200</v>
      </c>
      <c r="M709" s="13">
        <f>IFERROR($L709/$H709,"")</f>
        <v/>
      </c>
      <c r="N709" s="11" t="n">
        <v>45554</v>
      </c>
      <c r="O709" s="10">
        <f>IF($N709="","No","Yes")</f>
        <v/>
      </c>
      <c r="P709" s="12">
        <f>IF(OR($F709="",$G709=""),0,IF(AND($F709&lt;=README!$B$4,README!$B$4&lt;=$G709),1,0))</f>
        <v/>
      </c>
      <c r="Q709" s="12">
        <f>IF(OR($F709="",$G709=""),0,IF(AND($F709&lt;=DATE(README!$B$5,12,31),$G709&gt;=DATE(README!$B$5,1,1)),1,0))</f>
        <v/>
      </c>
      <c r="R709" s="10" t="inlineStr">
        <is>
          <t>GUT-VEH0006</t>
        </is>
      </c>
      <c r="S709" s="11" t="n">
        <v>45437</v>
      </c>
      <c r="T709" s="10" t="inlineStr">
        <is>
          <t>3</t>
        </is>
      </c>
      <c r="U709" s="10" t="inlineStr">
        <is>
          <t>VEHICLE</t>
        </is>
      </c>
      <c r="V709" s="10" t="inlineStr">
        <is>
          <t>T</t>
        </is>
      </c>
      <c r="W709" s="10" t="inlineStr">
        <is>
          <t>VIVEK B</t>
        </is>
      </c>
    </row>
    <row r="710">
      <c r="A710" s="10" t="inlineStr">
        <is>
          <t>TN58BK3434</t>
        </is>
      </c>
      <c r="B710" s="10" t="inlineStr">
        <is>
          <t>WOVEN</t>
        </is>
      </c>
      <c r="C710" s="10" t="inlineStr">
        <is>
          <t>VEHICLE INSURANCE</t>
        </is>
      </c>
      <c r="D710" s="10" t="inlineStr">
        <is>
          <t>VEHICLE INSURANCE</t>
        </is>
      </c>
      <c r="E710" s="10" t="inlineStr">
        <is>
          <t>YEARLY</t>
        </is>
      </c>
      <c r="F710" s="11" t="n">
        <v>45383</v>
      </c>
      <c r="G710" s="11" t="n">
        <v>45747</v>
      </c>
      <c r="H710" s="12">
        <f>IF(OR($F710="",$G710=""),"",$G710-$F710+1)</f>
        <v/>
      </c>
      <c r="I710" s="10">
        <f>IF($F710="","",IF(MONTH($F710)&gt;=4,YEAR($F710)&amp;"-"&amp;TEXT(YEAR($F710)+1-2000,"00"),YEAR($F710)-1&amp;"-"&amp;TEXT(YEAR($F710)-2000,"00")))</f>
        <v/>
      </c>
      <c r="J710" s="13" t="n">
        <v>80290</v>
      </c>
      <c r="K710" s="14">
        <f>IFERROR($L710/$J710,"")</f>
        <v/>
      </c>
      <c r="L710" s="13" t="n">
        <v>80290</v>
      </c>
      <c r="M710" s="13">
        <f>IFERROR($L710/$H710,"")</f>
        <v/>
      </c>
      <c r="N710" s="11" t="n">
        <v>45565</v>
      </c>
      <c r="O710" s="10">
        <f>IF($N710="","No","Yes")</f>
        <v/>
      </c>
      <c r="P710" s="12">
        <f>IF(OR($F710="",$G710=""),0,IF(AND($F710&lt;=README!$B$4,README!$B$4&lt;=$G710),1,0))</f>
        <v/>
      </c>
      <c r="Q710" s="12">
        <f>IF(OR($F710="",$G710=""),0,IF(AND($F710&lt;=DATE(README!$B$5,12,31),$G710&gt;=DATE(README!$B$5,1,1)),1,0))</f>
        <v/>
      </c>
      <c r="R710" s="10" t="inlineStr">
        <is>
          <t>GUT-VEH0012</t>
        </is>
      </c>
      <c r="S710" s="11" t="n">
        <v>45478</v>
      </c>
      <c r="T710" s="10" t="inlineStr">
        <is>
          <t>3</t>
        </is>
      </c>
      <c r="U710" s="10" t="inlineStr">
        <is>
          <t>VEHICLE</t>
        </is>
      </c>
      <c r="V710" s="10" t="inlineStr">
        <is>
          <t>T</t>
        </is>
      </c>
      <c r="W710" s="10" t="inlineStr">
        <is>
          <t>VIVEK B</t>
        </is>
      </c>
    </row>
    <row r="711">
      <c r="A711" s="10" t="inlineStr">
        <is>
          <t>TN58BK3434</t>
        </is>
      </c>
      <c r="B711" s="10" t="inlineStr">
        <is>
          <t>WOVEN</t>
        </is>
      </c>
      <c r="C711" s="10" t="inlineStr">
        <is>
          <t>TYRE</t>
        </is>
      </c>
      <c r="D711" s="10" t="inlineStr">
        <is>
          <t>TYRE</t>
        </is>
      </c>
      <c r="E711" s="10" t="inlineStr">
        <is>
          <t>YEARLY</t>
        </is>
      </c>
      <c r="F711" s="11" t="n">
        <v>45748</v>
      </c>
      <c r="G711" s="11" t="n">
        <v>46112</v>
      </c>
      <c r="H711" s="12">
        <f>IF(OR($F711="",$G711=""),"",$G711-$F711+1)</f>
        <v/>
      </c>
      <c r="I711" s="10">
        <f>IF($F711="","",IF(MONTH($F711)&gt;=4,YEAR($F711)&amp;"-"&amp;TEXT(YEAR($F711)+1-2000,"00"),YEAR($F711)-1&amp;"-"&amp;TEXT(YEAR($F711)-2000,"00")))</f>
        <v/>
      </c>
      <c r="J711" s="13" t="n">
        <v>30300</v>
      </c>
      <c r="K711" s="14">
        <f>IFERROR($L711/$J711,"")</f>
        <v/>
      </c>
      <c r="L711" s="13" t="n">
        <v>30300</v>
      </c>
      <c r="M711" s="13">
        <f>IFERROR($L711/$H711,"")</f>
        <v/>
      </c>
      <c r="N711" s="11" t="n">
        <v>45986</v>
      </c>
      <c r="O711" s="10">
        <f>IF($N711="","No","Yes")</f>
        <v/>
      </c>
      <c r="P711" s="12">
        <f>IF(OR($F711="",$G711=""),0,IF(AND($F711&lt;=README!$B$4,README!$B$4&lt;=$G711),1,0))</f>
        <v/>
      </c>
      <c r="Q711" s="12">
        <f>IF(OR($F711="",$G711=""),0,IF(AND($F711&lt;=DATE(README!$B$5,12,31),$G711&gt;=DATE(README!$B$5,1,1)),1,0))</f>
        <v/>
      </c>
      <c r="R711" s="10" t="inlineStr">
        <is>
          <t>GUT-VEH0026</t>
        </is>
      </c>
      <c r="S711" s="11" t="n">
        <v>45957</v>
      </c>
      <c r="T711" s="10" t="inlineStr">
        <is>
          <t>5</t>
        </is>
      </c>
      <c r="U711" s="10" t="inlineStr">
        <is>
          <t>VEHICLE</t>
        </is>
      </c>
      <c r="V711" s="10" t="inlineStr">
        <is>
          <t>T</t>
        </is>
      </c>
      <c r="W711" s="10" t="inlineStr">
        <is>
          <t>VIVEK B</t>
        </is>
      </c>
    </row>
    <row r="712">
      <c r="A712" s="10" t="inlineStr">
        <is>
          <t>TN58BK3434</t>
        </is>
      </c>
      <c r="B712" s="10" t="inlineStr">
        <is>
          <t>WOVEN</t>
        </is>
      </c>
      <c r="C712" s="10" t="inlineStr">
        <is>
          <t>VEHICLE INSURANCE</t>
        </is>
      </c>
      <c r="D712" s="10" t="inlineStr">
        <is>
          <t>VEHICLE INSURANCE</t>
        </is>
      </c>
      <c r="E712" s="10" t="inlineStr">
        <is>
          <t>YEARLY</t>
        </is>
      </c>
      <c r="F712" s="11" t="n">
        <v>45748</v>
      </c>
      <c r="G712" s="11" t="n">
        <v>46112</v>
      </c>
      <c r="H712" s="12">
        <f>IF(OR($F712="",$G712=""),"",$G712-$F712+1)</f>
        <v/>
      </c>
      <c r="I712" s="10">
        <f>IF($F712="","",IF(MONTH($F712)&gt;=4,YEAR($F712)&amp;"-"&amp;TEXT(YEAR($F712)+1-2000,"00"),YEAR($F712)-1&amp;"-"&amp;TEXT(YEAR($F712)-2000,"00")))</f>
        <v/>
      </c>
      <c r="J712" s="13" t="n">
        <v>79218</v>
      </c>
      <c r="K712" s="14">
        <f>IFERROR($L712/$J712,"")</f>
        <v/>
      </c>
      <c r="L712" s="13" t="n">
        <v>79218</v>
      </c>
      <c r="M712" s="13">
        <f>IFERROR($L712/$H712,"")</f>
        <v/>
      </c>
      <c r="N712" s="11" t="n">
        <v>45930</v>
      </c>
      <c r="O712" s="10">
        <f>IF($N712="","No","Yes")</f>
        <v/>
      </c>
      <c r="P712" s="12">
        <f>IF(OR($F712="",$G712=""),0,IF(AND($F712&lt;=README!$B$4,README!$B$4&lt;=$G712),1,0))</f>
        <v/>
      </c>
      <c r="Q712" s="12">
        <f>IF(OR($F712="",$G712=""),0,IF(AND($F712&lt;=DATE(README!$B$5,12,31),$G712&gt;=DATE(README!$B$5,1,1)),1,0))</f>
        <v/>
      </c>
      <c r="R712" s="10" t="inlineStr">
        <is>
          <t>GUT-VEH0019</t>
        </is>
      </c>
      <c r="S712" s="11" t="n">
        <v>45799</v>
      </c>
      <c r="T712" s="10" t="inlineStr">
        <is>
          <t>5</t>
        </is>
      </c>
      <c r="U712" s="10" t="inlineStr">
        <is>
          <t>VEHICLE</t>
        </is>
      </c>
      <c r="V712" s="10" t="inlineStr">
        <is>
          <t>T</t>
        </is>
      </c>
      <c r="W712" s="10" t="inlineStr">
        <is>
          <t>VIVEK B</t>
        </is>
      </c>
    </row>
    <row r="713">
      <c r="A713" s="10" t="inlineStr">
        <is>
          <t>TN58BK3434</t>
        </is>
      </c>
      <c r="B713" s="10" t="inlineStr"/>
      <c r="C713" s="10" t="inlineStr">
        <is>
          <t>VEHICLE OUTSIDE SERVICES</t>
        </is>
      </c>
      <c r="D713" s="10" t="inlineStr">
        <is>
          <t>MAINTENANCE SERVICE - 2</t>
        </is>
      </c>
      <c r="E713" s="10" t="inlineStr">
        <is>
          <t>YEARLY</t>
        </is>
      </c>
      <c r="F713" s="11" t="n">
        <v>45748</v>
      </c>
      <c r="G713" s="11" t="n">
        <v>46112</v>
      </c>
      <c r="H713" s="12">
        <f>IF(OR($F713="",$G713=""),"",$G713-$F713+1)</f>
        <v/>
      </c>
      <c r="I713" s="10">
        <f>IF($F713="","",IF(MONTH($F713)&gt;=4,YEAR($F713)&amp;"-"&amp;TEXT(YEAR($F713)+1-2000,"00"),YEAR($F713)-1&amp;"-"&amp;TEXT(YEAR($F713)-2000,"00")))</f>
        <v/>
      </c>
      <c r="J713" s="13" t="n">
        <v>8109.15</v>
      </c>
      <c r="K713" s="14">
        <f>IFERROR($L713/$J713,"")</f>
        <v/>
      </c>
      <c r="L713" s="13" t="n">
        <v>8109.15</v>
      </c>
      <c r="M713" s="13">
        <f>IFERROR($L713/$H713,"")</f>
        <v/>
      </c>
      <c r="N713" s="11" t="n">
        <v>45901</v>
      </c>
      <c r="O713" s="10">
        <f>IF($N713="","No","Yes")</f>
        <v/>
      </c>
      <c r="P713" s="12">
        <f>IF(OR($F713="",$G713=""),0,IF(AND($F713&lt;=README!$B$4,README!$B$4&lt;=$G713),1,0))</f>
        <v/>
      </c>
      <c r="Q713" s="12">
        <f>IF(OR($F713="",$G713=""),0,IF(AND($F713&lt;=DATE(README!$B$5,12,31),$G713&gt;=DATE(README!$B$5,1,1)),1,0))</f>
        <v/>
      </c>
      <c r="R713" s="10" t="inlineStr">
        <is>
          <t>GUT-VEH0021</t>
        </is>
      </c>
      <c r="S713" s="11" t="n">
        <v>45812</v>
      </c>
      <c r="T713" s="10" t="inlineStr">
        <is>
          <t>5</t>
        </is>
      </c>
      <c r="U713" s="10" t="inlineStr">
        <is>
          <t>VEHICLE</t>
        </is>
      </c>
      <c r="V713" s="10" t="inlineStr">
        <is>
          <t>T</t>
        </is>
      </c>
      <c r="W713" s="10" t="inlineStr">
        <is>
          <t>VIVEK B</t>
        </is>
      </c>
    </row>
    <row r="714">
      <c r="A714" s="10" t="inlineStr">
        <is>
          <t>TN58BK3434</t>
        </is>
      </c>
      <c r="B714" s="10" t="inlineStr"/>
      <c r="C714" s="10" t="inlineStr">
        <is>
          <t>VEHICLE OUTSIDE SERVICES</t>
        </is>
      </c>
      <c r="D714" s="10" t="inlineStr">
        <is>
          <t xml:space="preserve">MAINTENANCE SERVICE </t>
        </is>
      </c>
      <c r="E714" s="10" t="inlineStr">
        <is>
          <t>YEARLY</t>
        </is>
      </c>
      <c r="F714" s="11" t="n">
        <v>45748</v>
      </c>
      <c r="G714" s="11" t="n">
        <v>46112</v>
      </c>
      <c r="H714" s="12">
        <f>IF(OR($F714="",$G714=""),"",$G714-$F714+1)</f>
        <v/>
      </c>
      <c r="I714" s="10">
        <f>IF($F714="","",IF(MONTH($F714)&gt;=4,YEAR($F714)&amp;"-"&amp;TEXT(YEAR($F714)+1-2000,"00"),YEAR($F714)-1&amp;"-"&amp;TEXT(YEAR($F714)-2000,"00")))</f>
        <v/>
      </c>
      <c r="J714" s="13" t="n">
        <v>30860.48</v>
      </c>
      <c r="K714" s="14">
        <f>IFERROR($L714/$J714,"")</f>
        <v/>
      </c>
      <c r="L714" s="13" t="n">
        <v>30860.48</v>
      </c>
      <c r="M714" s="13">
        <f>IFERROR($L714/$H714,"")</f>
        <v/>
      </c>
      <c r="N714" s="11" t="n">
        <v>45878</v>
      </c>
      <c r="O714" s="10">
        <f>IF($N714="","No","Yes")</f>
        <v/>
      </c>
      <c r="P714" s="12">
        <f>IF(OR($F714="",$G714=""),0,IF(AND($F714&lt;=README!$B$4,README!$B$4&lt;=$G714),1,0))</f>
        <v/>
      </c>
      <c r="Q714" s="12">
        <f>IF(OR($F714="",$G714=""),0,IF(AND($F714&lt;=DATE(README!$B$5,12,31),$G714&gt;=DATE(README!$B$5,1,1)),1,0))</f>
        <v/>
      </c>
      <c r="R714" s="10" t="inlineStr">
        <is>
          <t>GUT-VEH0021</t>
        </is>
      </c>
      <c r="S714" s="11" t="n">
        <v>45812</v>
      </c>
      <c r="T714" s="10" t="inlineStr">
        <is>
          <t>5</t>
        </is>
      </c>
      <c r="U714" s="10" t="inlineStr">
        <is>
          <t>VEHICLE</t>
        </is>
      </c>
      <c r="V714" s="10" t="inlineStr">
        <is>
          <t>T</t>
        </is>
      </c>
      <c r="W714" s="10" t="inlineStr">
        <is>
          <t>VIVEK B</t>
        </is>
      </c>
    </row>
    <row r="715">
      <c r="A715" s="10" t="inlineStr">
        <is>
          <t>TN58BK3434</t>
        </is>
      </c>
      <c r="B715" s="10" t="inlineStr">
        <is>
          <t>WOVEN</t>
        </is>
      </c>
      <c r="C715" s="10" t="inlineStr">
        <is>
          <t>ROAD TAX</t>
        </is>
      </c>
      <c r="D715" s="10" t="inlineStr">
        <is>
          <t>ROAD TAX</t>
        </is>
      </c>
      <c r="E715" s="10" t="inlineStr">
        <is>
          <t>QUARTER - IV</t>
        </is>
      </c>
      <c r="F715" s="11" t="n">
        <v>46023</v>
      </c>
      <c r="G715" s="11" t="n">
        <v>46112</v>
      </c>
      <c r="H715" s="12">
        <f>IF(OR($F715="",$G715=""),"",$G715-$F715+1)</f>
        <v/>
      </c>
      <c r="I715" s="10">
        <f>IF($F715="","",IF(MONTH($F715)&gt;=4,YEAR($F715)&amp;"-"&amp;TEXT(YEAR($F715)+1-2000,"00"),YEAR($F715)-1&amp;"-"&amp;TEXT(YEAR($F715)-2000,"00")))</f>
        <v/>
      </c>
      <c r="J715" s="13" t="n">
        <v>32734</v>
      </c>
      <c r="K715" s="14">
        <f>IFERROR($L715/$J715,"")</f>
        <v/>
      </c>
      <c r="L715" s="13" t="n">
        <v>32734</v>
      </c>
      <c r="M715" s="13">
        <f>IFERROR($L715/$H715,"")</f>
        <v/>
      </c>
      <c r="N715" s="11" t="n">
        <v>46065</v>
      </c>
      <c r="O715" s="10">
        <f>IF($N715="","No","Yes")</f>
        <v/>
      </c>
      <c r="P715" s="12">
        <f>IF(OR($F715="",$G715=""),0,IF(AND($F715&lt;=README!$B$4,README!$B$4&lt;=$G715),1,0))</f>
        <v/>
      </c>
      <c r="Q715" s="12">
        <f>IF(OR($F715="",$G715=""),0,IF(AND($F715&lt;=DATE(README!$B$5,12,31),$G715&gt;=DATE(README!$B$5,1,1)),1,0))</f>
        <v/>
      </c>
      <c r="R715" s="10" t="inlineStr">
        <is>
          <t>GUT-VEH0016</t>
        </is>
      </c>
      <c r="S715" s="11" t="n">
        <v>46023</v>
      </c>
      <c r="T715" s="10" t="inlineStr">
        <is>
          <t>5</t>
        </is>
      </c>
      <c r="U715" s="10" t="inlineStr">
        <is>
          <t>VEHICLE</t>
        </is>
      </c>
      <c r="V715" s="10" t="inlineStr">
        <is>
          <t>T</t>
        </is>
      </c>
      <c r="W715" s="10" t="inlineStr">
        <is>
          <t>VIVEK B</t>
        </is>
      </c>
    </row>
    <row r="716">
      <c r="A716" s="10" t="inlineStr">
        <is>
          <t>TN58BK3434</t>
        </is>
      </c>
      <c r="B716" s="10" t="inlineStr">
        <is>
          <t>WOVEN</t>
        </is>
      </c>
      <c r="C716" s="10" t="inlineStr">
        <is>
          <t>ROAD TAX</t>
        </is>
      </c>
      <c r="D716" s="10" t="inlineStr">
        <is>
          <t>ROAD TAX</t>
        </is>
      </c>
      <c r="E716" s="10" t="inlineStr">
        <is>
          <t>QUARTER - I</t>
        </is>
      </c>
      <c r="F716" s="11" t="n">
        <v>46113</v>
      </c>
      <c r="G716" s="11" t="n">
        <v>46203</v>
      </c>
      <c r="H716" s="12">
        <f>IF(OR($F716="",$G716=""),"",$G716-$F716+1)</f>
        <v/>
      </c>
      <c r="I716" s="10">
        <f>IF($F716="","",IF(MONTH($F716)&gt;=4,YEAR($F716)&amp;"-"&amp;TEXT(YEAR($F716)+1-2000,"00"),YEAR($F716)-1&amp;"-"&amp;TEXT(YEAR($F716)-2000,"00")))</f>
        <v/>
      </c>
      <c r="J716" s="13" t="n">
        <v>32734</v>
      </c>
      <c r="K716" s="14">
        <f>IFERROR($L716/$J716,"")</f>
        <v/>
      </c>
      <c r="L716" s="13" t="n">
        <v>32734</v>
      </c>
      <c r="M716" s="13">
        <f>IFERROR($L716/$H716,"")</f>
        <v/>
      </c>
      <c r="N716" s="11" t="n">
        <v>46088</v>
      </c>
      <c r="O716" s="10">
        <f>IF($N716="","No","Yes")</f>
        <v/>
      </c>
      <c r="P716" s="12">
        <f>IF(OR($F716="",$G716=""),0,IF(AND($F716&lt;=README!$B$4,README!$B$4&lt;=$G716),1,0))</f>
        <v/>
      </c>
      <c r="Q716" s="12">
        <f>IF(OR($F716="",$G716=""),0,IF(AND($F716&lt;=DATE(README!$B$5,12,31),$G716&gt;=DATE(README!$B$5,1,1)),1,0))</f>
        <v/>
      </c>
      <c r="R716" s="10" t="inlineStr">
        <is>
          <t>GUT-VEH0029</t>
        </is>
      </c>
      <c r="S716" s="11" t="n">
        <v>46087</v>
      </c>
      <c r="T716" s="10" t="inlineStr">
        <is>
          <t>5</t>
        </is>
      </c>
      <c r="U716" s="10" t="inlineStr">
        <is>
          <t>VEHICLE</t>
        </is>
      </c>
      <c r="V716" s="10" t="inlineStr">
        <is>
          <t>T</t>
        </is>
      </c>
      <c r="W716" s="10" t="inlineStr">
        <is>
          <t>VIVEK B</t>
        </is>
      </c>
    </row>
    <row r="717">
      <c r="A717" s="10" t="inlineStr">
        <is>
          <t>TN58BK3434</t>
        </is>
      </c>
      <c r="B717" s="10" t="inlineStr">
        <is>
          <t>WOVEN</t>
        </is>
      </c>
      <c r="C717" s="10" t="inlineStr">
        <is>
          <t>VEHICLE OUTSIDE SERVICES</t>
        </is>
      </c>
      <c r="D717" s="10" t="inlineStr">
        <is>
          <t xml:space="preserve">MAINTENANCE SERVICE </t>
        </is>
      </c>
      <c r="E717" s="10" t="inlineStr">
        <is>
          <t>JUNE</t>
        </is>
      </c>
      <c r="F717" s="11" t="n">
        <v>46174</v>
      </c>
      <c r="G717" s="11" t="n">
        <v>46203</v>
      </c>
      <c r="H717" s="12">
        <f>IF(OR($F717="",$G717=""),"",$G717-$F717+1)</f>
        <v/>
      </c>
      <c r="I717" s="10">
        <f>IF($F717="","",IF(MONTH($F717)&gt;=4,YEAR($F717)&amp;"-"&amp;TEXT(YEAR($F717)+1-2000,"00"),YEAR($F717)-1&amp;"-"&amp;TEXT(YEAR($F717)-2000,"00")))</f>
        <v/>
      </c>
      <c r="J717" s="13" t="n">
        <v>7110.03</v>
      </c>
      <c r="K717" s="14">
        <f>IFERROR($L717/$J717,"")</f>
        <v/>
      </c>
      <c r="L717" s="13" t="n">
        <v>7110.03</v>
      </c>
      <c r="M717" s="13">
        <f>IFERROR($L717/$H717,"")</f>
        <v/>
      </c>
      <c r="N717" s="11" t="n">
        <v>46186</v>
      </c>
      <c r="O717" s="10">
        <f>IF($N717="","No","Yes")</f>
        <v/>
      </c>
      <c r="P717" s="12">
        <f>IF(OR($F717="",$G717=""),0,IF(AND($F717&lt;=README!$B$4,README!$B$4&lt;=$G717),1,0))</f>
        <v/>
      </c>
      <c r="Q717" s="12">
        <f>IF(OR($F717="",$G717=""),0,IF(AND($F717&lt;=DATE(README!$B$5,12,31),$G717&gt;=DATE(README!$B$5,1,1)),1,0))</f>
        <v/>
      </c>
      <c r="R717" s="10" t="inlineStr">
        <is>
          <t>GUT-VEH0032</t>
        </is>
      </c>
      <c r="S717" s="11" t="n">
        <v>46137</v>
      </c>
      <c r="T717" s="10" t="inlineStr">
        <is>
          <t>5</t>
        </is>
      </c>
      <c r="U717" s="10" t="inlineStr">
        <is>
          <t>VEHICLE</t>
        </is>
      </c>
      <c r="V717" s="10" t="inlineStr">
        <is>
          <t>T</t>
        </is>
      </c>
      <c r="W717" s="10" t="inlineStr">
        <is>
          <t>VIVEK B</t>
        </is>
      </c>
    </row>
    <row r="718">
      <c r="A718" s="10" t="inlineStr">
        <is>
          <t>TN58BK3434</t>
        </is>
      </c>
      <c r="B718" s="10" t="inlineStr">
        <is>
          <t>WOVEN</t>
        </is>
      </c>
      <c r="C718" s="10" t="inlineStr">
        <is>
          <t>ROAD TAX</t>
        </is>
      </c>
      <c r="D718" s="10" t="inlineStr">
        <is>
          <t>ROAD TAX</t>
        </is>
      </c>
      <c r="E718" s="10" t="inlineStr">
        <is>
          <t>QUARTER - II</t>
        </is>
      </c>
      <c r="F718" s="11" t="n">
        <v>46204</v>
      </c>
      <c r="G718" s="11" t="n">
        <v>46295</v>
      </c>
      <c r="H718" s="12">
        <f>IF(OR($F718="",$G718=""),"",$G718-$F718+1)</f>
        <v/>
      </c>
      <c r="I718" s="10">
        <f>IF($F718="","",IF(MONTH($F718)&gt;=4,YEAR($F718)&amp;"-"&amp;TEXT(YEAR($F718)+1-2000,"00"),YEAR($F718)-1&amp;"-"&amp;TEXT(YEAR($F718)-2000,"00")))</f>
        <v/>
      </c>
      <c r="J718" s="13" t="n">
        <v>32734</v>
      </c>
      <c r="K718" s="14">
        <f>IFERROR($L718/$J718,"")</f>
        <v/>
      </c>
      <c r="L718" s="13" t="n">
        <v>32734</v>
      </c>
      <c r="M718" s="13">
        <f>IFERROR($L718/$H718,"")</f>
        <v/>
      </c>
      <c r="N718" s="11" t="n">
        <v>46196</v>
      </c>
      <c r="O718" s="10">
        <f>IF($N718="","No","Yes")</f>
        <v/>
      </c>
      <c r="P718" s="12">
        <f>IF(OR($F718="",$G718=""),0,IF(AND($F718&lt;=README!$B$4,README!$B$4&lt;=$G718),1,0))</f>
        <v/>
      </c>
      <c r="Q718" s="12">
        <f>IF(OR($F718="",$G718=""),0,IF(AND($F718&lt;=DATE(README!$B$5,12,31),$G718&gt;=DATE(README!$B$5,1,1)),1,0))</f>
        <v/>
      </c>
      <c r="R718" s="10" t="inlineStr">
        <is>
          <t>GUT-VEH0038</t>
        </is>
      </c>
      <c r="S718" s="11" t="n">
        <v>46193</v>
      </c>
      <c r="T718" s="10" t="inlineStr">
        <is>
          <t>5</t>
        </is>
      </c>
      <c r="U718" s="10" t="inlineStr">
        <is>
          <t>VEHICLE</t>
        </is>
      </c>
      <c r="V718" s="10" t="inlineStr">
        <is>
          <t>T</t>
        </is>
      </c>
      <c r="W718" s="10" t="inlineStr">
        <is>
          <t>VIVEK B</t>
        </is>
      </c>
    </row>
    <row r="719">
      <c r="A719" s="10" t="inlineStr">
        <is>
          <t>TN58BK3636</t>
        </is>
      </c>
      <c r="B719" s="10" t="inlineStr">
        <is>
          <t>SOCKS</t>
        </is>
      </c>
      <c r="C719" s="10" t="inlineStr">
        <is>
          <t>ADBLU</t>
        </is>
      </c>
      <c r="D719" s="10" t="inlineStr">
        <is>
          <t>ADBLU</t>
        </is>
      </c>
      <c r="E719" s="10" t="inlineStr">
        <is>
          <t>YEARLY</t>
        </is>
      </c>
      <c r="F719" s="11" t="n">
        <v>45383</v>
      </c>
      <c r="G719" s="11" t="n">
        <v>45747</v>
      </c>
      <c r="H719" s="12">
        <f>IF(OR($F719="",$G719=""),"",$G719-$F719+1)</f>
        <v/>
      </c>
      <c r="I719" s="10">
        <f>IF($F719="","",IF(MONTH($F719)&gt;=4,YEAR($F719)&amp;"-"&amp;TEXT(YEAR($F719)+1-2000,"00"),YEAR($F719)-1&amp;"-"&amp;TEXT(YEAR($F719)-2000,"00")))</f>
        <v/>
      </c>
      <c r="J719" s="13" t="n">
        <v>61</v>
      </c>
      <c r="K719" s="14">
        <f>IFERROR($L719/$J719,"")</f>
        <v/>
      </c>
      <c r="L719" s="13" t="n">
        <v>2562</v>
      </c>
      <c r="M719" s="13">
        <f>IFERROR($L719/$H719,"")</f>
        <v/>
      </c>
      <c r="N719" s="11" t="n">
        <v>45602</v>
      </c>
      <c r="O719" s="10">
        <f>IF($N719="","No","Yes")</f>
        <v/>
      </c>
      <c r="P719" s="12">
        <f>IF(OR($F719="",$G719=""),0,IF(AND($F719&lt;=README!$B$4,README!$B$4&lt;=$G719),1,0))</f>
        <v/>
      </c>
      <c r="Q719" s="12">
        <f>IF(OR($F719="",$G719=""),0,IF(AND($F719&lt;=DATE(README!$B$5,12,31),$G719&gt;=DATE(README!$B$5,1,1)),1,0))</f>
        <v/>
      </c>
      <c r="R719" s="10" t="inlineStr">
        <is>
          <t>GUP-VEH0008</t>
        </is>
      </c>
      <c r="S719" s="11" t="n">
        <v>45461</v>
      </c>
      <c r="T719" s="10" t="inlineStr">
        <is>
          <t>541</t>
        </is>
      </c>
      <c r="U719" s="10" t="inlineStr">
        <is>
          <t>VEHICLE</t>
        </is>
      </c>
      <c r="V719" s="10" t="inlineStr">
        <is>
          <t>T</t>
        </is>
      </c>
      <c r="W719" s="10" t="inlineStr">
        <is>
          <t>VIVEK B</t>
        </is>
      </c>
    </row>
    <row r="720">
      <c r="A720" s="10" t="inlineStr">
        <is>
          <t>TN58BK3636</t>
        </is>
      </c>
      <c r="B720" s="10" t="inlineStr">
        <is>
          <t>SOCKS</t>
        </is>
      </c>
      <c r="C720" s="10" t="inlineStr">
        <is>
          <t>ADBLU</t>
        </is>
      </c>
      <c r="D720" s="10" t="inlineStr">
        <is>
          <t>ADBLU</t>
        </is>
      </c>
      <c r="E720" s="10" t="inlineStr">
        <is>
          <t>YEARLY</t>
        </is>
      </c>
      <c r="F720" s="11" t="n">
        <v>45383</v>
      </c>
      <c r="G720" s="11" t="n">
        <v>45747</v>
      </c>
      <c r="H720" s="12">
        <f>IF(OR($F720="",$G720=""),"",$G720-$F720+1)</f>
        <v/>
      </c>
      <c r="I720" s="10">
        <f>IF($F720="","",IF(MONTH($F720)&gt;=4,YEAR($F720)&amp;"-"&amp;TEXT(YEAR($F720)+1-2000,"00"),YEAR($F720)-1&amp;"-"&amp;TEXT(YEAR($F720)-2000,"00")))</f>
        <v/>
      </c>
      <c r="J720" s="13" t="n">
        <v>61</v>
      </c>
      <c r="K720" s="14">
        <f>IFERROR($L720/$J720,"")</f>
        <v/>
      </c>
      <c r="L720" s="13" t="n">
        <v>2501</v>
      </c>
      <c r="M720" s="13">
        <f>IFERROR($L720/$H720,"")</f>
        <v/>
      </c>
      <c r="N720" s="11" t="n">
        <v>45479</v>
      </c>
      <c r="O720" s="10">
        <f>IF($N720="","No","Yes")</f>
        <v/>
      </c>
      <c r="P720" s="12">
        <f>IF(OR($F720="",$G720=""),0,IF(AND($F720&lt;=README!$B$4,README!$B$4&lt;=$G720),1,0))</f>
        <v/>
      </c>
      <c r="Q720" s="12">
        <f>IF(OR($F720="",$G720=""),0,IF(AND($F720&lt;=DATE(README!$B$5,12,31),$G720&gt;=DATE(README!$B$5,1,1)),1,0))</f>
        <v/>
      </c>
      <c r="R720" s="10" t="inlineStr">
        <is>
          <t>GUP-VEH0008</t>
        </is>
      </c>
      <c r="S720" s="11" t="n">
        <v>45461</v>
      </c>
      <c r="T720" s="10" t="inlineStr">
        <is>
          <t>541</t>
        </is>
      </c>
      <c r="U720" s="10" t="inlineStr">
        <is>
          <t>VEHICLE</t>
        </is>
      </c>
      <c r="V720" s="10" t="inlineStr">
        <is>
          <t>T</t>
        </is>
      </c>
      <c r="W720" s="10" t="inlineStr">
        <is>
          <t>VIVEK B</t>
        </is>
      </c>
    </row>
    <row r="721">
      <c r="A721" s="10" t="inlineStr">
        <is>
          <t>TN58BK3636</t>
        </is>
      </c>
      <c r="B721" s="10" t="inlineStr">
        <is>
          <t>SOCKS</t>
        </is>
      </c>
      <c r="C721" s="10" t="inlineStr">
        <is>
          <t>ADBLU</t>
        </is>
      </c>
      <c r="D721" s="10" t="inlineStr">
        <is>
          <t>ADBLU</t>
        </is>
      </c>
      <c r="E721" s="10" t="inlineStr">
        <is>
          <t>YEARLY</t>
        </is>
      </c>
      <c r="F721" s="11" t="n">
        <v>45383</v>
      </c>
      <c r="G721" s="11" t="n">
        <v>45747</v>
      </c>
      <c r="H721" s="12">
        <f>IF(OR($F721="",$G721=""),"",$G721-$F721+1)</f>
        <v/>
      </c>
      <c r="I721" s="10">
        <f>IF($F721="","",IF(MONTH($F721)&gt;=4,YEAR($F721)&amp;"-"&amp;TEXT(YEAR($F721)+1-2000,"00"),YEAR($F721)-1&amp;"-"&amp;TEXT(YEAR($F721)-2000,"00")))</f>
        <v/>
      </c>
      <c r="J721" s="13" t="n">
        <v>61</v>
      </c>
      <c r="K721" s="14">
        <f>IFERROR($L721/$J721,"")</f>
        <v/>
      </c>
      <c r="L721" s="13" t="n">
        <v>2562</v>
      </c>
      <c r="M721" s="13">
        <f>IFERROR($L721/$H721,"")</f>
        <v/>
      </c>
      <c r="N721" s="11" t="n">
        <v>45623</v>
      </c>
      <c r="O721" s="10">
        <f>IF($N721="","No","Yes")</f>
        <v/>
      </c>
      <c r="P721" s="12">
        <f>IF(OR($F721="",$G721=""),0,IF(AND($F721&lt;=README!$B$4,README!$B$4&lt;=$G721),1,0))</f>
        <v/>
      </c>
      <c r="Q721" s="12">
        <f>IF(OR($F721="",$G721=""),0,IF(AND($F721&lt;=DATE(README!$B$5,12,31),$G721&gt;=DATE(README!$B$5,1,1)),1,0))</f>
        <v/>
      </c>
      <c r="R721" s="10" t="inlineStr">
        <is>
          <t>GUP-VEH0008</t>
        </is>
      </c>
      <c r="S721" s="11" t="n">
        <v>45461</v>
      </c>
      <c r="T721" s="10" t="inlineStr">
        <is>
          <t>541</t>
        </is>
      </c>
      <c r="U721" s="10" t="inlineStr">
        <is>
          <t>VEHICLE</t>
        </is>
      </c>
      <c r="V721" s="10" t="inlineStr">
        <is>
          <t>T</t>
        </is>
      </c>
      <c r="W721" s="10" t="inlineStr">
        <is>
          <t>VIVEK B</t>
        </is>
      </c>
    </row>
    <row r="722">
      <c r="A722" s="10" t="inlineStr">
        <is>
          <t>TN58BK3636</t>
        </is>
      </c>
      <c r="B722" s="10" t="inlineStr">
        <is>
          <t>SOCKS</t>
        </is>
      </c>
      <c r="C722" s="10" t="inlineStr">
        <is>
          <t>ADBLU</t>
        </is>
      </c>
      <c r="D722" s="10" t="inlineStr">
        <is>
          <t>ADBLU</t>
        </is>
      </c>
      <c r="E722" s="10" t="inlineStr">
        <is>
          <t>YEARLY</t>
        </is>
      </c>
      <c r="F722" s="11" t="n">
        <v>45383</v>
      </c>
      <c r="G722" s="11" t="n">
        <v>45747</v>
      </c>
      <c r="H722" s="12">
        <f>IF(OR($F722="",$G722=""),"",$G722-$F722+1)</f>
        <v/>
      </c>
      <c r="I722" s="10">
        <f>IF($F722="","",IF(MONTH($F722)&gt;=4,YEAR($F722)&amp;"-"&amp;TEXT(YEAR($F722)+1-2000,"00"),YEAR($F722)-1&amp;"-"&amp;TEXT(YEAR($F722)-2000,"00")))</f>
        <v/>
      </c>
      <c r="J722" s="13" t="n">
        <v>61</v>
      </c>
      <c r="K722" s="14">
        <f>IFERROR($L722/$J722,"")</f>
        <v/>
      </c>
      <c r="L722" s="13" t="n">
        <v>7320</v>
      </c>
      <c r="M722" s="13">
        <f>IFERROR($L722/$H722,"")</f>
        <v/>
      </c>
      <c r="N722" s="11" t="n">
        <v>45700</v>
      </c>
      <c r="O722" s="10">
        <f>IF($N722="","No","Yes")</f>
        <v/>
      </c>
      <c r="P722" s="12">
        <f>IF(OR($F722="",$G722=""),0,IF(AND($F722&lt;=README!$B$4,README!$B$4&lt;=$G722),1,0))</f>
        <v/>
      </c>
      <c r="Q722" s="12">
        <f>IF(OR($F722="",$G722=""),0,IF(AND($F722&lt;=DATE(README!$B$5,12,31),$G722&gt;=DATE(README!$B$5,1,1)),1,0))</f>
        <v/>
      </c>
      <c r="R722" s="10" t="inlineStr">
        <is>
          <t>GUP-VEH0008</t>
        </is>
      </c>
      <c r="S722" s="11" t="n">
        <v>45461</v>
      </c>
      <c r="T722" s="10" t="inlineStr">
        <is>
          <t>541</t>
        </is>
      </c>
      <c r="U722" s="10" t="inlineStr">
        <is>
          <t>VEHICLE</t>
        </is>
      </c>
      <c r="V722" s="10" t="inlineStr">
        <is>
          <t>T</t>
        </is>
      </c>
      <c r="W722" s="10" t="inlineStr">
        <is>
          <t>VIVEK B</t>
        </is>
      </c>
    </row>
    <row r="723">
      <c r="A723" s="10" t="inlineStr">
        <is>
          <t>TN58BK3636</t>
        </is>
      </c>
      <c r="B723" s="10" t="inlineStr">
        <is>
          <t>SOCKS</t>
        </is>
      </c>
      <c r="C723" s="10" t="inlineStr">
        <is>
          <t>ADBLU</t>
        </is>
      </c>
      <c r="D723" s="10" t="inlineStr">
        <is>
          <t>ADBLU</t>
        </is>
      </c>
      <c r="E723" s="10" t="inlineStr">
        <is>
          <t>YEARLY</t>
        </is>
      </c>
      <c r="F723" s="11" t="n">
        <v>45383</v>
      </c>
      <c r="G723" s="11" t="n">
        <v>45747</v>
      </c>
      <c r="H723" s="12">
        <f>IF(OR($F723="",$G723=""),"",$G723-$F723+1)</f>
        <v/>
      </c>
      <c r="I723" s="10">
        <f>IF($F723="","",IF(MONTH($F723)&gt;=4,YEAR($F723)&amp;"-"&amp;TEXT(YEAR($F723)+1-2000,"00"),YEAR($F723)-1&amp;"-"&amp;TEXT(YEAR($F723)-2000,"00")))</f>
        <v/>
      </c>
      <c r="J723" s="13" t="n">
        <v>61</v>
      </c>
      <c r="K723" s="14">
        <f>IFERROR($L723/$J723,"")</f>
        <v/>
      </c>
      <c r="L723" s="13" t="n">
        <v>7320</v>
      </c>
      <c r="M723" s="13">
        <f>IFERROR($L723/$H723,"")</f>
        <v/>
      </c>
      <c r="N723" s="11" t="n">
        <v>45700</v>
      </c>
      <c r="O723" s="10">
        <f>IF($N723="","No","Yes")</f>
        <v/>
      </c>
      <c r="P723" s="12">
        <f>IF(OR($F723="",$G723=""),0,IF(AND($F723&lt;=README!$B$4,README!$B$4&lt;=$G723),1,0))</f>
        <v/>
      </c>
      <c r="Q723" s="12">
        <f>IF(OR($F723="",$G723=""),0,IF(AND($F723&lt;=DATE(README!$B$5,12,31),$G723&gt;=DATE(README!$B$5,1,1)),1,0))</f>
        <v/>
      </c>
      <c r="R723" s="10" t="inlineStr">
        <is>
          <t>GUP-VEH0008</t>
        </is>
      </c>
      <c r="S723" s="11" t="n">
        <v>45461</v>
      </c>
      <c r="T723" s="10" t="inlineStr">
        <is>
          <t>541</t>
        </is>
      </c>
      <c r="U723" s="10" t="inlineStr">
        <is>
          <t>VEHICLE</t>
        </is>
      </c>
      <c r="V723" s="10" t="inlineStr">
        <is>
          <t>T</t>
        </is>
      </c>
      <c r="W723" s="10" t="inlineStr">
        <is>
          <t>VIVEK B</t>
        </is>
      </c>
    </row>
    <row r="724">
      <c r="A724" s="10" t="inlineStr">
        <is>
          <t>TN58BK3636</t>
        </is>
      </c>
      <c r="B724" s="10" t="inlineStr">
        <is>
          <t>SOCKS</t>
        </is>
      </c>
      <c r="C724" s="10" t="inlineStr">
        <is>
          <t>ROAD TAX</t>
        </is>
      </c>
      <c r="D724" s="10" t="inlineStr">
        <is>
          <t>ROAD TAX</t>
        </is>
      </c>
      <c r="E724" s="10" t="inlineStr">
        <is>
          <t>YEARLY</t>
        </is>
      </c>
      <c r="F724" s="11" t="n">
        <v>45383</v>
      </c>
      <c r="G724" s="11" t="n">
        <v>45747</v>
      </c>
      <c r="H724" s="12">
        <f>IF(OR($F724="",$G724=""),"",$G724-$F724+1)</f>
        <v/>
      </c>
      <c r="I724" s="10">
        <f>IF($F724="","",IF(MONTH($F724)&gt;=4,YEAR($F724)&amp;"-"&amp;TEXT(YEAR($F724)+1-2000,"00"),YEAR($F724)-1&amp;"-"&amp;TEXT(YEAR($F724)-2000,"00")))</f>
        <v/>
      </c>
      <c r="J724" s="13" t="n">
        <v>32724</v>
      </c>
      <c r="K724" s="14">
        <f>IFERROR($L724/$J724,"")</f>
        <v/>
      </c>
      <c r="L724" s="13" t="n">
        <v>32724</v>
      </c>
      <c r="M724" s="13">
        <f>IFERROR($L724/$H724,"")</f>
        <v/>
      </c>
      <c r="N724" s="11" t="n">
        <v>45649</v>
      </c>
      <c r="O724" s="10">
        <f>IF($N724="","No","Yes")</f>
        <v/>
      </c>
      <c r="P724" s="12">
        <f>IF(OR($F724="",$G724=""),0,IF(AND($F724&lt;=README!$B$4,README!$B$4&lt;=$G724),1,0))</f>
        <v/>
      </c>
      <c r="Q724" s="12">
        <f>IF(OR($F724="",$G724=""),0,IF(AND($F724&lt;=DATE(README!$B$5,12,31),$G724&gt;=DATE(README!$B$5,1,1)),1,0))</f>
        <v/>
      </c>
      <c r="R724" s="10" t="inlineStr">
        <is>
          <t>GUP-VEH0011</t>
        </is>
      </c>
      <c r="S724" s="11" t="n">
        <v>45477</v>
      </c>
      <c r="T724" s="10" t="inlineStr">
        <is>
          <t>548</t>
        </is>
      </c>
      <c r="U724" s="10" t="inlineStr">
        <is>
          <t>VEHICLE</t>
        </is>
      </c>
      <c r="V724" s="10" t="inlineStr">
        <is>
          <t>T</t>
        </is>
      </c>
      <c r="W724" s="10" t="inlineStr">
        <is>
          <t>VIVEK B</t>
        </is>
      </c>
    </row>
    <row r="725">
      <c r="A725" s="10" t="inlineStr">
        <is>
          <t>TN58BK3636</t>
        </is>
      </c>
      <c r="B725" s="10" t="inlineStr">
        <is>
          <t>SOCKS</t>
        </is>
      </c>
      <c r="C725" s="10" t="inlineStr">
        <is>
          <t>ROAD TAX</t>
        </is>
      </c>
      <c r="D725" s="10" t="inlineStr">
        <is>
          <t>ROAD TAX</t>
        </is>
      </c>
      <c r="E725" s="10" t="inlineStr">
        <is>
          <t>YEARLY</t>
        </is>
      </c>
      <c r="F725" s="11" t="n">
        <v>45383</v>
      </c>
      <c r="G725" s="11" t="n">
        <v>45747</v>
      </c>
      <c r="H725" s="12">
        <f>IF(OR($F725="",$G725=""),"",$G725-$F725+1)</f>
        <v/>
      </c>
      <c r="I725" s="10">
        <f>IF($F725="","",IF(MONTH($F725)&gt;=4,YEAR($F725)&amp;"-"&amp;TEXT(YEAR($F725)+1-2000,"00"),YEAR($F725)-1&amp;"-"&amp;TEXT(YEAR($F725)-2000,"00")))</f>
        <v/>
      </c>
      <c r="J725" s="13" t="n">
        <v>32724</v>
      </c>
      <c r="K725" s="14">
        <f>IFERROR($L725/$J725,"")</f>
        <v/>
      </c>
      <c r="L725" s="13" t="n">
        <v>32724</v>
      </c>
      <c r="M725" s="13">
        <f>IFERROR($L725/$H725,"")</f>
        <v/>
      </c>
      <c r="N725" s="11" t="n">
        <v>45569</v>
      </c>
      <c r="O725" s="10">
        <f>IF($N725="","No","Yes")</f>
        <v/>
      </c>
      <c r="P725" s="12">
        <f>IF(OR($F725="",$G725=""),0,IF(AND($F725&lt;=README!$B$4,README!$B$4&lt;=$G725),1,0))</f>
        <v/>
      </c>
      <c r="Q725" s="12">
        <f>IF(OR($F725="",$G725=""),0,IF(AND($F725&lt;=DATE(README!$B$5,12,31),$G725&gt;=DATE(README!$B$5,1,1)),1,0))</f>
        <v/>
      </c>
      <c r="R725" s="10" t="inlineStr">
        <is>
          <t>GUP-VEH0011</t>
        </is>
      </c>
      <c r="S725" s="11" t="n">
        <v>45477</v>
      </c>
      <c r="T725" s="10" t="inlineStr">
        <is>
          <t>548</t>
        </is>
      </c>
      <c r="U725" s="10" t="inlineStr">
        <is>
          <t>VEHICLE</t>
        </is>
      </c>
      <c r="V725" s="10" t="inlineStr">
        <is>
          <t>T</t>
        </is>
      </c>
      <c r="W725" s="10" t="inlineStr">
        <is>
          <t>VIVEK B</t>
        </is>
      </c>
    </row>
    <row r="726">
      <c r="A726" s="10" t="inlineStr">
        <is>
          <t>TN58BK3636</t>
        </is>
      </c>
      <c r="B726" s="10" t="inlineStr">
        <is>
          <t>SOCKS</t>
        </is>
      </c>
      <c r="C726" s="10" t="inlineStr">
        <is>
          <t>ROAD TAX</t>
        </is>
      </c>
      <c r="D726" s="10" t="inlineStr">
        <is>
          <t>ROAD TAX</t>
        </is>
      </c>
      <c r="E726" s="10" t="inlineStr">
        <is>
          <t>YEARLY</t>
        </is>
      </c>
      <c r="F726" s="11" t="n">
        <v>45383</v>
      </c>
      <c r="G726" s="11" t="n">
        <v>45747</v>
      </c>
      <c r="H726" s="12">
        <f>IF(OR($F726="",$G726=""),"",$G726-$F726+1)</f>
        <v/>
      </c>
      <c r="I726" s="10">
        <f>IF($F726="","",IF(MONTH($F726)&gt;=4,YEAR($F726)&amp;"-"&amp;TEXT(YEAR($F726)+1-2000,"00"),YEAR($F726)-1&amp;"-"&amp;TEXT(YEAR($F726)-2000,"00")))</f>
        <v/>
      </c>
      <c r="J726" s="13" t="n">
        <v>32724</v>
      </c>
      <c r="K726" s="14">
        <f>IFERROR($L726/$J726,"")</f>
        <v/>
      </c>
      <c r="L726" s="13" t="n">
        <v>32724</v>
      </c>
      <c r="M726" s="13">
        <f>IFERROR($L726/$H726,"")</f>
        <v/>
      </c>
      <c r="N726" s="11" t="n">
        <v>45481</v>
      </c>
      <c r="O726" s="10">
        <f>IF($N726="","No","Yes")</f>
        <v/>
      </c>
      <c r="P726" s="12">
        <f>IF(OR($F726="",$G726=""),0,IF(AND($F726&lt;=README!$B$4,README!$B$4&lt;=$G726),1,0))</f>
        <v/>
      </c>
      <c r="Q726" s="12">
        <f>IF(OR($F726="",$G726=""),0,IF(AND($F726&lt;=DATE(README!$B$5,12,31),$G726&gt;=DATE(README!$B$5,1,1)),1,0))</f>
        <v/>
      </c>
      <c r="R726" s="10" t="inlineStr">
        <is>
          <t>GUP-VEH0011</t>
        </is>
      </c>
      <c r="S726" s="11" t="n">
        <v>45477</v>
      </c>
      <c r="T726" s="10" t="inlineStr">
        <is>
          <t>548</t>
        </is>
      </c>
      <c r="U726" s="10" t="inlineStr">
        <is>
          <t>VEHICLE</t>
        </is>
      </c>
      <c r="V726" s="10" t="inlineStr">
        <is>
          <t>T</t>
        </is>
      </c>
      <c r="W726" s="10" t="inlineStr">
        <is>
          <t>VIVEK B</t>
        </is>
      </c>
    </row>
    <row r="727">
      <c r="A727" s="10" t="inlineStr">
        <is>
          <t>TN58BK3636</t>
        </is>
      </c>
      <c r="B727" s="10" t="inlineStr">
        <is>
          <t>SOCKS</t>
        </is>
      </c>
      <c r="C727" s="10" t="inlineStr">
        <is>
          <t>TYRE</t>
        </is>
      </c>
      <c r="D727" s="10" t="inlineStr">
        <is>
          <t>TYRE - 2</t>
        </is>
      </c>
      <c r="E727" s="10" t="inlineStr">
        <is>
          <t>YEARLY</t>
        </is>
      </c>
      <c r="F727" s="11" t="n">
        <v>45383</v>
      </c>
      <c r="G727" s="11" t="n">
        <v>45747</v>
      </c>
      <c r="H727" s="12">
        <f>IF(OR($F727="",$G727=""),"",$G727-$F727+1)</f>
        <v/>
      </c>
      <c r="I727" s="10">
        <f>IF($F727="","",IF(MONTH($F727)&gt;=4,YEAR($F727)&amp;"-"&amp;TEXT(YEAR($F727)+1-2000,"00"),YEAR($F727)-1&amp;"-"&amp;TEXT(YEAR($F727)-2000,"00")))</f>
        <v/>
      </c>
      <c r="J727" s="13" t="n">
        <v>30200</v>
      </c>
      <c r="K727" s="14">
        <f>IFERROR($L727/$J727,"")</f>
        <v/>
      </c>
      <c r="L727" s="13" t="n">
        <v>30200</v>
      </c>
      <c r="M727" s="13">
        <f>IFERROR($L727/$H727,"")</f>
        <v/>
      </c>
      <c r="N727" s="11" t="n">
        <v>45652</v>
      </c>
      <c r="O727" s="10">
        <f>IF($N727="","No","Yes")</f>
        <v/>
      </c>
      <c r="P727" s="12">
        <f>IF(OR($F727="",$G727=""),0,IF(AND($F727&lt;=README!$B$4,README!$B$4&lt;=$G727),1,0))</f>
        <v/>
      </c>
      <c r="Q727" s="12">
        <f>IF(OR($F727="",$G727=""),0,IF(AND($F727&lt;=DATE(README!$B$5,12,31),$G727&gt;=DATE(README!$B$5,1,1)),1,0))</f>
        <v/>
      </c>
      <c r="R727" s="10" t="inlineStr">
        <is>
          <t>GUP-VEH0006</t>
        </is>
      </c>
      <c r="S727" s="11" t="n">
        <v>45442</v>
      </c>
      <c r="T727" s="10" t="inlineStr">
        <is>
          <t>522</t>
        </is>
      </c>
      <c r="U727" s="10" t="inlineStr">
        <is>
          <t>VEHICLE</t>
        </is>
      </c>
      <c r="V727" s="10" t="inlineStr">
        <is>
          <t>T</t>
        </is>
      </c>
      <c r="W727" s="10" t="inlineStr">
        <is>
          <t>VIVEK B</t>
        </is>
      </c>
    </row>
    <row r="728">
      <c r="A728" s="10" t="inlineStr">
        <is>
          <t>TN58BK3636</t>
        </is>
      </c>
      <c r="B728" s="10" t="inlineStr">
        <is>
          <t>SOCKS</t>
        </is>
      </c>
      <c r="C728" s="10" t="inlineStr">
        <is>
          <t>TYRE</t>
        </is>
      </c>
      <c r="D728" s="10" t="inlineStr">
        <is>
          <t>TYRE</t>
        </is>
      </c>
      <c r="E728" s="10" t="inlineStr">
        <is>
          <t>YEARLY</t>
        </is>
      </c>
      <c r="F728" s="11" t="n">
        <v>45383</v>
      </c>
      <c r="G728" s="11" t="n">
        <v>45747</v>
      </c>
      <c r="H728" s="12">
        <f>IF(OR($F728="",$G728=""),"",$G728-$F728+1)</f>
        <v/>
      </c>
      <c r="I728" s="10">
        <f>IF($F728="","",IF(MONTH($F728)&gt;=4,YEAR($F728)&amp;"-"&amp;TEXT(YEAR($F728)+1-2000,"00"),YEAR($F728)-1&amp;"-"&amp;TEXT(YEAR($F728)-2000,"00")))</f>
        <v/>
      </c>
      <c r="J728" s="13" t="n">
        <v>30200</v>
      </c>
      <c r="K728" s="14">
        <f>IFERROR($L728/$J728,"")</f>
        <v/>
      </c>
      <c r="L728" s="13" t="n">
        <v>30200</v>
      </c>
      <c r="M728" s="13">
        <f>IFERROR($L728/$H728,"")</f>
        <v/>
      </c>
      <c r="N728" s="11" t="n">
        <v>45443</v>
      </c>
      <c r="O728" s="10">
        <f>IF($N728="","No","Yes")</f>
        <v/>
      </c>
      <c r="P728" s="12">
        <f>IF(OR($F728="",$G728=""),0,IF(AND($F728&lt;=README!$B$4,README!$B$4&lt;=$G728),1,0))</f>
        <v/>
      </c>
      <c r="Q728" s="12">
        <f>IF(OR($F728="",$G728=""),0,IF(AND($F728&lt;=DATE(README!$B$5,12,31),$G728&gt;=DATE(README!$B$5,1,1)),1,0))</f>
        <v/>
      </c>
      <c r="R728" s="10" t="inlineStr">
        <is>
          <t>GUP-VEH0006</t>
        </is>
      </c>
      <c r="S728" s="11" t="n">
        <v>45442</v>
      </c>
      <c r="T728" s="10" t="inlineStr">
        <is>
          <t>522</t>
        </is>
      </c>
      <c r="U728" s="10" t="inlineStr">
        <is>
          <t>VEHICLE</t>
        </is>
      </c>
      <c r="V728" s="10" t="inlineStr">
        <is>
          <t>T</t>
        </is>
      </c>
      <c r="W728" s="10" t="inlineStr">
        <is>
          <t>VIVEK B</t>
        </is>
      </c>
    </row>
    <row r="729">
      <c r="A729" s="10" t="inlineStr">
        <is>
          <t>TN58BK3636</t>
        </is>
      </c>
      <c r="B729" s="10" t="inlineStr">
        <is>
          <t>SOCKS</t>
        </is>
      </c>
      <c r="C729" s="10" t="inlineStr">
        <is>
          <t>VEHICLE INSURANCE</t>
        </is>
      </c>
      <c r="D729" s="10" t="inlineStr">
        <is>
          <t>VEHICLE INSURANCE</t>
        </is>
      </c>
      <c r="E729" s="10" t="inlineStr">
        <is>
          <t>YEARLY</t>
        </is>
      </c>
      <c r="F729" s="11" t="n">
        <v>45383</v>
      </c>
      <c r="G729" s="11" t="n">
        <v>45747</v>
      </c>
      <c r="H729" s="12">
        <f>IF(OR($F729="",$G729=""),"",$G729-$F729+1)</f>
        <v/>
      </c>
      <c r="I729" s="10">
        <f>IF($F729="","",IF(MONTH($F729)&gt;=4,YEAR($F729)&amp;"-"&amp;TEXT(YEAR($F729)+1-2000,"00"),YEAR($F729)-1&amp;"-"&amp;TEXT(YEAR($F729)-2000,"00")))</f>
        <v/>
      </c>
      <c r="J729" s="13" t="n">
        <v>79453</v>
      </c>
      <c r="K729" s="14">
        <f>IFERROR($L729/$J729,"")</f>
        <v/>
      </c>
      <c r="L729" s="13" t="n">
        <v>79453</v>
      </c>
      <c r="M729" s="13">
        <f>IFERROR($L729/$H729,"")</f>
        <v/>
      </c>
      <c r="N729" s="11" t="n">
        <v>45632</v>
      </c>
      <c r="O729" s="10">
        <f>IF($N729="","No","Yes")</f>
        <v/>
      </c>
      <c r="P729" s="12">
        <f>IF(OR($F729="",$G729=""),0,IF(AND($F729&lt;=README!$B$4,README!$B$4&lt;=$G729),1,0))</f>
        <v/>
      </c>
      <c r="Q729" s="12">
        <f>IF(OR($F729="",$G729=""),0,IF(AND($F729&lt;=DATE(README!$B$5,12,31),$G729&gt;=DATE(README!$B$5,1,1)),1,0))</f>
        <v/>
      </c>
      <c r="R729" s="10" t="inlineStr">
        <is>
          <t>GUP-VEH0013</t>
        </is>
      </c>
      <c r="S729" s="11" t="n">
        <v>45478</v>
      </c>
      <c r="T729" s="10" t="inlineStr">
        <is>
          <t>550</t>
        </is>
      </c>
      <c r="U729" s="10" t="inlineStr">
        <is>
          <t>VEHICLE</t>
        </is>
      </c>
      <c r="V729" s="10" t="inlineStr">
        <is>
          <t>T</t>
        </is>
      </c>
      <c r="W729" s="10" t="inlineStr">
        <is>
          <t>VIVEK B</t>
        </is>
      </c>
    </row>
    <row r="730">
      <c r="A730" s="10" t="inlineStr">
        <is>
          <t>TN58BK3636</t>
        </is>
      </c>
      <c r="B730" s="10" t="inlineStr">
        <is>
          <t>SOCKS</t>
        </is>
      </c>
      <c r="C730" s="10" t="inlineStr">
        <is>
          <t>VEHICLE OUTSIDE SERVICES</t>
        </is>
      </c>
      <c r="D730" s="10" t="inlineStr">
        <is>
          <t xml:space="preserve">MAINTENANCE SERVICE </t>
        </is>
      </c>
      <c r="E730" s="10" t="inlineStr">
        <is>
          <t>YEARLY</t>
        </is>
      </c>
      <c r="F730" s="11" t="n">
        <v>45383</v>
      </c>
      <c r="G730" s="11" t="n">
        <v>45747</v>
      </c>
      <c r="H730" s="12">
        <f>IF(OR($F730="",$G730=""),"",$G730-$F730+1)</f>
        <v/>
      </c>
      <c r="I730" s="10">
        <f>IF($F730="","",IF(MONTH($F730)&gt;=4,YEAR($F730)&amp;"-"&amp;TEXT(YEAR($F730)+1-2000,"00"),YEAR($F730)-1&amp;"-"&amp;TEXT(YEAR($F730)-2000,"00")))</f>
        <v/>
      </c>
      <c r="J730" s="13" t="n">
        <v>24535</v>
      </c>
      <c r="K730" s="14">
        <f>IFERROR($L730/$J730,"")</f>
        <v/>
      </c>
      <c r="L730" s="13" t="n">
        <v>24535</v>
      </c>
      <c r="M730" s="13">
        <f>IFERROR($L730/$H730,"")</f>
        <v/>
      </c>
      <c r="N730" s="11" t="n">
        <v>45528</v>
      </c>
      <c r="O730" s="10">
        <f>IF($N730="","No","Yes")</f>
        <v/>
      </c>
      <c r="P730" s="12">
        <f>IF(OR($F730="",$G730=""),0,IF(AND($F730&lt;=README!$B$4,README!$B$4&lt;=$G730),1,0))</f>
        <v/>
      </c>
      <c r="Q730" s="12">
        <f>IF(OR($F730="",$G730=""),0,IF(AND($F730&lt;=DATE(README!$B$5,12,31),$G730&gt;=DATE(README!$B$5,1,1)),1,0))</f>
        <v/>
      </c>
      <c r="R730" s="10" t="inlineStr">
        <is>
          <t>GUP-VEH0012</t>
        </is>
      </c>
      <c r="S730" s="11" t="n">
        <v>45477</v>
      </c>
      <c r="T730" s="10" t="inlineStr">
        <is>
          <t>549</t>
        </is>
      </c>
      <c r="U730" s="10" t="inlineStr">
        <is>
          <t>VEHICLE</t>
        </is>
      </c>
      <c r="V730" s="10" t="inlineStr">
        <is>
          <t>T</t>
        </is>
      </c>
      <c r="W730" s="10" t="inlineStr">
        <is>
          <t>VIVEK B</t>
        </is>
      </c>
    </row>
    <row r="731">
      <c r="A731" s="10" t="inlineStr">
        <is>
          <t>TN58BK3636</t>
        </is>
      </c>
      <c r="B731" s="10" t="inlineStr">
        <is>
          <t>SOCKS</t>
        </is>
      </c>
      <c r="C731" s="10" t="inlineStr">
        <is>
          <t>VEHICLE OUTSIDE SERVICES</t>
        </is>
      </c>
      <c r="D731" s="10" t="inlineStr">
        <is>
          <t>MAINTENANCE SERVICE - 2</t>
        </is>
      </c>
      <c r="E731" s="10" t="inlineStr">
        <is>
          <t>YEARLY</t>
        </is>
      </c>
      <c r="F731" s="11" t="n">
        <v>45383</v>
      </c>
      <c r="G731" s="11" t="n">
        <v>45747</v>
      </c>
      <c r="H731" s="12">
        <f>IF(OR($F731="",$G731=""),"",$G731-$F731+1)</f>
        <v/>
      </c>
      <c r="I731" s="10">
        <f>IF($F731="","",IF(MONTH($F731)&gt;=4,YEAR($F731)&amp;"-"&amp;TEXT(YEAR($F731)+1-2000,"00"),YEAR($F731)-1&amp;"-"&amp;TEXT(YEAR($F731)-2000,"00")))</f>
        <v/>
      </c>
      <c r="J731" s="13" t="n">
        <v>13237.54</v>
      </c>
      <c r="K731" s="14">
        <f>IFERROR($L731/$J731,"")</f>
        <v/>
      </c>
      <c r="L731" s="13" t="n">
        <v>13237.54</v>
      </c>
      <c r="M731" s="13">
        <f>IFERROR($L731/$H731,"")</f>
        <v/>
      </c>
      <c r="N731" s="11" t="n">
        <v>45749</v>
      </c>
      <c r="O731" s="10">
        <f>IF($N731="","No","Yes")</f>
        <v/>
      </c>
      <c r="P731" s="12">
        <f>IF(OR($F731="",$G731=""),0,IF(AND($F731&lt;=README!$B$4,README!$B$4&lt;=$G731),1,0))</f>
        <v/>
      </c>
      <c r="Q731" s="12">
        <f>IF(OR($F731="",$G731=""),0,IF(AND($F731&lt;=DATE(README!$B$5,12,31),$G731&gt;=DATE(README!$B$5,1,1)),1,0))</f>
        <v/>
      </c>
      <c r="R731" s="10" t="inlineStr">
        <is>
          <t>GUP-VEH0012</t>
        </is>
      </c>
      <c r="S731" s="11" t="n">
        <v>45477</v>
      </c>
      <c r="T731" s="10" t="inlineStr">
        <is>
          <t>549</t>
        </is>
      </c>
      <c r="U731" s="10" t="inlineStr">
        <is>
          <t>VEHICLE</t>
        </is>
      </c>
      <c r="V731" s="10" t="inlineStr">
        <is>
          <t>T</t>
        </is>
      </c>
      <c r="W731" s="10" t="inlineStr">
        <is>
          <t>VIVEK B</t>
        </is>
      </c>
    </row>
    <row r="732">
      <c r="A732" s="10" t="inlineStr">
        <is>
          <t>TN58BK3636</t>
        </is>
      </c>
      <c r="B732" s="10" t="inlineStr">
        <is>
          <t>SOCKS</t>
        </is>
      </c>
      <c r="C732" s="10" t="inlineStr">
        <is>
          <t>ROAD TAX</t>
        </is>
      </c>
      <c r="D732" s="10" t="inlineStr">
        <is>
          <t>ROAD TAX</t>
        </is>
      </c>
      <c r="E732" s="10" t="inlineStr">
        <is>
          <t>QUARTER - I</t>
        </is>
      </c>
      <c r="F732" s="11" t="n">
        <v>45748</v>
      </c>
      <c r="G732" s="11" t="n">
        <v>45838</v>
      </c>
      <c r="H732" s="12">
        <f>IF(OR($F732="",$G732=""),"",$G732-$F732+1)</f>
        <v/>
      </c>
      <c r="I732" s="10">
        <f>IF($F732="","",IF(MONTH($F732)&gt;=4,YEAR($F732)&amp;"-"&amp;TEXT(YEAR($F732)+1-2000,"00"),YEAR($F732)-1&amp;"-"&amp;TEXT(YEAR($F732)-2000,"00")))</f>
        <v/>
      </c>
      <c r="J732" s="13" t="n">
        <v>32724</v>
      </c>
      <c r="K732" s="14">
        <f>IFERROR($L732/$J732,"")</f>
        <v/>
      </c>
      <c r="L732" s="13" t="n">
        <v>32724</v>
      </c>
      <c r="M732" s="13">
        <f>IFERROR($L732/$H732,"")</f>
        <v/>
      </c>
      <c r="N732" s="11" t="n">
        <v>46030</v>
      </c>
      <c r="O732" s="10">
        <f>IF($N732="","No","Yes")</f>
        <v/>
      </c>
      <c r="P732" s="12">
        <f>IF(OR($F732="",$G732=""),0,IF(AND($F732&lt;=README!$B$4,README!$B$4&lt;=$G732),1,0))</f>
        <v/>
      </c>
      <c r="Q732" s="12">
        <f>IF(OR($F732="",$G732=""),0,IF(AND($F732&lt;=DATE(README!$B$5,12,31),$G732&gt;=DATE(README!$B$5,1,1)),1,0))</f>
        <v/>
      </c>
      <c r="R732" s="10" t="inlineStr">
        <is>
          <t>GUP-VEH0014</t>
        </is>
      </c>
      <c r="S732" s="11" t="n">
        <v>45748</v>
      </c>
      <c r="T732" s="10" t="inlineStr">
        <is>
          <t>609</t>
        </is>
      </c>
      <c r="U732" s="10" t="inlineStr">
        <is>
          <t>VEHICLE</t>
        </is>
      </c>
      <c r="V732" s="10" t="inlineStr">
        <is>
          <t>T</t>
        </is>
      </c>
      <c r="W732" s="10" t="inlineStr">
        <is>
          <t>VIVEK B</t>
        </is>
      </c>
    </row>
    <row r="733">
      <c r="A733" s="10" t="inlineStr">
        <is>
          <t>TN58BK3636</t>
        </is>
      </c>
      <c r="B733" s="10" t="inlineStr">
        <is>
          <t>SOCKS</t>
        </is>
      </c>
      <c r="C733" s="10" t="inlineStr">
        <is>
          <t>RTO EXPENSE</t>
        </is>
      </c>
      <c r="D733" s="10" t="inlineStr">
        <is>
          <t>RTO PENALTY</t>
        </is>
      </c>
      <c r="E733" s="10" t="inlineStr">
        <is>
          <t>YEARLY</t>
        </is>
      </c>
      <c r="F733" s="11" t="n">
        <v>45748</v>
      </c>
      <c r="G733" s="11" t="n">
        <v>46112</v>
      </c>
      <c r="H733" s="12">
        <f>IF(OR($F733="",$G733=""),"",$G733-$F733+1)</f>
        <v/>
      </c>
      <c r="I733" s="10">
        <f>IF($F733="","",IF(MONTH($F733)&gt;=4,YEAR($F733)&amp;"-"&amp;TEXT(YEAR($F733)+1-2000,"00"),YEAR($F733)-1&amp;"-"&amp;TEXT(YEAR($F733)-2000,"00")))</f>
        <v/>
      </c>
      <c r="J733" s="13" t="n">
        <v>8276</v>
      </c>
      <c r="K733" s="14">
        <f>IFERROR($L733/$J733,"")</f>
        <v/>
      </c>
      <c r="L733" s="13" t="n">
        <v>8276</v>
      </c>
      <c r="M733" s="13">
        <f>IFERROR($L733/$H733,"")</f>
        <v/>
      </c>
      <c r="N733" s="11" t="n">
        <v>45911</v>
      </c>
      <c r="O733" s="10">
        <f>IF($N733="","No","Yes")</f>
        <v/>
      </c>
      <c r="P733" s="12">
        <f>IF(OR($F733="",$G733=""),0,IF(AND($F733&lt;=README!$B$4,README!$B$4&lt;=$G733),1,0))</f>
        <v/>
      </c>
      <c r="Q733" s="12">
        <f>IF(OR($F733="",$G733=""),0,IF(AND($F733&lt;=DATE(README!$B$5,12,31),$G733&gt;=DATE(README!$B$5,1,1)),1,0))</f>
        <v/>
      </c>
      <c r="R733" s="10" t="inlineStr">
        <is>
          <t>GUP-VEH0022</t>
        </is>
      </c>
      <c r="S733" s="11" t="n">
        <v>45834</v>
      </c>
      <c r="T733" s="10" t="inlineStr">
        <is>
          <t>655</t>
        </is>
      </c>
      <c r="U733" s="10" t="inlineStr">
        <is>
          <t>VEHICLE</t>
        </is>
      </c>
      <c r="V733" s="10" t="inlineStr">
        <is>
          <t>T</t>
        </is>
      </c>
      <c r="W733" s="10" t="inlineStr">
        <is>
          <t>VIVEK B</t>
        </is>
      </c>
    </row>
    <row r="734">
      <c r="A734" s="10" t="inlineStr">
        <is>
          <t>TN58BK3636</t>
        </is>
      </c>
      <c r="B734" s="10" t="inlineStr">
        <is>
          <t>SOCKS</t>
        </is>
      </c>
      <c r="C734" s="10" t="inlineStr">
        <is>
          <t>VEHICLE INSURANCE</t>
        </is>
      </c>
      <c r="D734" s="10" t="inlineStr">
        <is>
          <t>VEHICLE INSURANCE</t>
        </is>
      </c>
      <c r="E734" s="10" t="inlineStr">
        <is>
          <t>YEARLY</t>
        </is>
      </c>
      <c r="F734" s="11" t="n">
        <v>45748</v>
      </c>
      <c r="G734" s="11" t="n">
        <v>46112</v>
      </c>
      <c r="H734" s="12">
        <f>IF(OR($F734="",$G734=""),"",$G734-$F734+1)</f>
        <v/>
      </c>
      <c r="I734" s="10">
        <f>IF($F734="","",IF(MONTH($F734)&gt;=4,YEAR($F734)&amp;"-"&amp;TEXT(YEAR($F734)+1-2000,"00"),YEAR($F734)-1&amp;"-"&amp;TEXT(YEAR($F734)-2000,"00")))</f>
        <v/>
      </c>
      <c r="J734" s="13" t="n">
        <v>77425</v>
      </c>
      <c r="K734" s="14">
        <f>IFERROR($L734/$J734,"")</f>
        <v/>
      </c>
      <c r="L734" s="13" t="n">
        <v>77425</v>
      </c>
      <c r="M734" s="13">
        <f>IFERROR($L734/$H734,"")</f>
        <v/>
      </c>
      <c r="N734" s="11" t="n">
        <v>45994</v>
      </c>
      <c r="O734" s="10">
        <f>IF($N734="","No","Yes")</f>
        <v/>
      </c>
      <c r="P734" s="12">
        <f>IF(OR($F734="",$G734=""),0,IF(AND($F734&lt;=README!$B$4,README!$B$4&lt;=$G734),1,0))</f>
        <v/>
      </c>
      <c r="Q734" s="12">
        <f>IF(OR($F734="",$G734=""),0,IF(AND($F734&lt;=DATE(README!$B$5,12,31),$G734&gt;=DATE(README!$B$5,1,1)),1,0))</f>
        <v/>
      </c>
      <c r="R734" s="10" t="inlineStr">
        <is>
          <t>GUP-VEH0020</t>
        </is>
      </c>
      <c r="S734" s="11" t="n">
        <v>45799</v>
      </c>
      <c r="T734" s="10" t="inlineStr">
        <is>
          <t>645</t>
        </is>
      </c>
      <c r="U734" s="10" t="inlineStr">
        <is>
          <t>VEHICLE</t>
        </is>
      </c>
      <c r="V734" s="10" t="inlineStr">
        <is>
          <t>T</t>
        </is>
      </c>
      <c r="W734" s="10" t="inlineStr">
        <is>
          <t>VIVEK B</t>
        </is>
      </c>
    </row>
    <row r="735">
      <c r="A735" s="10" t="inlineStr">
        <is>
          <t>TN58BK3636</t>
        </is>
      </c>
      <c r="B735" s="10" t="inlineStr">
        <is>
          <t>GENERAL</t>
        </is>
      </c>
      <c r="C735" s="10" t="inlineStr">
        <is>
          <t>VEHICLE OUTSIDE SERVICES</t>
        </is>
      </c>
      <c r="D735" s="10" t="inlineStr">
        <is>
          <t xml:space="preserve">MAINTENANCE SERVICE </t>
        </is>
      </c>
      <c r="E735" s="10" t="inlineStr">
        <is>
          <t>YEARLY</t>
        </is>
      </c>
      <c r="F735" s="11" t="n">
        <v>45748</v>
      </c>
      <c r="G735" s="11" t="n">
        <v>46112</v>
      </c>
      <c r="H735" s="12">
        <f>IF(OR($F735="",$G735=""),"",$G735-$F735+1)</f>
        <v/>
      </c>
      <c r="I735" s="10">
        <f>IF($F735="","",IF(MONTH($F735)&gt;=4,YEAR($F735)&amp;"-"&amp;TEXT(YEAR($F735)+1-2000,"00"),YEAR($F735)-1&amp;"-"&amp;TEXT(YEAR($F735)-2000,"00")))</f>
        <v/>
      </c>
      <c r="J735" s="13" t="n">
        <v>37541.66</v>
      </c>
      <c r="K735" s="14">
        <f>IFERROR($L735/$J735,"")</f>
        <v/>
      </c>
      <c r="L735" s="13" t="n">
        <v>37541.66</v>
      </c>
      <c r="M735" s="13">
        <f>IFERROR($L735/$H735,"")</f>
        <v/>
      </c>
      <c r="N735" s="11" t="n">
        <v>45952</v>
      </c>
      <c r="O735" s="10">
        <f>IF($N735="","No","Yes")</f>
        <v/>
      </c>
      <c r="P735" s="12">
        <f>IF(OR($F735="",$G735=""),0,IF(AND($F735&lt;=README!$B$4,README!$B$4&lt;=$G735),1,0))</f>
        <v/>
      </c>
      <c r="Q735" s="12">
        <f>IF(OR($F735="",$G735=""),0,IF(AND($F735&lt;=DATE(README!$B$5,12,31),$G735&gt;=DATE(README!$B$5,1,1)),1,0))</f>
        <v/>
      </c>
      <c r="R735" s="10" t="inlineStr">
        <is>
          <t>GUP-VEH0019</t>
        </is>
      </c>
      <c r="S735" s="11" t="n">
        <v>45777</v>
      </c>
      <c r="T735" s="10" t="inlineStr">
        <is>
          <t>638</t>
        </is>
      </c>
      <c r="U735" s="10" t="inlineStr">
        <is>
          <t>VEHICLE</t>
        </is>
      </c>
      <c r="V735" s="10" t="inlineStr">
        <is>
          <t>T</t>
        </is>
      </c>
      <c r="W735" s="10" t="inlineStr">
        <is>
          <t>VIVEK B</t>
        </is>
      </c>
    </row>
    <row r="736">
      <c r="A736" s="10" t="inlineStr">
        <is>
          <t>TN58BK3636</t>
        </is>
      </c>
      <c r="B736" s="10" t="inlineStr">
        <is>
          <t>SOCKS</t>
        </is>
      </c>
      <c r="C736" s="10" t="inlineStr">
        <is>
          <t>ROAD TAX</t>
        </is>
      </c>
      <c r="D736" s="10" t="inlineStr">
        <is>
          <t>ROAD TAX</t>
        </is>
      </c>
      <c r="E736" s="10" t="inlineStr">
        <is>
          <t>QUARTER - II</t>
        </is>
      </c>
      <c r="F736" s="11" t="n">
        <v>45839</v>
      </c>
      <c r="G736" s="11" t="n">
        <v>45930</v>
      </c>
      <c r="H736" s="12">
        <f>IF(OR($F736="",$G736=""),"",$G736-$F736+1)</f>
        <v/>
      </c>
      <c r="I736" s="10">
        <f>IF($F736="","",IF(MONTH($F736)&gt;=4,YEAR($F736)&amp;"-"&amp;TEXT(YEAR($F736)+1-2000,"00"),YEAR($F736)-1&amp;"-"&amp;TEXT(YEAR($F736)-2000,"00")))</f>
        <v/>
      </c>
      <c r="J736" s="13" t="n">
        <v>32724</v>
      </c>
      <c r="K736" s="14">
        <f>IFERROR($L736/$J736,"")</f>
        <v/>
      </c>
      <c r="L736" s="13" t="n">
        <v>32724</v>
      </c>
      <c r="M736" s="13">
        <f>IFERROR($L736/$H736,"")</f>
        <v/>
      </c>
      <c r="N736" s="11" t="n">
        <v>46030</v>
      </c>
      <c r="O736" s="10">
        <f>IF($N736="","No","Yes")</f>
        <v/>
      </c>
      <c r="P736" s="12">
        <f>IF(OR($F736="",$G736=""),0,IF(AND($F736&lt;=README!$B$4,README!$B$4&lt;=$G736),1,0))</f>
        <v/>
      </c>
      <c r="Q736" s="12">
        <f>IF(OR($F736="",$G736=""),0,IF(AND($F736&lt;=DATE(README!$B$5,12,31),$G736&gt;=DATE(README!$B$5,1,1)),1,0))</f>
        <v/>
      </c>
      <c r="R736" s="10" t="inlineStr">
        <is>
          <t>GUP-VEH0014</t>
        </is>
      </c>
      <c r="S736" s="11" t="n">
        <v>45748</v>
      </c>
      <c r="T736" s="10" t="inlineStr">
        <is>
          <t>609</t>
        </is>
      </c>
      <c r="U736" s="10" t="inlineStr">
        <is>
          <t>VEHICLE</t>
        </is>
      </c>
      <c r="V736" s="10" t="inlineStr">
        <is>
          <t>T</t>
        </is>
      </c>
      <c r="W736" s="10" t="inlineStr">
        <is>
          <t>VIVEK B</t>
        </is>
      </c>
    </row>
    <row r="737">
      <c r="A737" s="10" t="inlineStr">
        <is>
          <t>TN58BK3636</t>
        </is>
      </c>
      <c r="B737" s="10" t="inlineStr">
        <is>
          <t>SOCKS</t>
        </is>
      </c>
      <c r="C737" s="10" t="inlineStr">
        <is>
          <t>ROAD TAX</t>
        </is>
      </c>
      <c r="D737" s="10" t="inlineStr">
        <is>
          <t>ROAD TAX</t>
        </is>
      </c>
      <c r="E737" s="10" t="inlineStr">
        <is>
          <t>QUARTER - III</t>
        </is>
      </c>
      <c r="F737" s="11" t="n">
        <v>45931</v>
      </c>
      <c r="G737" s="11" t="n">
        <v>46022</v>
      </c>
      <c r="H737" s="12">
        <f>IF(OR($F737="",$G737=""),"",$G737-$F737+1)</f>
        <v/>
      </c>
      <c r="I737" s="10">
        <f>IF($F737="","",IF(MONTH($F737)&gt;=4,YEAR($F737)&amp;"-"&amp;TEXT(YEAR($F737)+1-2000,"00"),YEAR($F737)-1&amp;"-"&amp;TEXT(YEAR($F737)-2000,"00")))</f>
        <v/>
      </c>
      <c r="J737" s="13" t="n">
        <v>32734</v>
      </c>
      <c r="K737" s="14">
        <f>IFERROR($L737/$J737,"")</f>
        <v/>
      </c>
      <c r="L737" s="13" t="n">
        <v>32734</v>
      </c>
      <c r="M737" s="13">
        <f>IFERROR($L737/$H737,"")</f>
        <v/>
      </c>
      <c r="N737" s="11" t="n">
        <v>46030</v>
      </c>
      <c r="O737" s="10">
        <f>IF($N737="","No","Yes")</f>
        <v/>
      </c>
      <c r="P737" s="12">
        <f>IF(OR($F737="",$G737=""),0,IF(AND($F737&lt;=README!$B$4,README!$B$4&lt;=$G737),1,0))</f>
        <v/>
      </c>
      <c r="Q737" s="12">
        <f>IF(OR($F737="",$G737=""),0,IF(AND($F737&lt;=DATE(README!$B$5,12,31),$G737&gt;=DATE(README!$B$5,1,1)),1,0))</f>
        <v/>
      </c>
      <c r="R737" s="10" t="inlineStr">
        <is>
          <t>GUP-VEH0014</t>
        </is>
      </c>
      <c r="S737" s="11" t="n">
        <v>45748</v>
      </c>
      <c r="T737" s="10" t="inlineStr">
        <is>
          <t>609</t>
        </is>
      </c>
      <c r="U737" s="10" t="inlineStr">
        <is>
          <t>VEHICLE</t>
        </is>
      </c>
      <c r="V737" s="10" t="inlineStr">
        <is>
          <t>T</t>
        </is>
      </c>
      <c r="W737" s="10" t="inlineStr">
        <is>
          <t>VIVEK B</t>
        </is>
      </c>
    </row>
    <row r="738">
      <c r="A738" s="10" t="inlineStr">
        <is>
          <t>TN58BK3636</t>
        </is>
      </c>
      <c r="B738" s="10" t="inlineStr">
        <is>
          <t>SOCKS</t>
        </is>
      </c>
      <c r="C738" s="10" t="inlineStr">
        <is>
          <t>RTO EXPENSE</t>
        </is>
      </c>
      <c r="D738" s="10" t="inlineStr">
        <is>
          <t>HP-LOAN CLOSURE</t>
        </is>
      </c>
      <c r="E738" s="10" t="inlineStr">
        <is>
          <t>DECEMBER</t>
        </is>
      </c>
      <c r="F738" s="11" t="n">
        <v>45992</v>
      </c>
      <c r="G738" s="11" t="n">
        <v>46022</v>
      </c>
      <c r="H738" s="12">
        <f>IF(OR($F738="",$G738=""),"",$G738-$F738+1)</f>
        <v/>
      </c>
      <c r="I738" s="10">
        <f>IF($F738="","",IF(MONTH($F738)&gt;=4,YEAR($F738)&amp;"-"&amp;TEXT(YEAR($F738)+1-2000,"00"),YEAR($F738)-1&amp;"-"&amp;TEXT(YEAR($F738)-2000,"00")))</f>
        <v/>
      </c>
      <c r="J738" s="13" t="n">
        <v>2000</v>
      </c>
      <c r="K738" s="14">
        <f>IFERROR($L738/$J738,"")</f>
        <v/>
      </c>
      <c r="L738" s="13" t="n">
        <v>2000</v>
      </c>
      <c r="M738" s="13">
        <f>IFERROR($L738/$H738,"")</f>
        <v/>
      </c>
      <c r="N738" s="11" t="n">
        <v>45994</v>
      </c>
      <c r="O738" s="10">
        <f>IF($N738="","No","Yes")</f>
        <v/>
      </c>
      <c r="P738" s="12">
        <f>IF(OR($F738="",$G738=""),0,IF(AND($F738&lt;=README!$B$4,README!$B$4&lt;=$G738),1,0))</f>
        <v/>
      </c>
      <c r="Q738" s="12">
        <f>IF(OR($F738="",$G738=""),0,IF(AND($F738&lt;=DATE(README!$B$5,12,31),$G738&gt;=DATE(README!$B$5,1,1)),1,0))</f>
        <v/>
      </c>
      <c r="R738" s="10" t="inlineStr">
        <is>
          <t>GUP-VEH0022</t>
        </is>
      </c>
      <c r="S738" s="11" t="n">
        <v>45834</v>
      </c>
      <c r="T738" s="10" t="inlineStr">
        <is>
          <t>655</t>
        </is>
      </c>
      <c r="U738" s="10" t="inlineStr">
        <is>
          <t>VEHICLE</t>
        </is>
      </c>
      <c r="V738" s="10" t="inlineStr">
        <is>
          <t>T</t>
        </is>
      </c>
      <c r="W738" s="10" t="inlineStr">
        <is>
          <t>VIVEK B</t>
        </is>
      </c>
    </row>
    <row r="739">
      <c r="A739" s="10" t="inlineStr">
        <is>
          <t>TN58BK3636</t>
        </is>
      </c>
      <c r="B739" s="10" t="inlineStr">
        <is>
          <t>SOCKS</t>
        </is>
      </c>
      <c r="C739" s="10" t="inlineStr">
        <is>
          <t>ROAD TAX</t>
        </is>
      </c>
      <c r="D739" s="10" t="inlineStr">
        <is>
          <t>ROAD TAX</t>
        </is>
      </c>
      <c r="E739" s="10" t="inlineStr">
        <is>
          <t>QUARTER - IV</t>
        </is>
      </c>
      <c r="F739" s="11" t="n">
        <v>46023</v>
      </c>
      <c r="G739" s="11" t="n">
        <v>46112</v>
      </c>
      <c r="H739" s="12">
        <f>IF(OR($F739="",$G739=""),"",$G739-$F739+1)</f>
        <v/>
      </c>
      <c r="I739" s="10">
        <f>IF($F739="","",IF(MONTH($F739)&gt;=4,YEAR($F739)&amp;"-"&amp;TEXT(YEAR($F739)+1-2000,"00"),YEAR($F739)-1&amp;"-"&amp;TEXT(YEAR($F739)-2000,"00")))</f>
        <v/>
      </c>
      <c r="J739" s="13" t="n">
        <v>32734</v>
      </c>
      <c r="K739" s="14">
        <f>IFERROR($L739/$J739,"")</f>
        <v/>
      </c>
      <c r="L739" s="13" t="n">
        <v>32734</v>
      </c>
      <c r="M739" s="13">
        <f>IFERROR($L739/$H739,"")</f>
        <v/>
      </c>
      <c r="N739" s="11" t="n">
        <v>46030</v>
      </c>
      <c r="O739" s="10">
        <f>IF($N739="","No","Yes")</f>
        <v/>
      </c>
      <c r="P739" s="12">
        <f>IF(OR($F739="",$G739=""),0,IF(AND($F739&lt;=README!$B$4,README!$B$4&lt;=$G739),1,0))</f>
        <v/>
      </c>
      <c r="Q739" s="12">
        <f>IF(OR($F739="",$G739=""),0,IF(AND($F739&lt;=DATE(README!$B$5,12,31),$G739&gt;=DATE(README!$B$5,1,1)),1,0))</f>
        <v/>
      </c>
      <c r="R739" s="10" t="inlineStr">
        <is>
          <t>GUP-VEH0014</t>
        </is>
      </c>
      <c r="S739" s="11" t="n">
        <v>45748</v>
      </c>
      <c r="T739" s="10" t="inlineStr">
        <is>
          <t>609</t>
        </is>
      </c>
      <c r="U739" s="10" t="inlineStr">
        <is>
          <t>VEHICLE</t>
        </is>
      </c>
      <c r="V739" s="10" t="inlineStr">
        <is>
          <t>T</t>
        </is>
      </c>
      <c r="W739" s="10" t="inlineStr">
        <is>
          <t>VIVEK B</t>
        </is>
      </c>
    </row>
    <row r="740">
      <c r="A740" s="10" t="inlineStr">
        <is>
          <t>TN58BK3636</t>
        </is>
      </c>
      <c r="B740" s="10" t="inlineStr">
        <is>
          <t>GENERAL</t>
        </is>
      </c>
      <c r="C740" s="10" t="inlineStr">
        <is>
          <t>VEHICLE OUTSIDE SERVICES</t>
        </is>
      </c>
      <c r="D740" s="10" t="inlineStr">
        <is>
          <t>MAINTENANCE SERVICE - 3</t>
        </is>
      </c>
      <c r="E740" s="10" t="inlineStr">
        <is>
          <t>JANUARY</t>
        </is>
      </c>
      <c r="F740" s="11" t="n">
        <v>46023</v>
      </c>
      <c r="G740" s="11" t="n">
        <v>46053</v>
      </c>
      <c r="H740" s="12">
        <f>IF(OR($F740="",$G740=""),"",$G740-$F740+1)</f>
        <v/>
      </c>
      <c r="I740" s="10">
        <f>IF($F740="","",IF(MONTH($F740)&gt;=4,YEAR($F740)&amp;"-"&amp;TEXT(YEAR($F740)+1-2000,"00"),YEAR($F740)-1&amp;"-"&amp;TEXT(YEAR($F740)-2000,"00")))</f>
        <v/>
      </c>
      <c r="J740" s="13" t="n">
        <v>78995.25</v>
      </c>
      <c r="K740" s="14">
        <f>IFERROR($L740/$J740,"")</f>
        <v/>
      </c>
      <c r="L740" s="13" t="n">
        <v>78995.25</v>
      </c>
      <c r="M740" s="13">
        <f>IFERROR($L740/$H740,"")</f>
        <v/>
      </c>
      <c r="N740" s="11" t="n">
        <v>46052</v>
      </c>
      <c r="O740" s="10">
        <f>IF($N740="","No","Yes")</f>
        <v/>
      </c>
      <c r="P740" s="12">
        <f>IF(OR($F740="",$G740=""),0,IF(AND($F740&lt;=README!$B$4,README!$B$4&lt;=$G740),1,0))</f>
        <v/>
      </c>
      <c r="Q740" s="12">
        <f>IF(OR($F740="",$G740=""),0,IF(AND($F740&lt;=DATE(README!$B$5,12,31),$G740&gt;=DATE(README!$B$5,1,1)),1,0))</f>
        <v/>
      </c>
      <c r="R740" s="10" t="inlineStr">
        <is>
          <t>GUP-VEH0019</t>
        </is>
      </c>
      <c r="S740" s="11" t="n">
        <v>45777</v>
      </c>
      <c r="T740" s="10" t="inlineStr">
        <is>
          <t>638</t>
        </is>
      </c>
      <c r="U740" s="10" t="inlineStr">
        <is>
          <t>VEHICLE</t>
        </is>
      </c>
      <c r="V740" s="10" t="inlineStr">
        <is>
          <t>T</t>
        </is>
      </c>
      <c r="W740" s="10" t="inlineStr">
        <is>
          <t>VIVEK B</t>
        </is>
      </c>
    </row>
    <row r="741">
      <c r="A741" s="10" t="inlineStr">
        <is>
          <t>TN58BK3636</t>
        </is>
      </c>
      <c r="B741" s="10" t="inlineStr">
        <is>
          <t>GENERAL</t>
        </is>
      </c>
      <c r="C741" s="10" t="inlineStr">
        <is>
          <t>VEHICLE OUTSIDE SERVICES</t>
        </is>
      </c>
      <c r="D741" s="10" t="inlineStr">
        <is>
          <t>MAINTENANCE SERVICE - 2</t>
        </is>
      </c>
      <c r="E741" s="10" t="inlineStr">
        <is>
          <t>JANUARY</t>
        </is>
      </c>
      <c r="F741" s="11" t="n">
        <v>46023</v>
      </c>
      <c r="G741" s="11" t="n">
        <v>46053</v>
      </c>
      <c r="H741" s="12">
        <f>IF(OR($F741="",$G741=""),"",$G741-$F741+1)</f>
        <v/>
      </c>
      <c r="I741" s="10">
        <f>IF($F741="","",IF(MONTH($F741)&gt;=4,YEAR($F741)&amp;"-"&amp;TEXT(YEAR($F741)+1-2000,"00"),YEAR($F741)-1&amp;"-"&amp;TEXT(YEAR($F741)-2000,"00")))</f>
        <v/>
      </c>
      <c r="J741" s="13" t="n">
        <v>21197.42</v>
      </c>
      <c r="K741" s="14">
        <f>IFERROR($L741/$J741,"")</f>
        <v/>
      </c>
      <c r="L741" s="13" t="n">
        <v>21197.42</v>
      </c>
      <c r="M741" s="13">
        <f>IFERROR($L741/$H741,"")</f>
        <v/>
      </c>
      <c r="N741" s="11" t="n">
        <v>46050</v>
      </c>
      <c r="O741" s="10">
        <f>IF($N741="","No","Yes")</f>
        <v/>
      </c>
      <c r="P741" s="12">
        <f>IF(OR($F741="",$G741=""),0,IF(AND($F741&lt;=README!$B$4,README!$B$4&lt;=$G741),1,0))</f>
        <v/>
      </c>
      <c r="Q741" s="12">
        <f>IF(OR($F741="",$G741=""),0,IF(AND($F741&lt;=DATE(README!$B$5,12,31),$G741&gt;=DATE(README!$B$5,1,1)),1,0))</f>
        <v/>
      </c>
      <c r="R741" s="10" t="inlineStr">
        <is>
          <t>GUP-VEH0019</t>
        </is>
      </c>
      <c r="S741" s="11" t="n">
        <v>45777</v>
      </c>
      <c r="T741" s="10" t="inlineStr">
        <is>
          <t>638</t>
        </is>
      </c>
      <c r="U741" s="10" t="inlineStr">
        <is>
          <t>VEHICLE</t>
        </is>
      </c>
      <c r="V741" s="10" t="inlineStr">
        <is>
          <t>T</t>
        </is>
      </c>
      <c r="W741" s="10" t="inlineStr">
        <is>
          <t>VIVEK B</t>
        </is>
      </c>
    </row>
    <row r="742">
      <c r="A742" s="10" t="inlineStr">
        <is>
          <t>TN58BK3636</t>
        </is>
      </c>
      <c r="B742" s="10" t="inlineStr">
        <is>
          <t>SOCKS</t>
        </is>
      </c>
      <c r="C742" s="10" t="inlineStr">
        <is>
          <t>TYRE</t>
        </is>
      </c>
      <c r="D742" s="10" t="inlineStr">
        <is>
          <t>TYRE</t>
        </is>
      </c>
      <c r="E742" s="10" t="inlineStr">
        <is>
          <t>FEBRUARY</t>
        </is>
      </c>
      <c r="F742" s="11" t="n">
        <v>46054</v>
      </c>
      <c r="G742" s="11" t="n">
        <v>46081</v>
      </c>
      <c r="H742" s="12">
        <f>IF(OR($F742="",$G742=""),"",$G742-$F742+1)</f>
        <v/>
      </c>
      <c r="I742" s="10">
        <f>IF($F742="","",IF(MONTH($F742)&gt;=4,YEAR($F742)&amp;"-"&amp;TEXT(YEAR($F742)+1-2000,"00"),YEAR($F742)-1&amp;"-"&amp;TEXT(YEAR($F742)-2000,"00")))</f>
        <v/>
      </c>
      <c r="J742" s="13" t="n">
        <v>30300</v>
      </c>
      <c r="K742" s="14">
        <f>IFERROR($L742/$J742,"")</f>
        <v/>
      </c>
      <c r="L742" s="13" t="n">
        <v>30300</v>
      </c>
      <c r="M742" s="13">
        <f>IFERROR($L742/$H742,"")</f>
        <v/>
      </c>
      <c r="N742" s="11" t="n">
        <v>46072</v>
      </c>
      <c r="O742" s="10">
        <f>IF($N742="","No","Yes")</f>
        <v/>
      </c>
      <c r="P742" s="12">
        <f>IF(OR($F742="",$G742=""),0,IF(AND($F742&lt;=README!$B$4,README!$B$4&lt;=$G742),1,0))</f>
        <v/>
      </c>
      <c r="Q742" s="12">
        <f>IF(OR($F742="",$G742=""),0,IF(AND($F742&lt;=DATE(README!$B$5,12,31),$G742&gt;=DATE(README!$B$5,1,1)),1,0))</f>
        <v/>
      </c>
      <c r="R742" s="10" t="inlineStr">
        <is>
          <t>GUP-VEH0025</t>
        </is>
      </c>
      <c r="S742" s="11" t="n">
        <v>45957</v>
      </c>
      <c r="T742" s="10" t="inlineStr">
        <is>
          <t>726</t>
        </is>
      </c>
      <c r="U742" s="10" t="inlineStr">
        <is>
          <t>VEHICLE</t>
        </is>
      </c>
      <c r="V742" s="10" t="inlineStr">
        <is>
          <t>T</t>
        </is>
      </c>
      <c r="W742" s="10" t="inlineStr">
        <is>
          <t>VIVEK B</t>
        </is>
      </c>
    </row>
    <row r="743">
      <c r="A743" s="10" t="inlineStr">
        <is>
          <t>TN58BK3636</t>
        </is>
      </c>
      <c r="B743" s="10" t="inlineStr">
        <is>
          <t>GENERAL</t>
        </is>
      </c>
      <c r="C743" s="10" t="inlineStr">
        <is>
          <t>VEHICLE OUTSIDE SERVICES</t>
        </is>
      </c>
      <c r="D743" s="10" t="inlineStr">
        <is>
          <t>MAINTENANCE SERVICE - 2</t>
        </is>
      </c>
      <c r="E743" s="10" t="inlineStr">
        <is>
          <t>MARCH</t>
        </is>
      </c>
      <c r="F743" s="11" t="n">
        <v>46082</v>
      </c>
      <c r="G743" s="11" t="n">
        <v>46112</v>
      </c>
      <c r="H743" s="12">
        <f>IF(OR($F743="",$G743=""),"",$G743-$F743+1)</f>
        <v/>
      </c>
      <c r="I743" s="10">
        <f>IF($F743="","",IF(MONTH($F743)&gt;=4,YEAR($F743)&amp;"-"&amp;TEXT(YEAR($F743)+1-2000,"00"),YEAR($F743)-1&amp;"-"&amp;TEXT(YEAR($F743)-2000,"00")))</f>
        <v/>
      </c>
      <c r="J743" s="13" t="n">
        <v>17559.23</v>
      </c>
      <c r="K743" s="14">
        <f>IFERROR($L743/$J743,"")</f>
        <v/>
      </c>
      <c r="L743" s="13" t="n">
        <v>17559.23</v>
      </c>
      <c r="M743" s="13">
        <f>IFERROR($L743/$H743,"")</f>
        <v/>
      </c>
      <c r="N743" s="11" t="n">
        <v>46088</v>
      </c>
      <c r="O743" s="10">
        <f>IF($N743="","No","Yes")</f>
        <v/>
      </c>
      <c r="P743" s="12">
        <f>IF(OR($F743="",$G743=""),0,IF(AND($F743&lt;=README!$B$4,README!$B$4&lt;=$G743),1,0))</f>
        <v/>
      </c>
      <c r="Q743" s="12">
        <f>IF(OR($F743="",$G743=""),0,IF(AND($F743&lt;=DATE(README!$B$5,12,31),$G743&gt;=DATE(README!$B$5,1,1)),1,0))</f>
        <v/>
      </c>
      <c r="R743" s="10" t="inlineStr">
        <is>
          <t>GUP-VEH0019</t>
        </is>
      </c>
      <c r="S743" s="11" t="n">
        <v>45777</v>
      </c>
      <c r="T743" s="10" t="inlineStr">
        <is>
          <t>638</t>
        </is>
      </c>
      <c r="U743" s="10" t="inlineStr">
        <is>
          <t>VEHICLE</t>
        </is>
      </c>
      <c r="V743" s="10" t="inlineStr">
        <is>
          <t>T</t>
        </is>
      </c>
      <c r="W743" s="10" t="inlineStr">
        <is>
          <t>VIVEK B</t>
        </is>
      </c>
    </row>
    <row r="744">
      <c r="A744" s="10" t="inlineStr">
        <is>
          <t>TN58BK3636</t>
        </is>
      </c>
      <c r="B744" s="10" t="inlineStr">
        <is>
          <t>SOCKS</t>
        </is>
      </c>
      <c r="C744" s="10" t="inlineStr">
        <is>
          <t>FC WORK</t>
        </is>
      </c>
      <c r="D744" s="10" t="inlineStr">
        <is>
          <t>FC WORK</t>
        </is>
      </c>
      <c r="E744" s="10" t="inlineStr">
        <is>
          <t>YEARLY</t>
        </is>
      </c>
      <c r="F744" s="11" t="n">
        <v>46113</v>
      </c>
      <c r="G744" s="11" t="n">
        <v>46477</v>
      </c>
      <c r="H744" s="12">
        <f>IF(OR($F744="",$G744=""),"",$G744-$F744+1)</f>
        <v/>
      </c>
      <c r="I744" s="10">
        <f>IF($F744="","",IF(MONTH($F744)&gt;=4,YEAR($F744)&amp;"-"&amp;TEXT(YEAR($F744)+1-2000,"00"),YEAR($F744)-1&amp;"-"&amp;TEXT(YEAR($F744)-2000,"00")))</f>
        <v/>
      </c>
      <c r="J744" s="13" t="n">
        <v>61380</v>
      </c>
      <c r="K744" s="14">
        <f>IFERROR($L744/$J744,"")</f>
        <v/>
      </c>
      <c r="L744" s="13" t="n">
        <v>61380</v>
      </c>
      <c r="M744" s="13">
        <f>IFERROR($L744/$H744,"")</f>
        <v/>
      </c>
      <c r="N744" s="11" t="n">
        <v>46121</v>
      </c>
      <c r="O744" s="10">
        <f>IF($N744="","No","Yes")</f>
        <v/>
      </c>
      <c r="P744" s="12">
        <f>IF(OR($F744="",$G744=""),0,IF(AND($F744&lt;=README!$B$4,README!$B$4&lt;=$G744),1,0))</f>
        <v/>
      </c>
      <c r="Q744" s="12">
        <f>IF(OR($F744="",$G744=""),0,IF(AND($F744&lt;=DATE(README!$B$5,12,31),$G744&gt;=DATE(README!$B$5,1,1)),1,0))</f>
        <v/>
      </c>
      <c r="R744" s="10" t="inlineStr">
        <is>
          <t>GUP-VEH0032</t>
        </is>
      </c>
      <c r="S744" s="11" t="n">
        <v>46118</v>
      </c>
      <c r="T744" s="10" t="inlineStr">
        <is>
          <t>813</t>
        </is>
      </c>
      <c r="U744" s="10" t="inlineStr">
        <is>
          <t>VEHICLE</t>
        </is>
      </c>
      <c r="V744" s="10" t="inlineStr">
        <is>
          <t>T</t>
        </is>
      </c>
      <c r="W744" s="10" t="inlineStr">
        <is>
          <t>VIVEK B</t>
        </is>
      </c>
    </row>
    <row r="745">
      <c r="A745" s="10" t="inlineStr">
        <is>
          <t>TN58BK3636</t>
        </is>
      </c>
      <c r="B745" s="10" t="inlineStr">
        <is>
          <t>SOCKS</t>
        </is>
      </c>
      <c r="C745" s="10" t="inlineStr">
        <is>
          <t>ROAD TAX</t>
        </is>
      </c>
      <c r="D745" s="10" t="inlineStr">
        <is>
          <t>ROAD TAX</t>
        </is>
      </c>
      <c r="E745" s="10" t="inlineStr">
        <is>
          <t>QUARTER - I</t>
        </is>
      </c>
      <c r="F745" s="11" t="n">
        <v>46113</v>
      </c>
      <c r="G745" s="11" t="n">
        <v>46203</v>
      </c>
      <c r="H745" s="12">
        <f>IF(OR($F745="",$G745=""),"",$G745-$F745+1)</f>
        <v/>
      </c>
      <c r="I745" s="10">
        <f>IF($F745="","",IF(MONTH($F745)&gt;=4,YEAR($F745)&amp;"-"&amp;TEXT(YEAR($F745)+1-2000,"00"),YEAR($F745)-1&amp;"-"&amp;TEXT(YEAR($F745)-2000,"00")))</f>
        <v/>
      </c>
      <c r="J745" s="13" t="n">
        <v>32734</v>
      </c>
      <c r="K745" s="14">
        <f>IFERROR($L745/$J745,"")</f>
        <v/>
      </c>
      <c r="L745" s="13" t="n">
        <v>32734</v>
      </c>
      <c r="M745" s="13">
        <f>IFERROR($L745/$H745,"")</f>
        <v/>
      </c>
      <c r="N745" s="11" t="n">
        <v>46088</v>
      </c>
      <c r="O745" s="10">
        <f>IF($N745="","No","Yes")</f>
        <v/>
      </c>
      <c r="P745" s="12">
        <f>IF(OR($F745="",$G745=""),0,IF(AND($F745&lt;=README!$B$4,README!$B$4&lt;=$G745),1,0))</f>
        <v/>
      </c>
      <c r="Q745" s="12">
        <f>IF(OR($F745="",$G745=""),0,IF(AND($F745&lt;=DATE(README!$B$5,12,31),$G745&gt;=DATE(README!$B$5,1,1)),1,0))</f>
        <v/>
      </c>
      <c r="R745" s="10" t="inlineStr">
        <is>
          <t>GUP-VEH0030</t>
        </is>
      </c>
      <c r="S745" s="11" t="n">
        <v>46113</v>
      </c>
      <c r="T745" s="10" t="inlineStr">
        <is>
          <t>796</t>
        </is>
      </c>
      <c r="U745" s="10" t="inlineStr">
        <is>
          <t>VEHICLE</t>
        </is>
      </c>
      <c r="V745" s="10" t="inlineStr">
        <is>
          <t>T</t>
        </is>
      </c>
      <c r="W745" s="10" t="inlineStr">
        <is>
          <t>VIVEK B</t>
        </is>
      </c>
    </row>
    <row r="746">
      <c r="A746" s="10" t="inlineStr">
        <is>
          <t>TN58BK3636</t>
        </is>
      </c>
      <c r="B746" s="10" t="inlineStr">
        <is>
          <t>SOCKS</t>
        </is>
      </c>
      <c r="C746" s="10" t="inlineStr">
        <is>
          <t>RTO EXPENSE</t>
        </is>
      </c>
      <c r="D746" s="10" t="inlineStr">
        <is>
          <t>RTO EXPENSES - FC</t>
        </is>
      </c>
      <c r="E746" s="10" t="inlineStr">
        <is>
          <t>YEARLY</t>
        </is>
      </c>
      <c r="F746" s="11" t="n">
        <v>46113</v>
      </c>
      <c r="G746" s="11" t="n">
        <v>46477</v>
      </c>
      <c r="H746" s="12">
        <f>IF(OR($F746="",$G746=""),"",$G746-$F746+1)</f>
        <v/>
      </c>
      <c r="I746" s="10">
        <f>IF($F746="","",IF(MONTH($F746)&gt;=4,YEAR($F746)&amp;"-"&amp;TEXT(YEAR($F746)+1-2000,"00"),YEAR($F746)-1&amp;"-"&amp;TEXT(YEAR($F746)-2000,"00")))</f>
        <v/>
      </c>
      <c r="J746" s="13" t="n">
        <v>12500</v>
      </c>
      <c r="K746" s="14">
        <f>IFERROR($L746/$J746,"")</f>
        <v/>
      </c>
      <c r="L746" s="13" t="n">
        <v>12500</v>
      </c>
      <c r="M746" s="13">
        <f>IFERROR($L746/$H746,"")</f>
        <v/>
      </c>
      <c r="N746" s="11" t="n">
        <v>46121</v>
      </c>
      <c r="O746" s="10">
        <f>IF($N746="","No","Yes")</f>
        <v/>
      </c>
      <c r="P746" s="12">
        <f>IF(OR($F746="",$G746=""),0,IF(AND($F746&lt;=README!$B$4,README!$B$4&lt;=$G746),1,0))</f>
        <v/>
      </c>
      <c r="Q746" s="12">
        <f>IF(OR($F746="",$G746=""),0,IF(AND($F746&lt;=DATE(README!$B$5,12,31),$G746&gt;=DATE(README!$B$5,1,1)),1,0))</f>
        <v/>
      </c>
      <c r="R746" s="10" t="inlineStr">
        <is>
          <t>GUP-VEH0033</t>
        </is>
      </c>
      <c r="S746" s="11" t="n">
        <v>46118</v>
      </c>
      <c r="T746" s="10" t="inlineStr">
        <is>
          <t>814</t>
        </is>
      </c>
      <c r="U746" s="10" t="inlineStr">
        <is>
          <t>VEHICLE</t>
        </is>
      </c>
      <c r="V746" s="10" t="inlineStr">
        <is>
          <t>T</t>
        </is>
      </c>
      <c r="W746" s="10" t="inlineStr">
        <is>
          <t>VIVEK B</t>
        </is>
      </c>
    </row>
    <row r="747">
      <c r="A747" s="10" t="inlineStr">
        <is>
          <t>TN58BK3636</t>
        </is>
      </c>
      <c r="B747" s="10" t="inlineStr">
        <is>
          <t>SOCKS</t>
        </is>
      </c>
      <c r="C747" s="10" t="inlineStr">
        <is>
          <t>ROAD TAX</t>
        </is>
      </c>
      <c r="D747" s="10" t="inlineStr">
        <is>
          <t>ROAD TAX</t>
        </is>
      </c>
      <c r="E747" s="10" t="inlineStr">
        <is>
          <t>QUARTER - II</t>
        </is>
      </c>
      <c r="F747" s="11" t="n">
        <v>46204</v>
      </c>
      <c r="G747" s="11" t="n">
        <v>46295</v>
      </c>
      <c r="H747" s="12">
        <f>IF(OR($F747="",$G747=""),"",$G747-$F747+1)</f>
        <v/>
      </c>
      <c r="I747" s="10">
        <f>IF($F747="","",IF(MONTH($F747)&gt;=4,YEAR($F747)&amp;"-"&amp;TEXT(YEAR($F747)+1-2000,"00"),YEAR($F747)-1&amp;"-"&amp;TEXT(YEAR($F747)-2000,"00")))</f>
        <v/>
      </c>
      <c r="J747" s="13" t="n">
        <v>32734</v>
      </c>
      <c r="K747" s="14">
        <f>IFERROR($L747/$J747,"")</f>
        <v/>
      </c>
      <c r="L747" s="13" t="n">
        <v>32734</v>
      </c>
      <c r="M747" s="13">
        <f>IFERROR($L747/$H747,"")</f>
        <v/>
      </c>
      <c r="N747" s="11" t="n">
        <v>46196</v>
      </c>
      <c r="O747" s="10">
        <f>IF($N747="","No","Yes")</f>
        <v/>
      </c>
      <c r="P747" s="12">
        <f>IF(OR($F747="",$G747=""),0,IF(AND($F747&lt;=README!$B$4,README!$B$4&lt;=$G747),1,0))</f>
        <v/>
      </c>
      <c r="Q747" s="12">
        <f>IF(OR($F747="",$G747=""),0,IF(AND($F747&lt;=DATE(README!$B$5,12,31),$G747&gt;=DATE(README!$B$5,1,1)),1,0))</f>
        <v/>
      </c>
      <c r="R747" s="10" t="inlineStr">
        <is>
          <t>GUP-VEH0030</t>
        </is>
      </c>
      <c r="S747" s="11" t="n">
        <v>46113</v>
      </c>
      <c r="T747" s="10" t="inlineStr">
        <is>
          <t>796</t>
        </is>
      </c>
      <c r="U747" s="10" t="inlineStr">
        <is>
          <t>VEHICLE</t>
        </is>
      </c>
      <c r="V747" s="10" t="inlineStr">
        <is>
          <t>T</t>
        </is>
      </c>
      <c r="W747" s="10" t="inlineStr">
        <is>
          <t>VIVEK B</t>
        </is>
      </c>
    </row>
    <row r="748">
      <c r="A748" s="10" t="inlineStr">
        <is>
          <t>TN58BL3434</t>
        </is>
      </c>
      <c r="B748" s="10" t="inlineStr">
        <is>
          <t>WOVEN</t>
        </is>
      </c>
      <c r="C748" s="10" t="inlineStr">
        <is>
          <t>ADBLU</t>
        </is>
      </c>
      <c r="D748" s="10" t="inlineStr">
        <is>
          <t>ADBLU</t>
        </is>
      </c>
      <c r="E748" s="10" t="inlineStr">
        <is>
          <t>YEARLY</t>
        </is>
      </c>
      <c r="F748" s="11" t="n">
        <v>45383</v>
      </c>
      <c r="G748" s="11" t="n">
        <v>45747</v>
      </c>
      <c r="H748" s="12">
        <f>IF(OR($F748="",$G748=""),"",$G748-$F748+1)</f>
        <v/>
      </c>
      <c r="I748" s="10">
        <f>IF($F748="","",IF(MONTH($F748)&gt;=4,YEAR($F748)&amp;"-"&amp;TEXT(YEAR($F748)+1-2000,"00"),YEAR($F748)-1&amp;"-"&amp;TEXT(YEAR($F748)-2000,"00")))</f>
        <v/>
      </c>
      <c r="J748" s="13" t="n">
        <v>61</v>
      </c>
      <c r="K748" s="14">
        <f>IFERROR($L748/$J748,"")</f>
        <v/>
      </c>
      <c r="L748" s="13" t="n">
        <v>2623</v>
      </c>
      <c r="M748" s="13">
        <f>IFERROR($L748/$H748,"")</f>
        <v/>
      </c>
      <c r="N748" s="11" t="n">
        <v>45700</v>
      </c>
      <c r="O748" s="10">
        <f>IF($N748="","No","Yes")</f>
        <v/>
      </c>
      <c r="P748" s="12">
        <f>IF(OR($F748="",$G748=""),0,IF(AND($F748&lt;=README!$B$4,README!$B$4&lt;=$G748),1,0))</f>
        <v/>
      </c>
      <c r="Q748" s="12">
        <f>IF(OR($F748="",$G748=""),0,IF(AND($F748&lt;=DATE(README!$B$5,12,31),$G748&gt;=DATE(README!$B$5,1,1)),1,0))</f>
        <v/>
      </c>
      <c r="R748" s="10" t="inlineStr">
        <is>
          <t>GUT-VEH0008</t>
        </is>
      </c>
      <c r="S748" s="11" t="n">
        <v>45475</v>
      </c>
      <c r="T748" s="10" t="inlineStr">
        <is>
          <t>3</t>
        </is>
      </c>
      <c r="U748" s="10" t="inlineStr">
        <is>
          <t>VEHICLE</t>
        </is>
      </c>
      <c r="V748" s="10" t="inlineStr">
        <is>
          <t>T</t>
        </is>
      </c>
      <c r="W748" s="10" t="inlineStr">
        <is>
          <t>VIVEK B</t>
        </is>
      </c>
    </row>
    <row r="749">
      <c r="A749" s="10" t="inlineStr">
        <is>
          <t>TN58BL3434</t>
        </is>
      </c>
      <c r="B749" s="10" t="inlineStr">
        <is>
          <t>WOVEN</t>
        </is>
      </c>
      <c r="C749" s="10" t="inlineStr">
        <is>
          <t>ADBLU</t>
        </is>
      </c>
      <c r="D749" s="10" t="inlineStr">
        <is>
          <t>ADBLU</t>
        </is>
      </c>
      <c r="E749" s="10" t="inlineStr">
        <is>
          <t>YEARLY</t>
        </is>
      </c>
      <c r="F749" s="11" t="n">
        <v>45383</v>
      </c>
      <c r="G749" s="11" t="n">
        <v>45747</v>
      </c>
      <c r="H749" s="12">
        <f>IF(OR($F749="",$G749=""),"",$G749-$F749+1)</f>
        <v/>
      </c>
      <c r="I749" s="10">
        <f>IF($F749="","",IF(MONTH($F749)&gt;=4,YEAR($F749)&amp;"-"&amp;TEXT(YEAR($F749)+1-2000,"00"),YEAR($F749)-1&amp;"-"&amp;TEXT(YEAR($F749)-2000,"00")))</f>
        <v/>
      </c>
      <c r="J749" s="13" t="n">
        <v>61</v>
      </c>
      <c r="K749" s="14">
        <f>IFERROR($L749/$J749,"")</f>
        <v/>
      </c>
      <c r="L749" s="13" t="n">
        <v>2623</v>
      </c>
      <c r="M749" s="13">
        <f>IFERROR($L749/$H749,"")</f>
        <v/>
      </c>
      <c r="N749" s="11" t="n">
        <v>45602</v>
      </c>
      <c r="O749" s="10">
        <f>IF($N749="","No","Yes")</f>
        <v/>
      </c>
      <c r="P749" s="12">
        <f>IF(OR($F749="",$G749=""),0,IF(AND($F749&lt;=README!$B$4,README!$B$4&lt;=$G749),1,0))</f>
        <v/>
      </c>
      <c r="Q749" s="12">
        <f>IF(OR($F749="",$G749=""),0,IF(AND($F749&lt;=DATE(README!$B$5,12,31),$G749&gt;=DATE(README!$B$5,1,1)),1,0))</f>
        <v/>
      </c>
      <c r="R749" s="10" t="inlineStr">
        <is>
          <t>GUT-VEH0008</t>
        </is>
      </c>
      <c r="S749" s="11" t="n">
        <v>45475</v>
      </c>
      <c r="T749" s="10" t="inlineStr">
        <is>
          <t>3</t>
        </is>
      </c>
      <c r="U749" s="10" t="inlineStr">
        <is>
          <t>VEHICLE</t>
        </is>
      </c>
      <c r="V749" s="10" t="inlineStr">
        <is>
          <t>T</t>
        </is>
      </c>
      <c r="W749" s="10" t="inlineStr">
        <is>
          <t>VIVEK B</t>
        </is>
      </c>
    </row>
    <row r="750">
      <c r="A750" s="10" t="inlineStr">
        <is>
          <t>TN58BL3434</t>
        </is>
      </c>
      <c r="B750" s="10" t="inlineStr">
        <is>
          <t>WOVEN</t>
        </is>
      </c>
      <c r="C750" s="10" t="inlineStr">
        <is>
          <t>ADBLU</t>
        </is>
      </c>
      <c r="D750" s="10" t="inlineStr">
        <is>
          <t>ADBLU</t>
        </is>
      </c>
      <c r="E750" s="10" t="inlineStr">
        <is>
          <t>YEARLY</t>
        </is>
      </c>
      <c r="F750" s="11" t="n">
        <v>45383</v>
      </c>
      <c r="G750" s="11" t="n">
        <v>45747</v>
      </c>
      <c r="H750" s="12">
        <f>IF(OR($F750="",$G750=""),"",$G750-$F750+1)</f>
        <v/>
      </c>
      <c r="I750" s="10">
        <f>IF($F750="","",IF(MONTH($F750)&gt;=4,YEAR($F750)&amp;"-"&amp;TEXT(YEAR($F750)+1-2000,"00"),YEAR($F750)-1&amp;"-"&amp;TEXT(YEAR($F750)-2000,"00")))</f>
        <v/>
      </c>
      <c r="J750" s="13" t="n">
        <v>61</v>
      </c>
      <c r="K750" s="14">
        <f>IFERROR($L750/$J750,"")</f>
        <v/>
      </c>
      <c r="L750" s="13" t="n">
        <v>2623</v>
      </c>
      <c r="M750" s="13">
        <f>IFERROR($L750/$H750,"")</f>
        <v/>
      </c>
      <c r="N750" s="11" t="n">
        <v>45623</v>
      </c>
      <c r="O750" s="10">
        <f>IF($N750="","No","Yes")</f>
        <v/>
      </c>
      <c r="P750" s="12">
        <f>IF(OR($F750="",$G750=""),0,IF(AND($F750&lt;=README!$B$4,README!$B$4&lt;=$G750),1,0))</f>
        <v/>
      </c>
      <c r="Q750" s="12">
        <f>IF(OR($F750="",$G750=""),0,IF(AND($F750&lt;=DATE(README!$B$5,12,31),$G750&gt;=DATE(README!$B$5,1,1)),1,0))</f>
        <v/>
      </c>
      <c r="R750" s="10" t="inlineStr">
        <is>
          <t>GUT-VEH0008</t>
        </is>
      </c>
      <c r="S750" s="11" t="n">
        <v>45475</v>
      </c>
      <c r="T750" s="10" t="inlineStr">
        <is>
          <t>3</t>
        </is>
      </c>
      <c r="U750" s="10" t="inlineStr">
        <is>
          <t>VEHICLE</t>
        </is>
      </c>
      <c r="V750" s="10" t="inlineStr">
        <is>
          <t>T</t>
        </is>
      </c>
      <c r="W750" s="10" t="inlineStr">
        <is>
          <t>VIVEK B</t>
        </is>
      </c>
    </row>
    <row r="751">
      <c r="A751" s="10" t="inlineStr">
        <is>
          <t>TN58BL3434</t>
        </is>
      </c>
      <c r="B751" s="10" t="inlineStr">
        <is>
          <t>WOVEN</t>
        </is>
      </c>
      <c r="C751" s="10" t="inlineStr">
        <is>
          <t>ADBLU</t>
        </is>
      </c>
      <c r="D751" s="10" t="inlineStr">
        <is>
          <t>ADBLU</t>
        </is>
      </c>
      <c r="E751" s="10" t="inlineStr">
        <is>
          <t>YEARLY</t>
        </is>
      </c>
      <c r="F751" s="11" t="n">
        <v>45383</v>
      </c>
      <c r="G751" s="11" t="n">
        <v>45747</v>
      </c>
      <c r="H751" s="12">
        <f>IF(OR($F751="",$G751=""),"",$G751-$F751+1)</f>
        <v/>
      </c>
      <c r="I751" s="10">
        <f>IF($F751="","",IF(MONTH($F751)&gt;=4,YEAR($F751)&amp;"-"&amp;TEXT(YEAR($F751)+1-2000,"00"),YEAR($F751)-1&amp;"-"&amp;TEXT(YEAR($F751)-2000,"00")))</f>
        <v/>
      </c>
      <c r="J751" s="13" t="n">
        <v>61</v>
      </c>
      <c r="K751" s="14">
        <f>IFERROR($L751/$J751,"")</f>
        <v/>
      </c>
      <c r="L751" s="13" t="n">
        <v>2623</v>
      </c>
      <c r="M751" s="13">
        <f>IFERROR($L751/$H751,"")</f>
        <v/>
      </c>
      <c r="N751" s="11" t="n">
        <v>45479</v>
      </c>
      <c r="O751" s="10">
        <f>IF($N751="","No","Yes")</f>
        <v/>
      </c>
      <c r="P751" s="12">
        <f>IF(OR($F751="",$G751=""),0,IF(AND($F751&lt;=README!$B$4,README!$B$4&lt;=$G751),1,0))</f>
        <v/>
      </c>
      <c r="Q751" s="12">
        <f>IF(OR($F751="",$G751=""),0,IF(AND($F751&lt;=DATE(README!$B$5,12,31),$G751&gt;=DATE(README!$B$5,1,1)),1,0))</f>
        <v/>
      </c>
      <c r="R751" s="10" t="inlineStr">
        <is>
          <t>GUT-VEH0008</t>
        </is>
      </c>
      <c r="S751" s="11" t="n">
        <v>45475</v>
      </c>
      <c r="T751" s="10" t="inlineStr">
        <is>
          <t>3</t>
        </is>
      </c>
      <c r="U751" s="10" t="inlineStr">
        <is>
          <t>VEHICLE</t>
        </is>
      </c>
      <c r="V751" s="10" t="inlineStr">
        <is>
          <t>T</t>
        </is>
      </c>
      <c r="W751" s="10" t="inlineStr">
        <is>
          <t>VIVEK B</t>
        </is>
      </c>
    </row>
    <row r="752">
      <c r="A752" s="10" t="inlineStr">
        <is>
          <t>TN58BL3434</t>
        </is>
      </c>
      <c r="B752" s="10" t="inlineStr">
        <is>
          <t>WOVEN</t>
        </is>
      </c>
      <c r="C752" s="10" t="inlineStr">
        <is>
          <t>ADBLU</t>
        </is>
      </c>
      <c r="D752" s="10" t="inlineStr">
        <is>
          <t>ADBLU</t>
        </is>
      </c>
      <c r="E752" s="10" t="inlineStr">
        <is>
          <t>YEARLY</t>
        </is>
      </c>
      <c r="F752" s="11" t="n">
        <v>45383</v>
      </c>
      <c r="G752" s="11" t="n">
        <v>45747</v>
      </c>
      <c r="H752" s="12">
        <f>IF(OR($F752="",$G752=""),"",$G752-$F752+1)</f>
        <v/>
      </c>
      <c r="I752" s="10">
        <f>IF($F752="","",IF(MONTH($F752)&gt;=4,YEAR($F752)&amp;"-"&amp;TEXT(YEAR($F752)+1-2000,"00"),YEAR($F752)-1&amp;"-"&amp;TEXT(YEAR($F752)-2000,"00")))</f>
        <v/>
      </c>
      <c r="J752" s="13" t="n">
        <v>61</v>
      </c>
      <c r="K752" s="14">
        <f>IFERROR($L752/$J752,"")</f>
        <v/>
      </c>
      <c r="L752" s="13" t="n">
        <v>2623</v>
      </c>
      <c r="M752" s="13">
        <f>IFERROR($L752/$H752,"")</f>
        <v/>
      </c>
      <c r="N752" s="11" t="n">
        <v>45700</v>
      </c>
      <c r="O752" s="10">
        <f>IF($N752="","No","Yes")</f>
        <v/>
      </c>
      <c r="P752" s="12">
        <f>IF(OR($F752="",$G752=""),0,IF(AND($F752&lt;=README!$B$4,README!$B$4&lt;=$G752),1,0))</f>
        <v/>
      </c>
      <c r="Q752" s="12">
        <f>IF(OR($F752="",$G752=""),0,IF(AND($F752&lt;=DATE(README!$B$5,12,31),$G752&gt;=DATE(README!$B$5,1,1)),1,0))</f>
        <v/>
      </c>
      <c r="R752" s="10" t="inlineStr">
        <is>
          <t>GUT-VEH0008</t>
        </is>
      </c>
      <c r="S752" s="11" t="n">
        <v>45475</v>
      </c>
      <c r="T752" s="10" t="inlineStr">
        <is>
          <t>3</t>
        </is>
      </c>
      <c r="U752" s="10" t="inlineStr">
        <is>
          <t>VEHICLE</t>
        </is>
      </c>
      <c r="V752" s="10" t="inlineStr">
        <is>
          <t>T</t>
        </is>
      </c>
      <c r="W752" s="10" t="inlineStr">
        <is>
          <t>VIVEK B</t>
        </is>
      </c>
    </row>
    <row r="753">
      <c r="A753" s="10" t="inlineStr">
        <is>
          <t>TN58BL3434</t>
        </is>
      </c>
      <c r="B753" s="10" t="inlineStr">
        <is>
          <t>WOVEN</t>
        </is>
      </c>
      <c r="C753" s="10" t="inlineStr">
        <is>
          <t>FC WORK</t>
        </is>
      </c>
      <c r="D753" s="10" t="inlineStr">
        <is>
          <t>FC WORK</t>
        </is>
      </c>
      <c r="E753" s="10" t="inlineStr">
        <is>
          <t>YEARLY</t>
        </is>
      </c>
      <c r="F753" s="11" t="n">
        <v>45383</v>
      </c>
      <c r="G753" s="11" t="n">
        <v>45747</v>
      </c>
      <c r="H753" s="12">
        <f>IF(OR($F753="",$G753=""),"",$G753-$F753+1)</f>
        <v/>
      </c>
      <c r="I753" s="10">
        <f>IF($F753="","",IF(MONTH($F753)&gt;=4,YEAR($F753)&amp;"-"&amp;TEXT(YEAR($F753)+1-2000,"00"),YEAR($F753)-1&amp;"-"&amp;TEXT(YEAR($F753)-2000,"00")))</f>
        <v/>
      </c>
      <c r="J753" s="13" t="n">
        <v>35000</v>
      </c>
      <c r="K753" s="14">
        <f>IFERROR($L753/$J753,"")</f>
        <v/>
      </c>
      <c r="L753" s="13" t="n">
        <v>35000</v>
      </c>
      <c r="M753" s="13">
        <f>IFERROR($L753/$H753,"")</f>
        <v/>
      </c>
      <c r="N753" s="11" t="n">
        <v>45638</v>
      </c>
      <c r="O753" s="10">
        <f>IF($N753="","No","Yes")</f>
        <v/>
      </c>
      <c r="P753" s="12">
        <f>IF(OR($F753="",$G753=""),0,IF(AND($F753&lt;=README!$B$4,README!$B$4&lt;=$G753),1,0))</f>
        <v/>
      </c>
      <c r="Q753" s="12">
        <f>IF(OR($F753="",$G753=""),0,IF(AND($F753&lt;=DATE(README!$B$5,12,31),$G753&gt;=DATE(README!$B$5,1,1)),1,0))</f>
        <v/>
      </c>
      <c r="R753" s="10" t="inlineStr">
        <is>
          <t>GUT-VEH0009</t>
        </is>
      </c>
      <c r="S753" s="11" t="n">
        <v>45475</v>
      </c>
      <c r="T753" s="10" t="inlineStr">
        <is>
          <t>3</t>
        </is>
      </c>
      <c r="U753" s="10" t="inlineStr">
        <is>
          <t>VEHICLE</t>
        </is>
      </c>
      <c r="V753" s="10" t="inlineStr">
        <is>
          <t>T</t>
        </is>
      </c>
      <c r="W753" s="10" t="inlineStr">
        <is>
          <t>VIVEK B</t>
        </is>
      </c>
    </row>
    <row r="754">
      <c r="A754" s="10" t="inlineStr">
        <is>
          <t>TN58BL3434</t>
        </is>
      </c>
      <c r="B754" s="10" t="inlineStr">
        <is>
          <t>WOVEN</t>
        </is>
      </c>
      <c r="C754" s="10" t="inlineStr">
        <is>
          <t>ROAD TAX</t>
        </is>
      </c>
      <c r="D754" s="10" t="inlineStr">
        <is>
          <t>ROAD TAX</t>
        </is>
      </c>
      <c r="E754" s="10" t="inlineStr">
        <is>
          <t>YEARLY</t>
        </is>
      </c>
      <c r="F754" s="11" t="n">
        <v>45383</v>
      </c>
      <c r="G754" s="11" t="n">
        <v>45747</v>
      </c>
      <c r="H754" s="12">
        <f>IF(OR($F754="",$G754=""),"",$G754-$F754+1)</f>
        <v/>
      </c>
      <c r="I754" s="10">
        <f>IF($F754="","",IF(MONTH($F754)&gt;=4,YEAR($F754)&amp;"-"&amp;TEXT(YEAR($F754)+1-2000,"00"),YEAR($F754)-1&amp;"-"&amp;TEXT(YEAR($F754)-2000,"00")))</f>
        <v/>
      </c>
      <c r="J754" s="13" t="n">
        <v>32734</v>
      </c>
      <c r="K754" s="14">
        <f>IFERROR($L754/$J754,"")</f>
        <v/>
      </c>
      <c r="L754" s="13" t="n">
        <v>32734</v>
      </c>
      <c r="M754" s="13">
        <f>IFERROR($L754/$H754,"")</f>
        <v/>
      </c>
      <c r="N754" s="11" t="n">
        <v>45910</v>
      </c>
      <c r="O754" s="10">
        <f>IF($N754="","No","Yes")</f>
        <v/>
      </c>
      <c r="P754" s="12">
        <f>IF(OR($F754="",$G754=""),0,IF(AND($F754&lt;=README!$B$4,README!$B$4&lt;=$G754),1,0))</f>
        <v/>
      </c>
      <c r="Q754" s="12">
        <f>IF(OR($F754="",$G754=""),0,IF(AND($F754&lt;=DATE(README!$B$5,12,31),$G754&gt;=DATE(README!$B$5,1,1)),1,0))</f>
        <v/>
      </c>
      <c r="R754" s="10" t="inlineStr">
        <is>
          <t>GUT-VEH0016</t>
        </is>
      </c>
      <c r="S754" s="11" t="n">
        <v>46023</v>
      </c>
      <c r="T754" s="10" t="inlineStr">
        <is>
          <t>5</t>
        </is>
      </c>
      <c r="U754" s="10" t="inlineStr">
        <is>
          <t>VEHICLE</t>
        </is>
      </c>
      <c r="V754" s="10" t="inlineStr">
        <is>
          <t>T</t>
        </is>
      </c>
      <c r="W754" s="10" t="inlineStr">
        <is>
          <t>VIVEK B</t>
        </is>
      </c>
    </row>
    <row r="755">
      <c r="A755" s="10" t="inlineStr">
        <is>
          <t>TN58BL3434</t>
        </is>
      </c>
      <c r="B755" s="10" t="inlineStr">
        <is>
          <t>WOVEN</t>
        </is>
      </c>
      <c r="C755" s="10" t="inlineStr">
        <is>
          <t>ROAD TAX</t>
        </is>
      </c>
      <c r="D755" s="10" t="inlineStr">
        <is>
          <t>ROAD TAX</t>
        </is>
      </c>
      <c r="E755" s="10" t="inlineStr">
        <is>
          <t>YEARLY</t>
        </is>
      </c>
      <c r="F755" s="11" t="n">
        <v>45383</v>
      </c>
      <c r="G755" s="11" t="n">
        <v>45747</v>
      </c>
      <c r="H755" s="12">
        <f>IF(OR($F755="",$G755=""),"",$G755-$F755+1)</f>
        <v/>
      </c>
      <c r="I755" s="10">
        <f>IF($F755="","",IF(MONTH($F755)&gt;=4,YEAR($F755)&amp;"-"&amp;TEXT(YEAR($F755)+1-2000,"00"),YEAR($F755)-1&amp;"-"&amp;TEXT(YEAR($F755)-2000,"00")))</f>
        <v/>
      </c>
      <c r="J755" s="13" t="n">
        <v>32724</v>
      </c>
      <c r="K755" s="14">
        <f>IFERROR($L755/$J755,"")</f>
        <v/>
      </c>
      <c r="L755" s="13" t="n">
        <v>32724</v>
      </c>
      <c r="M755" s="13">
        <f>IFERROR($L755/$H755,"")</f>
        <v/>
      </c>
      <c r="N755" s="11" t="n">
        <v>45840</v>
      </c>
      <c r="O755" s="10">
        <f>IF($N755="","No","Yes")</f>
        <v/>
      </c>
      <c r="P755" s="12">
        <f>IF(OR($F755="",$G755=""),0,IF(AND($F755&lt;=README!$B$4,README!$B$4&lt;=$G755),1,0))</f>
        <v/>
      </c>
      <c r="Q755" s="12">
        <f>IF(OR($F755="",$G755=""),0,IF(AND($F755&lt;=DATE(README!$B$5,12,31),$G755&gt;=DATE(README!$B$5,1,1)),1,0))</f>
        <v/>
      </c>
      <c r="R755" s="10" t="inlineStr">
        <is>
          <t>GUT-VEH0016</t>
        </is>
      </c>
      <c r="S755" s="11" t="n">
        <v>46023</v>
      </c>
      <c r="T755" s="10" t="inlineStr">
        <is>
          <t>5</t>
        </is>
      </c>
      <c r="U755" s="10" t="inlineStr">
        <is>
          <t>VEHICLE</t>
        </is>
      </c>
      <c r="V755" s="10" t="inlineStr">
        <is>
          <t>T</t>
        </is>
      </c>
      <c r="W755" s="10" t="inlineStr">
        <is>
          <t>VIVEK B</t>
        </is>
      </c>
    </row>
    <row r="756">
      <c r="A756" s="10" t="inlineStr">
        <is>
          <t>TN58BL3434</t>
        </is>
      </c>
      <c r="B756" s="10" t="inlineStr">
        <is>
          <t>WOVEN</t>
        </is>
      </c>
      <c r="C756" s="10" t="inlineStr">
        <is>
          <t>ROAD TAX</t>
        </is>
      </c>
      <c r="D756" s="10" t="inlineStr">
        <is>
          <t>ROAD TAX</t>
        </is>
      </c>
      <c r="E756" s="10" t="inlineStr">
        <is>
          <t>YEARLY</t>
        </is>
      </c>
      <c r="F756" s="11" t="n">
        <v>45383</v>
      </c>
      <c r="G756" s="11" t="n">
        <v>45747</v>
      </c>
      <c r="H756" s="12">
        <f>IF(OR($F756="",$G756=""),"",$G756-$F756+1)</f>
        <v/>
      </c>
      <c r="I756" s="10">
        <f>IF($F756="","",IF(MONTH($F756)&gt;=4,YEAR($F756)&amp;"-"&amp;TEXT(YEAR($F756)+1-2000,"00"),YEAR($F756)-1&amp;"-"&amp;TEXT(YEAR($F756)-2000,"00")))</f>
        <v/>
      </c>
      <c r="J756" s="13" t="n">
        <v>32724</v>
      </c>
      <c r="K756" s="14">
        <f>IFERROR($L756/$J756,"")</f>
        <v/>
      </c>
      <c r="L756" s="13" t="n">
        <v>32724</v>
      </c>
      <c r="M756" s="13">
        <f>IFERROR($L756/$H756,"")</f>
        <v/>
      </c>
      <c r="N756" s="11" t="n">
        <v>45727</v>
      </c>
      <c r="O756" s="10">
        <f>IF($N756="","No","Yes")</f>
        <v/>
      </c>
      <c r="P756" s="12">
        <f>IF(OR($F756="",$G756=""),0,IF(AND($F756&lt;=README!$B$4,README!$B$4&lt;=$G756),1,0))</f>
        <v/>
      </c>
      <c r="Q756" s="12">
        <f>IF(OR($F756="",$G756=""),0,IF(AND($F756&lt;=DATE(README!$B$5,12,31),$G756&gt;=DATE(README!$B$5,1,1)),1,0))</f>
        <v/>
      </c>
      <c r="R756" s="10" t="inlineStr">
        <is>
          <t>GUT-VEH0016</t>
        </is>
      </c>
      <c r="S756" s="11" t="n">
        <v>46023</v>
      </c>
      <c r="T756" s="10" t="inlineStr">
        <is>
          <t>5</t>
        </is>
      </c>
      <c r="U756" s="10" t="inlineStr">
        <is>
          <t>VEHICLE</t>
        </is>
      </c>
      <c r="V756" s="10" t="inlineStr">
        <is>
          <t>T</t>
        </is>
      </c>
      <c r="W756" s="10" t="inlineStr">
        <is>
          <t>VIVEK B</t>
        </is>
      </c>
    </row>
    <row r="757">
      <c r="A757" s="10" t="inlineStr">
        <is>
          <t>TN58BL3434</t>
        </is>
      </c>
      <c r="B757" s="10" t="inlineStr">
        <is>
          <t>WOVEN</t>
        </is>
      </c>
      <c r="C757" s="10" t="inlineStr">
        <is>
          <t>ROAD TAX</t>
        </is>
      </c>
      <c r="D757" s="10" t="inlineStr">
        <is>
          <t>ROAD TAX</t>
        </is>
      </c>
      <c r="E757" s="10" t="inlineStr">
        <is>
          <t>YEARLY</t>
        </is>
      </c>
      <c r="F757" s="11" t="n">
        <v>45383</v>
      </c>
      <c r="G757" s="11" t="n">
        <v>45747</v>
      </c>
      <c r="H757" s="12">
        <f>IF(OR($F757="",$G757=""),"",$G757-$F757+1)</f>
        <v/>
      </c>
      <c r="I757" s="10">
        <f>IF($F757="","",IF(MONTH($F757)&gt;=4,YEAR($F757)&amp;"-"&amp;TEXT(YEAR($F757)+1-2000,"00"),YEAR($F757)-1&amp;"-"&amp;TEXT(YEAR($F757)-2000,"00")))</f>
        <v/>
      </c>
      <c r="J757" s="13" t="n">
        <v>32724</v>
      </c>
      <c r="K757" s="14">
        <f>IFERROR($L757/$J757,"")</f>
        <v/>
      </c>
      <c r="L757" s="13" t="n">
        <v>32724</v>
      </c>
      <c r="M757" s="13">
        <f>IFERROR($L757/$H757,"")</f>
        <v/>
      </c>
      <c r="N757" s="11" t="n">
        <v>45649</v>
      </c>
      <c r="O757" s="10">
        <f>IF($N757="","No","Yes")</f>
        <v/>
      </c>
      <c r="P757" s="12">
        <f>IF(OR($F757="",$G757=""),0,IF(AND($F757&lt;=README!$B$4,README!$B$4&lt;=$G757),1,0))</f>
        <v/>
      </c>
      <c r="Q757" s="12">
        <f>IF(OR($F757="",$G757=""),0,IF(AND($F757&lt;=DATE(README!$B$5,12,31),$G757&gt;=DATE(README!$B$5,1,1)),1,0))</f>
        <v/>
      </c>
      <c r="R757" s="10" t="inlineStr">
        <is>
          <t>GUT-VEH0011</t>
        </is>
      </c>
      <c r="S757" s="11" t="n">
        <v>45475</v>
      </c>
      <c r="T757" s="10" t="inlineStr">
        <is>
          <t>3</t>
        </is>
      </c>
      <c r="U757" s="10" t="inlineStr">
        <is>
          <t>VEHICLE</t>
        </is>
      </c>
      <c r="V757" s="10" t="inlineStr">
        <is>
          <t>T</t>
        </is>
      </c>
      <c r="W757" s="10" t="inlineStr">
        <is>
          <t>VIVEK B</t>
        </is>
      </c>
    </row>
    <row r="758">
      <c r="A758" s="10" t="inlineStr">
        <is>
          <t>TN58BL3434</t>
        </is>
      </c>
      <c r="B758" s="10" t="inlineStr">
        <is>
          <t>WOVEN</t>
        </is>
      </c>
      <c r="C758" s="10" t="inlineStr">
        <is>
          <t>ROAD TAX</t>
        </is>
      </c>
      <c r="D758" s="10" t="inlineStr">
        <is>
          <t>ROAD TAX</t>
        </is>
      </c>
      <c r="E758" s="10" t="inlineStr">
        <is>
          <t>YEARLY</t>
        </is>
      </c>
      <c r="F758" s="11" t="n">
        <v>45383</v>
      </c>
      <c r="G758" s="11" t="n">
        <v>45747</v>
      </c>
      <c r="H758" s="12">
        <f>IF(OR($F758="",$G758=""),"",$G758-$F758+1)</f>
        <v/>
      </c>
      <c r="I758" s="10">
        <f>IF($F758="","",IF(MONTH($F758)&gt;=4,YEAR($F758)&amp;"-"&amp;TEXT(YEAR($F758)+1-2000,"00"),YEAR($F758)-1&amp;"-"&amp;TEXT(YEAR($F758)-2000,"00")))</f>
        <v/>
      </c>
      <c r="J758" s="13" t="n">
        <v>32724</v>
      </c>
      <c r="K758" s="14">
        <f>IFERROR($L758/$J758,"")</f>
        <v/>
      </c>
      <c r="L758" s="13" t="n">
        <v>32724</v>
      </c>
      <c r="M758" s="13">
        <f>IFERROR($L758/$H758,"")</f>
        <v/>
      </c>
      <c r="N758" s="11" t="n">
        <v>45569</v>
      </c>
      <c r="O758" s="10">
        <f>IF($N758="","No","Yes")</f>
        <v/>
      </c>
      <c r="P758" s="12">
        <f>IF(OR($F758="",$G758=""),0,IF(AND($F758&lt;=README!$B$4,README!$B$4&lt;=$G758),1,0))</f>
        <v/>
      </c>
      <c r="Q758" s="12">
        <f>IF(OR($F758="",$G758=""),0,IF(AND($F758&lt;=DATE(README!$B$5,12,31),$G758&gt;=DATE(README!$B$5,1,1)),1,0))</f>
        <v/>
      </c>
      <c r="R758" s="10" t="inlineStr">
        <is>
          <t>GUT-VEH0011</t>
        </is>
      </c>
      <c r="S758" s="11" t="n">
        <v>45475</v>
      </c>
      <c r="T758" s="10" t="inlineStr">
        <is>
          <t>3</t>
        </is>
      </c>
      <c r="U758" s="10" t="inlineStr">
        <is>
          <t>VEHICLE</t>
        </is>
      </c>
      <c r="V758" s="10" t="inlineStr">
        <is>
          <t>T</t>
        </is>
      </c>
      <c r="W758" s="10" t="inlineStr">
        <is>
          <t>VIVEK B</t>
        </is>
      </c>
    </row>
    <row r="759">
      <c r="A759" s="10" t="inlineStr">
        <is>
          <t>TN58BL3434</t>
        </is>
      </c>
      <c r="B759" s="10" t="inlineStr">
        <is>
          <t>WOVEN</t>
        </is>
      </c>
      <c r="C759" s="10" t="inlineStr">
        <is>
          <t>ROAD TAX</t>
        </is>
      </c>
      <c r="D759" s="10" t="inlineStr">
        <is>
          <t>ROAD TAX</t>
        </is>
      </c>
      <c r="E759" s="10" t="inlineStr">
        <is>
          <t>YEARLY</t>
        </is>
      </c>
      <c r="F759" s="11" t="n">
        <v>45383</v>
      </c>
      <c r="G759" s="11" t="n">
        <v>45747</v>
      </c>
      <c r="H759" s="12">
        <f>IF(OR($F759="",$G759=""),"",$G759-$F759+1)</f>
        <v/>
      </c>
      <c r="I759" s="10">
        <f>IF($F759="","",IF(MONTH($F759)&gt;=4,YEAR($F759)&amp;"-"&amp;TEXT(YEAR($F759)+1-2000,"00"),YEAR($F759)-1&amp;"-"&amp;TEXT(YEAR($F759)-2000,"00")))</f>
        <v/>
      </c>
      <c r="J759" s="13" t="n">
        <v>32724</v>
      </c>
      <c r="K759" s="14">
        <f>IFERROR($L759/$J759,"")</f>
        <v/>
      </c>
      <c r="L759" s="13" t="n">
        <v>32724</v>
      </c>
      <c r="M759" s="13">
        <f>IFERROR($L759/$H759,"")</f>
        <v/>
      </c>
      <c r="N759" s="11" t="n">
        <v>45481</v>
      </c>
      <c r="O759" s="10">
        <f>IF($N759="","No","Yes")</f>
        <v/>
      </c>
      <c r="P759" s="12">
        <f>IF(OR($F759="",$G759=""),0,IF(AND($F759&lt;=README!$B$4,README!$B$4&lt;=$G759),1,0))</f>
        <v/>
      </c>
      <c r="Q759" s="12">
        <f>IF(OR($F759="",$G759=""),0,IF(AND($F759&lt;=DATE(README!$B$5,12,31),$G759&gt;=DATE(README!$B$5,1,1)),1,0))</f>
        <v/>
      </c>
      <c r="R759" s="10" t="inlineStr">
        <is>
          <t>GUT-VEH0011</t>
        </is>
      </c>
      <c r="S759" s="11" t="n">
        <v>45475</v>
      </c>
      <c r="T759" s="10" t="inlineStr">
        <is>
          <t>3</t>
        </is>
      </c>
      <c r="U759" s="10" t="inlineStr">
        <is>
          <t>VEHICLE</t>
        </is>
      </c>
      <c r="V759" s="10" t="inlineStr">
        <is>
          <t>T</t>
        </is>
      </c>
      <c r="W759" s="10" t="inlineStr">
        <is>
          <t>VIVEK B</t>
        </is>
      </c>
    </row>
    <row r="760">
      <c r="A760" s="10" t="inlineStr">
        <is>
          <t>TN58BL3434</t>
        </is>
      </c>
      <c r="B760" s="10" t="inlineStr">
        <is>
          <t>WOVEN</t>
        </is>
      </c>
      <c r="C760" s="10" t="inlineStr">
        <is>
          <t>RTO EXPENSE</t>
        </is>
      </c>
      <c r="D760" s="10" t="inlineStr">
        <is>
          <t>RTO EXPENSE</t>
        </is>
      </c>
      <c r="E760" s="10" t="inlineStr">
        <is>
          <t>YEARLY</t>
        </is>
      </c>
      <c r="F760" s="11" t="n">
        <v>45383</v>
      </c>
      <c r="G760" s="11" t="n">
        <v>45747</v>
      </c>
      <c r="H760" s="12">
        <f>IF(OR($F760="",$G760=""),"",$G760-$F760+1)</f>
        <v/>
      </c>
      <c r="I760" s="10">
        <f>IF($F760="","",IF(MONTH($F760)&gt;=4,YEAR($F760)&amp;"-"&amp;TEXT(YEAR($F760)+1-2000,"00"),YEAR($F760)-1&amp;"-"&amp;TEXT(YEAR($F760)-2000,"00")))</f>
        <v/>
      </c>
      <c r="J760" s="13" t="n">
        <v>12500</v>
      </c>
      <c r="K760" s="14">
        <f>IFERROR($L760/$J760,"")</f>
        <v/>
      </c>
      <c r="L760" s="13" t="n">
        <v>12500</v>
      </c>
      <c r="M760" s="13">
        <f>IFERROR($L760/$H760,"")</f>
        <v/>
      </c>
      <c r="N760" s="11" t="n">
        <v>45638</v>
      </c>
      <c r="O760" s="10">
        <f>IF($N760="","No","Yes")</f>
        <v/>
      </c>
      <c r="P760" s="12">
        <f>IF(OR($F760="",$G760=""),0,IF(AND($F760&lt;=README!$B$4,README!$B$4&lt;=$G760),1,0))</f>
        <v/>
      </c>
      <c r="Q760" s="12">
        <f>IF(OR($F760="",$G760=""),0,IF(AND($F760&lt;=DATE(README!$B$5,12,31),$G760&gt;=DATE(README!$B$5,1,1)),1,0))</f>
        <v/>
      </c>
      <c r="R760" s="10" t="inlineStr">
        <is>
          <t>GUT-VEH0010</t>
        </is>
      </c>
      <c r="S760" s="11" t="n">
        <v>45475</v>
      </c>
      <c r="T760" s="10" t="inlineStr">
        <is>
          <t>3</t>
        </is>
      </c>
      <c r="U760" s="10" t="inlineStr">
        <is>
          <t>VEHICLE</t>
        </is>
      </c>
      <c r="V760" s="10" t="inlineStr">
        <is>
          <t>T</t>
        </is>
      </c>
      <c r="W760" s="10" t="inlineStr">
        <is>
          <t>VIVEK B</t>
        </is>
      </c>
    </row>
    <row r="761">
      <c r="A761" s="10" t="inlineStr">
        <is>
          <t>TN58BL3434</t>
        </is>
      </c>
      <c r="B761" s="10" t="inlineStr">
        <is>
          <t>WOVEN</t>
        </is>
      </c>
      <c r="C761" s="10" t="inlineStr">
        <is>
          <t>TYRE</t>
        </is>
      </c>
      <c r="D761" s="10" t="inlineStr">
        <is>
          <t>TYRE</t>
        </is>
      </c>
      <c r="E761" s="10" t="inlineStr">
        <is>
          <t>YEARLY</t>
        </is>
      </c>
      <c r="F761" s="11" t="n">
        <v>45383</v>
      </c>
      <c r="G761" s="11" t="n">
        <v>45747</v>
      </c>
      <c r="H761" s="12">
        <f>IF(OR($F761="",$G761=""),"",$G761-$F761+1)</f>
        <v/>
      </c>
      <c r="I761" s="10">
        <f>IF($F761="","",IF(MONTH($F761)&gt;=4,YEAR($F761)&amp;"-"&amp;TEXT(YEAR($F761)+1-2000,"00"),YEAR($F761)-1&amp;"-"&amp;TEXT(YEAR($F761)-2000,"00")))</f>
        <v/>
      </c>
      <c r="J761" s="13" t="n">
        <v>30200</v>
      </c>
      <c r="K761" s="14">
        <f>IFERROR($L761/$J761,"")</f>
        <v/>
      </c>
      <c r="L761" s="13" t="n">
        <v>30200</v>
      </c>
      <c r="M761" s="13">
        <f>IFERROR($L761/$H761,"")</f>
        <v/>
      </c>
      <c r="N761" s="11" t="n">
        <v>45554</v>
      </c>
      <c r="O761" s="10">
        <f>IF($N761="","No","Yes")</f>
        <v/>
      </c>
      <c r="P761" s="12">
        <f>IF(OR($F761="",$G761=""),0,IF(AND($F761&lt;=README!$B$4,README!$B$4&lt;=$G761),1,0))</f>
        <v/>
      </c>
      <c r="Q761" s="12">
        <f>IF(OR($F761="",$G761=""),0,IF(AND($F761&lt;=DATE(README!$B$5,12,31),$G761&gt;=DATE(README!$B$5,1,1)),1,0))</f>
        <v/>
      </c>
      <c r="R761" s="10" t="inlineStr">
        <is>
          <t>GUT-VEH0006</t>
        </is>
      </c>
      <c r="S761" s="11" t="n">
        <v>45437</v>
      </c>
      <c r="T761" s="10" t="inlineStr">
        <is>
          <t>3</t>
        </is>
      </c>
      <c r="U761" s="10" t="inlineStr">
        <is>
          <t>VEHICLE</t>
        </is>
      </c>
      <c r="V761" s="10" t="inlineStr">
        <is>
          <t>T</t>
        </is>
      </c>
      <c r="W761" s="10" t="inlineStr">
        <is>
          <t>VIVEK B</t>
        </is>
      </c>
    </row>
    <row r="762">
      <c r="A762" s="10" t="inlineStr">
        <is>
          <t>TN58BL3434</t>
        </is>
      </c>
      <c r="B762" s="10" t="inlineStr">
        <is>
          <t>WOVEN</t>
        </is>
      </c>
      <c r="C762" s="10" t="inlineStr">
        <is>
          <t>VEHICLE INSURANCE</t>
        </is>
      </c>
      <c r="D762" s="10" t="inlineStr">
        <is>
          <t>VEHICLE INSURANCE</t>
        </is>
      </c>
      <c r="E762" s="10" t="inlineStr">
        <is>
          <t>YEARLY</t>
        </is>
      </c>
      <c r="F762" s="11" t="n">
        <v>45383</v>
      </c>
      <c r="G762" s="11" t="n">
        <v>45747</v>
      </c>
      <c r="H762" s="12">
        <f>IF(OR($F762="",$G762=""),"",$G762-$F762+1)</f>
        <v/>
      </c>
      <c r="I762" s="10">
        <f>IF($F762="","",IF(MONTH($F762)&gt;=4,YEAR($F762)&amp;"-"&amp;TEXT(YEAR($F762)+1-2000,"00"),YEAR($F762)-1&amp;"-"&amp;TEXT(YEAR($F762)-2000,"00")))</f>
        <v/>
      </c>
      <c r="J762" s="13" t="n">
        <v>80290</v>
      </c>
      <c r="K762" s="14">
        <f>IFERROR($L762/$J762,"")</f>
        <v/>
      </c>
      <c r="L762" s="13" t="n">
        <v>80290</v>
      </c>
      <c r="M762" s="13">
        <f>IFERROR($L762/$H762,"")</f>
        <v/>
      </c>
      <c r="N762" s="11" t="n">
        <v>45565</v>
      </c>
      <c r="O762" s="10">
        <f>IF($N762="","No","Yes")</f>
        <v/>
      </c>
      <c r="P762" s="12">
        <f>IF(OR($F762="",$G762=""),0,IF(AND($F762&lt;=README!$B$4,README!$B$4&lt;=$G762),1,0))</f>
        <v/>
      </c>
      <c r="Q762" s="12">
        <f>IF(OR($F762="",$G762=""),0,IF(AND($F762&lt;=DATE(README!$B$5,12,31),$G762&gt;=DATE(README!$B$5,1,1)),1,0))</f>
        <v/>
      </c>
      <c r="R762" s="10" t="inlineStr">
        <is>
          <t>GUT-VEH0012</t>
        </is>
      </c>
      <c r="S762" s="11" t="n">
        <v>45478</v>
      </c>
      <c r="T762" s="10" t="inlineStr">
        <is>
          <t>3</t>
        </is>
      </c>
      <c r="U762" s="10" t="inlineStr">
        <is>
          <t>VEHICLE</t>
        </is>
      </c>
      <c r="V762" s="10" t="inlineStr">
        <is>
          <t>T</t>
        </is>
      </c>
      <c r="W762" s="10" t="inlineStr">
        <is>
          <t>VIVEK B</t>
        </is>
      </c>
    </row>
    <row r="763">
      <c r="A763" s="10" t="inlineStr">
        <is>
          <t>TN58BL3434</t>
        </is>
      </c>
      <c r="B763" s="10" t="inlineStr">
        <is>
          <t>WOVEN</t>
        </is>
      </c>
      <c r="C763" s="10" t="inlineStr">
        <is>
          <t>VEHICLE OUTSIDE SERVICES</t>
        </is>
      </c>
      <c r="D763" s="10" t="inlineStr">
        <is>
          <t xml:space="preserve">MAINTENANCE SERVICE </t>
        </is>
      </c>
      <c r="E763" s="10" t="inlineStr">
        <is>
          <t>YEARLY</t>
        </is>
      </c>
      <c r="F763" s="11" t="n">
        <v>45383</v>
      </c>
      <c r="G763" s="11" t="n">
        <v>45747</v>
      </c>
      <c r="H763" s="12">
        <f>IF(OR($F763="",$G763=""),"",$G763-$F763+1)</f>
        <v/>
      </c>
      <c r="I763" s="10">
        <f>IF($F763="","",IF(MONTH($F763)&gt;=4,YEAR($F763)&amp;"-"&amp;TEXT(YEAR($F763)+1-2000,"00"),YEAR($F763)-1&amp;"-"&amp;TEXT(YEAR($F763)-2000,"00")))</f>
        <v/>
      </c>
      <c r="J763" s="13" t="n">
        <v>20297.29</v>
      </c>
      <c r="K763" s="14">
        <f>IFERROR($L763/$J763,"")</f>
        <v/>
      </c>
      <c r="L763" s="13" t="n">
        <v>20297.29</v>
      </c>
      <c r="M763" s="13">
        <f>IFERROR($L763/$H763,"")</f>
        <v/>
      </c>
      <c r="N763" s="11" t="n">
        <v>45605</v>
      </c>
      <c r="O763" s="10">
        <f>IF($N763="","No","Yes")</f>
        <v/>
      </c>
      <c r="P763" s="12">
        <f>IF(OR($F763="",$G763=""),0,IF(AND($F763&lt;=README!$B$4,README!$B$4&lt;=$G763),1,0))</f>
        <v/>
      </c>
      <c r="Q763" s="12">
        <f>IF(OR($F763="",$G763=""),0,IF(AND($F763&lt;=DATE(README!$B$5,12,31),$G763&gt;=DATE(README!$B$5,1,1)),1,0))</f>
        <v/>
      </c>
      <c r="R763" s="10" t="inlineStr">
        <is>
          <t>GUT-VEH0013</t>
        </is>
      </c>
      <c r="S763" s="11" t="n">
        <v>45527</v>
      </c>
      <c r="T763" s="10" t="inlineStr">
        <is>
          <t>3</t>
        </is>
      </c>
      <c r="U763" s="10" t="inlineStr">
        <is>
          <t>VEHICLE</t>
        </is>
      </c>
      <c r="V763" s="10" t="inlineStr">
        <is>
          <t>T</t>
        </is>
      </c>
      <c r="W763" s="10" t="inlineStr">
        <is>
          <t>VIVEK B</t>
        </is>
      </c>
    </row>
    <row r="764">
      <c r="A764" s="10" t="inlineStr">
        <is>
          <t>TN58BL3434</t>
        </is>
      </c>
      <c r="B764" s="10" t="inlineStr">
        <is>
          <t>WOVEN</t>
        </is>
      </c>
      <c r="C764" s="10" t="inlineStr">
        <is>
          <t>VEHICLE INSURANCE</t>
        </is>
      </c>
      <c r="D764" s="10" t="inlineStr">
        <is>
          <t>VEHICLE INSURANCE</t>
        </is>
      </c>
      <c r="E764" s="10" t="inlineStr">
        <is>
          <t>YEARLY</t>
        </is>
      </c>
      <c r="F764" s="11" t="n">
        <v>45748</v>
      </c>
      <c r="G764" s="11" t="n">
        <v>46112</v>
      </c>
      <c r="H764" s="12">
        <f>IF(OR($F764="",$G764=""),"",$G764-$F764+1)</f>
        <v/>
      </c>
      <c r="I764" s="10">
        <f>IF($F764="","",IF(MONTH($F764)&gt;=4,YEAR($F764)&amp;"-"&amp;TEXT(YEAR($F764)+1-2000,"00"),YEAR($F764)-1&amp;"-"&amp;TEXT(YEAR($F764)-2000,"00")))</f>
        <v/>
      </c>
      <c r="J764" s="13" t="n">
        <v>79218</v>
      </c>
      <c r="K764" s="14">
        <f>IFERROR($L764/$J764,"")</f>
        <v/>
      </c>
      <c r="L764" s="13" t="n">
        <v>79218</v>
      </c>
      <c r="M764" s="13">
        <f>IFERROR($L764/$H764,"")</f>
        <v/>
      </c>
      <c r="N764" s="11" t="n">
        <v>45930</v>
      </c>
      <c r="O764" s="10">
        <f>IF($N764="","No","Yes")</f>
        <v/>
      </c>
      <c r="P764" s="12">
        <f>IF(OR($F764="",$G764=""),0,IF(AND($F764&lt;=README!$B$4,README!$B$4&lt;=$G764),1,0))</f>
        <v/>
      </c>
      <c r="Q764" s="12">
        <f>IF(OR($F764="",$G764=""),0,IF(AND($F764&lt;=DATE(README!$B$5,12,31),$G764&gt;=DATE(README!$B$5,1,1)),1,0))</f>
        <v/>
      </c>
      <c r="R764" s="10" t="inlineStr">
        <is>
          <t>GUT-VEH0019</t>
        </is>
      </c>
      <c r="S764" s="11" t="n">
        <v>45799</v>
      </c>
      <c r="T764" s="10" t="inlineStr">
        <is>
          <t>5</t>
        </is>
      </c>
      <c r="U764" s="10" t="inlineStr">
        <is>
          <t>VEHICLE</t>
        </is>
      </c>
      <c r="V764" s="10" t="inlineStr">
        <is>
          <t>T</t>
        </is>
      </c>
      <c r="W764" s="10" t="inlineStr">
        <is>
          <t>VIVEK B</t>
        </is>
      </c>
    </row>
    <row r="765">
      <c r="A765" s="10" t="inlineStr">
        <is>
          <t>TN58BL3434</t>
        </is>
      </c>
      <c r="B765" s="10" t="inlineStr"/>
      <c r="C765" s="10" t="inlineStr">
        <is>
          <t>VEHICLE OUTSIDE SERVICES</t>
        </is>
      </c>
      <c r="D765" s="10" t="inlineStr">
        <is>
          <t>MAINTENANCE SERVICE - 2</t>
        </is>
      </c>
      <c r="E765" s="10" t="inlineStr">
        <is>
          <t>YEARLY</t>
        </is>
      </c>
      <c r="F765" s="11" t="n">
        <v>45748</v>
      </c>
      <c r="G765" s="11" t="n">
        <v>46112</v>
      </c>
      <c r="H765" s="12">
        <f>IF(OR($F765="",$G765=""),"",$G765-$F765+1)</f>
        <v/>
      </c>
      <c r="I765" s="10">
        <f>IF($F765="","",IF(MONTH($F765)&gt;=4,YEAR($F765)&amp;"-"&amp;TEXT(YEAR($F765)+1-2000,"00"),YEAR($F765)-1&amp;"-"&amp;TEXT(YEAR($F765)-2000,"00")))</f>
        <v/>
      </c>
      <c r="J765" s="13" t="n">
        <v>27726.27</v>
      </c>
      <c r="K765" s="14">
        <f>IFERROR($L765/$J765,"")</f>
        <v/>
      </c>
      <c r="L765" s="13" t="n">
        <v>27726.27</v>
      </c>
      <c r="M765" s="13">
        <f>IFERROR($L765/$H765,"")</f>
        <v/>
      </c>
      <c r="N765" s="11" t="n">
        <v>45961</v>
      </c>
      <c r="O765" s="10">
        <f>IF($N765="","No","Yes")</f>
        <v/>
      </c>
      <c r="P765" s="12">
        <f>IF(OR($F765="",$G765=""),0,IF(AND($F765&lt;=README!$B$4,README!$B$4&lt;=$G765),1,0))</f>
        <v/>
      </c>
      <c r="Q765" s="12">
        <f>IF(OR($F765="",$G765=""),0,IF(AND($F765&lt;=DATE(README!$B$5,12,31),$G765&gt;=DATE(README!$B$5,1,1)),1,0))</f>
        <v/>
      </c>
      <c r="R765" s="10" t="inlineStr">
        <is>
          <t>GUT-VEH0021</t>
        </is>
      </c>
      <c r="S765" s="11" t="n">
        <v>45812</v>
      </c>
      <c r="T765" s="10" t="inlineStr">
        <is>
          <t>5</t>
        </is>
      </c>
      <c r="U765" s="10" t="inlineStr">
        <is>
          <t>VEHICLE</t>
        </is>
      </c>
      <c r="V765" s="10" t="inlineStr">
        <is>
          <t>T</t>
        </is>
      </c>
      <c r="W765" s="10" t="inlineStr">
        <is>
          <t>VIVEK B</t>
        </is>
      </c>
    </row>
    <row r="766">
      <c r="A766" s="10" t="inlineStr">
        <is>
          <t>TN58BL3434</t>
        </is>
      </c>
      <c r="B766" s="10" t="inlineStr"/>
      <c r="C766" s="10" t="inlineStr">
        <is>
          <t>VEHICLE OUTSIDE SERVICES</t>
        </is>
      </c>
      <c r="D766" s="10" t="inlineStr">
        <is>
          <t xml:space="preserve">MAINTENANCE SERVICE </t>
        </is>
      </c>
      <c r="E766" s="10" t="inlineStr">
        <is>
          <t>YEARLY</t>
        </is>
      </c>
      <c r="F766" s="11" t="n">
        <v>45748</v>
      </c>
      <c r="G766" s="11" t="n">
        <v>46112</v>
      </c>
      <c r="H766" s="12">
        <f>IF(OR($F766="",$G766=""),"",$G766-$F766+1)</f>
        <v/>
      </c>
      <c r="I766" s="10">
        <f>IF($F766="","",IF(MONTH($F766)&gt;=4,YEAR($F766)&amp;"-"&amp;TEXT(YEAR($F766)+1-2000,"00"),YEAR($F766)-1&amp;"-"&amp;TEXT(YEAR($F766)-2000,"00")))</f>
        <v/>
      </c>
      <c r="J766" s="13" t="n">
        <v>1780</v>
      </c>
      <c r="K766" s="14">
        <f>IFERROR($L766/$J766,"")</f>
        <v/>
      </c>
      <c r="L766" s="13" t="n">
        <v>1780</v>
      </c>
      <c r="M766" s="13">
        <f>IFERROR($L766/$H766,"")</f>
        <v/>
      </c>
      <c r="N766" s="11" t="n">
        <v>45925</v>
      </c>
      <c r="O766" s="10">
        <f>IF($N766="","No","Yes")</f>
        <v/>
      </c>
      <c r="P766" s="12">
        <f>IF(OR($F766="",$G766=""),0,IF(AND($F766&lt;=README!$B$4,README!$B$4&lt;=$G766),1,0))</f>
        <v/>
      </c>
      <c r="Q766" s="12">
        <f>IF(OR($F766="",$G766=""),0,IF(AND($F766&lt;=DATE(README!$B$5,12,31),$G766&gt;=DATE(README!$B$5,1,1)),1,0))</f>
        <v/>
      </c>
      <c r="R766" s="10" t="inlineStr">
        <is>
          <t>GUT-VEH0021</t>
        </is>
      </c>
      <c r="S766" s="11" t="n">
        <v>45812</v>
      </c>
      <c r="T766" s="10" t="inlineStr">
        <is>
          <t>5</t>
        </is>
      </c>
      <c r="U766" s="10" t="inlineStr">
        <is>
          <t>VEHICLE</t>
        </is>
      </c>
      <c r="V766" s="10" t="inlineStr">
        <is>
          <t>T</t>
        </is>
      </c>
      <c r="W766" s="10" t="inlineStr">
        <is>
          <t>VIVEK B</t>
        </is>
      </c>
    </row>
    <row r="767">
      <c r="A767" s="10" t="inlineStr">
        <is>
          <t>TN58BL3434</t>
        </is>
      </c>
      <c r="B767" s="10" t="inlineStr">
        <is>
          <t>WOVEN</t>
        </is>
      </c>
      <c r="C767" s="10" t="inlineStr">
        <is>
          <t>ROAD TAX</t>
        </is>
      </c>
      <c r="D767" s="10" t="inlineStr">
        <is>
          <t>ROAD TAX</t>
        </is>
      </c>
      <c r="E767" s="10" t="inlineStr">
        <is>
          <t>QUARTER - IV</t>
        </is>
      </c>
      <c r="F767" s="11" t="n">
        <v>46023</v>
      </c>
      <c r="G767" s="11" t="n">
        <v>46112</v>
      </c>
      <c r="H767" s="12">
        <f>IF(OR($F767="",$G767=""),"",$G767-$F767+1)</f>
        <v/>
      </c>
      <c r="I767" s="10">
        <f>IF($F767="","",IF(MONTH($F767)&gt;=4,YEAR($F767)&amp;"-"&amp;TEXT(YEAR($F767)+1-2000,"00"),YEAR($F767)-1&amp;"-"&amp;TEXT(YEAR($F767)-2000,"00")))</f>
        <v/>
      </c>
      <c r="J767" s="13" t="n">
        <v>32734</v>
      </c>
      <c r="K767" s="14">
        <f>IFERROR($L767/$J767,"")</f>
        <v/>
      </c>
      <c r="L767" s="13" t="n">
        <v>32734</v>
      </c>
      <c r="M767" s="13">
        <f>IFERROR($L767/$H767,"")</f>
        <v/>
      </c>
      <c r="N767" s="11" t="n">
        <v>46065</v>
      </c>
      <c r="O767" s="10">
        <f>IF($N767="","No","Yes")</f>
        <v/>
      </c>
      <c r="P767" s="12">
        <f>IF(OR($F767="",$G767=""),0,IF(AND($F767&lt;=README!$B$4,README!$B$4&lt;=$G767),1,0))</f>
        <v/>
      </c>
      <c r="Q767" s="12">
        <f>IF(OR($F767="",$G767=""),0,IF(AND($F767&lt;=DATE(README!$B$5,12,31),$G767&gt;=DATE(README!$B$5,1,1)),1,0))</f>
        <v/>
      </c>
      <c r="R767" s="10" t="inlineStr">
        <is>
          <t>GUT-VEH0016</t>
        </is>
      </c>
      <c r="S767" s="11" t="n">
        <v>46023</v>
      </c>
      <c r="T767" s="10" t="inlineStr">
        <is>
          <t>5</t>
        </is>
      </c>
      <c r="U767" s="10" t="inlineStr">
        <is>
          <t>VEHICLE</t>
        </is>
      </c>
      <c r="V767" s="10" t="inlineStr">
        <is>
          <t>T</t>
        </is>
      </c>
      <c r="W767" s="10" t="inlineStr">
        <is>
          <t>VIVEK B</t>
        </is>
      </c>
    </row>
    <row r="768">
      <c r="A768" s="10" t="inlineStr">
        <is>
          <t>TN58BL3434</t>
        </is>
      </c>
      <c r="B768" s="10" t="inlineStr">
        <is>
          <t>WOVEN</t>
        </is>
      </c>
      <c r="C768" s="10" t="inlineStr">
        <is>
          <t>TYRE</t>
        </is>
      </c>
      <c r="D768" s="10" t="inlineStr">
        <is>
          <t>TYRE</t>
        </is>
      </c>
      <c r="E768" s="10" t="inlineStr">
        <is>
          <t>FEBRUARY</t>
        </is>
      </c>
      <c r="F768" s="11" t="n">
        <v>46054</v>
      </c>
      <c r="G768" s="11" t="n">
        <v>46081</v>
      </c>
      <c r="H768" s="12">
        <f>IF(OR($F768="",$G768=""),"",$G768-$F768+1)</f>
        <v/>
      </c>
      <c r="I768" s="10">
        <f>IF($F768="","",IF(MONTH($F768)&gt;=4,YEAR($F768)&amp;"-"&amp;TEXT(YEAR($F768)+1-2000,"00"),YEAR($F768)-1&amp;"-"&amp;TEXT(YEAR($F768)-2000,"00")))</f>
        <v/>
      </c>
      <c r="J768" s="13" t="n">
        <v>30300</v>
      </c>
      <c r="K768" s="14">
        <f>IFERROR($L768/$J768,"")</f>
        <v/>
      </c>
      <c r="L768" s="13" t="n">
        <v>30300</v>
      </c>
      <c r="M768" s="13">
        <f>IFERROR($L768/$H768,"")</f>
        <v/>
      </c>
      <c r="N768" s="11" t="n">
        <v>46072</v>
      </c>
      <c r="O768" s="10">
        <f>IF($N768="","No","Yes")</f>
        <v/>
      </c>
      <c r="P768" s="12">
        <f>IF(OR($F768="",$G768=""),0,IF(AND($F768&lt;=README!$B$4,README!$B$4&lt;=$G768),1,0))</f>
        <v/>
      </c>
      <c r="Q768" s="12">
        <f>IF(OR($F768="",$G768=""),0,IF(AND($F768&lt;=DATE(README!$B$5,12,31),$G768&gt;=DATE(README!$B$5,1,1)),1,0))</f>
        <v/>
      </c>
      <c r="R768" s="10" t="inlineStr">
        <is>
          <t>GUT-VEH0026</t>
        </is>
      </c>
      <c r="S768" s="11" t="n">
        <v>45957</v>
      </c>
      <c r="T768" s="10" t="inlineStr">
        <is>
          <t>5</t>
        </is>
      </c>
      <c r="U768" s="10" t="inlineStr">
        <is>
          <t>VEHICLE</t>
        </is>
      </c>
      <c r="V768" s="10" t="inlineStr">
        <is>
          <t>T</t>
        </is>
      </c>
      <c r="W768" s="10" t="inlineStr">
        <is>
          <t>VIVEK B</t>
        </is>
      </c>
    </row>
    <row r="769">
      <c r="A769" s="10" t="inlineStr">
        <is>
          <t>TN58BL3434</t>
        </is>
      </c>
      <c r="B769" s="10" t="inlineStr"/>
      <c r="C769" s="10" t="inlineStr">
        <is>
          <t>VEHICLE OUTSIDE SERVICES</t>
        </is>
      </c>
      <c r="D769" s="10" t="inlineStr">
        <is>
          <t>GLASS STICKERS</t>
        </is>
      </c>
      <c r="E769" s="10" t="inlineStr">
        <is>
          <t>MARCH</t>
        </is>
      </c>
      <c r="F769" s="11" t="n">
        <v>46082</v>
      </c>
      <c r="G769" s="11" t="n">
        <v>46112</v>
      </c>
      <c r="H769" s="12">
        <f>IF(OR($F769="",$G769=""),"",$G769-$F769+1)</f>
        <v/>
      </c>
      <c r="I769" s="10">
        <f>IF($F769="","",IF(MONTH($F769)&gt;=4,YEAR($F769)&amp;"-"&amp;TEXT(YEAR($F769)+1-2000,"00"),YEAR($F769)-1&amp;"-"&amp;TEXT(YEAR($F769)-2000,"00")))</f>
        <v/>
      </c>
      <c r="J769" s="13" t="n">
        <v>2100</v>
      </c>
      <c r="K769" s="14">
        <f>IFERROR($L769/$J769,"")</f>
        <v/>
      </c>
      <c r="L769" s="13" t="n">
        <v>2100</v>
      </c>
      <c r="M769" s="13">
        <f>IFERROR($L769/$H769,"")</f>
        <v/>
      </c>
      <c r="N769" s="11" t="n">
        <v>46104</v>
      </c>
      <c r="O769" s="10">
        <f>IF($N769="","No","Yes")</f>
        <v/>
      </c>
      <c r="P769" s="12">
        <f>IF(OR($F769="",$G769=""),0,IF(AND($F769&lt;=README!$B$4,README!$B$4&lt;=$G769),1,0))</f>
        <v/>
      </c>
      <c r="Q769" s="12">
        <f>IF(OR($F769="",$G769=""),0,IF(AND($F769&lt;=DATE(README!$B$5,12,31),$G769&gt;=DATE(README!$B$5,1,1)),1,0))</f>
        <v/>
      </c>
      <c r="R769" s="10" t="inlineStr">
        <is>
          <t>GUT-VEH0021</t>
        </is>
      </c>
      <c r="S769" s="11" t="n">
        <v>45812</v>
      </c>
      <c r="T769" s="10" t="inlineStr">
        <is>
          <t>5</t>
        </is>
      </c>
      <c r="U769" s="10" t="inlineStr">
        <is>
          <t>VEHICLE</t>
        </is>
      </c>
      <c r="V769" s="10" t="inlineStr">
        <is>
          <t>T</t>
        </is>
      </c>
      <c r="W769" s="10" t="inlineStr">
        <is>
          <t>VIVEK B</t>
        </is>
      </c>
    </row>
    <row r="770">
      <c r="A770" s="10" t="inlineStr">
        <is>
          <t>TN58BL3434</t>
        </is>
      </c>
      <c r="B770" s="10" t="inlineStr">
        <is>
          <t>WOVEN</t>
        </is>
      </c>
      <c r="C770" s="10" t="inlineStr">
        <is>
          <t>ROAD TAX</t>
        </is>
      </c>
      <c r="D770" s="10" t="inlineStr">
        <is>
          <t>ROAD TAX</t>
        </is>
      </c>
      <c r="E770" s="10" t="inlineStr">
        <is>
          <t>QUARTER - I</t>
        </is>
      </c>
      <c r="F770" s="11" t="n">
        <v>46113</v>
      </c>
      <c r="G770" s="11" t="n">
        <v>46203</v>
      </c>
      <c r="H770" s="12">
        <f>IF(OR($F770="",$G770=""),"",$G770-$F770+1)</f>
        <v/>
      </c>
      <c r="I770" s="10">
        <f>IF($F770="","",IF(MONTH($F770)&gt;=4,YEAR($F770)&amp;"-"&amp;TEXT(YEAR($F770)+1-2000,"00"),YEAR($F770)-1&amp;"-"&amp;TEXT(YEAR($F770)-2000,"00")))</f>
        <v/>
      </c>
      <c r="J770" s="13" t="n">
        <v>32734</v>
      </c>
      <c r="K770" s="14">
        <f>IFERROR($L770/$J770,"")</f>
        <v/>
      </c>
      <c r="L770" s="13" t="n">
        <v>32734</v>
      </c>
      <c r="M770" s="13">
        <f>IFERROR($L770/$H770,"")</f>
        <v/>
      </c>
      <c r="N770" s="11" t="n">
        <v>46088</v>
      </c>
      <c r="O770" s="10">
        <f>IF($N770="","No","Yes")</f>
        <v/>
      </c>
      <c r="P770" s="12">
        <f>IF(OR($F770="",$G770=""),0,IF(AND($F770&lt;=README!$B$4,README!$B$4&lt;=$G770),1,0))</f>
        <v/>
      </c>
      <c r="Q770" s="12">
        <f>IF(OR($F770="",$G770=""),0,IF(AND($F770&lt;=DATE(README!$B$5,12,31),$G770&gt;=DATE(README!$B$5,1,1)),1,0))</f>
        <v/>
      </c>
      <c r="R770" s="10" t="inlineStr">
        <is>
          <t>GUT-VEH0029</t>
        </is>
      </c>
      <c r="S770" s="11" t="n">
        <v>46087</v>
      </c>
      <c r="T770" s="10" t="inlineStr">
        <is>
          <t>5</t>
        </is>
      </c>
      <c r="U770" s="10" t="inlineStr">
        <is>
          <t>VEHICLE</t>
        </is>
      </c>
      <c r="V770" s="10" t="inlineStr">
        <is>
          <t>T</t>
        </is>
      </c>
      <c r="W770" s="10" t="inlineStr">
        <is>
          <t>VIVEK B</t>
        </is>
      </c>
    </row>
    <row r="771">
      <c r="A771" s="10" t="inlineStr">
        <is>
          <t>TN58BL3434</t>
        </is>
      </c>
      <c r="B771" s="10" t="inlineStr">
        <is>
          <t>WOVEN</t>
        </is>
      </c>
      <c r="C771" s="10" t="inlineStr">
        <is>
          <t>ROAD TAX</t>
        </is>
      </c>
      <c r="D771" s="10" t="inlineStr">
        <is>
          <t>ROAD TAX</t>
        </is>
      </c>
      <c r="E771" s="10" t="inlineStr">
        <is>
          <t>QUARTER - II</t>
        </is>
      </c>
      <c r="F771" s="11" t="n">
        <v>46204</v>
      </c>
      <c r="G771" s="11" t="n">
        <v>46295</v>
      </c>
      <c r="H771" s="12">
        <f>IF(OR($F771="",$G771=""),"",$G771-$F771+1)</f>
        <v/>
      </c>
      <c r="I771" s="10">
        <f>IF($F771="","",IF(MONTH($F771)&gt;=4,YEAR($F771)&amp;"-"&amp;TEXT(YEAR($F771)+1-2000,"00"),YEAR($F771)-1&amp;"-"&amp;TEXT(YEAR($F771)-2000,"00")))</f>
        <v/>
      </c>
      <c r="J771" s="13" t="n">
        <v>32734</v>
      </c>
      <c r="K771" s="14">
        <f>IFERROR($L771/$J771,"")</f>
        <v/>
      </c>
      <c r="L771" s="13" t="n">
        <v>32734</v>
      </c>
      <c r="M771" s="13">
        <f>IFERROR($L771/$H771,"")</f>
        <v/>
      </c>
      <c r="N771" s="11" t="n">
        <v>46196</v>
      </c>
      <c r="O771" s="10">
        <f>IF($N771="","No","Yes")</f>
        <v/>
      </c>
      <c r="P771" s="12">
        <f>IF(OR($F771="",$G771=""),0,IF(AND($F771&lt;=README!$B$4,README!$B$4&lt;=$G771),1,0))</f>
        <v/>
      </c>
      <c r="Q771" s="12">
        <f>IF(OR($F771="",$G771=""),0,IF(AND($F771&lt;=DATE(README!$B$5,12,31),$G771&gt;=DATE(README!$B$5,1,1)),1,0))</f>
        <v/>
      </c>
      <c r="R771" s="10" t="inlineStr">
        <is>
          <t>GUT-VEH0038</t>
        </is>
      </c>
      <c r="S771" s="11" t="n">
        <v>46193</v>
      </c>
      <c r="T771" s="10" t="inlineStr">
        <is>
          <t>5</t>
        </is>
      </c>
      <c r="U771" s="10" t="inlineStr">
        <is>
          <t>VEHICLE</t>
        </is>
      </c>
      <c r="V771" s="10" t="inlineStr">
        <is>
          <t>T</t>
        </is>
      </c>
      <c r="W771" s="10" t="inlineStr">
        <is>
          <t>VIVEK B</t>
        </is>
      </c>
    </row>
    <row r="772">
      <c r="A772" s="10" t="inlineStr">
        <is>
          <t>TN58BL3636</t>
        </is>
      </c>
      <c r="B772" s="10" t="inlineStr">
        <is>
          <t>SOCKS</t>
        </is>
      </c>
      <c r="C772" s="10" t="inlineStr">
        <is>
          <t>ADBLU</t>
        </is>
      </c>
      <c r="D772" s="10" t="inlineStr">
        <is>
          <t>ADBLU</t>
        </is>
      </c>
      <c r="E772" s="10" t="inlineStr">
        <is>
          <t>YEARLY</t>
        </is>
      </c>
      <c r="F772" s="11" t="n">
        <v>45383</v>
      </c>
      <c r="G772" s="11" t="n">
        <v>45747</v>
      </c>
      <c r="H772" s="12">
        <f>IF(OR($F772="",$G772=""),"",$G772-$F772+1)</f>
        <v/>
      </c>
      <c r="I772" s="10">
        <f>IF($F772="","",IF(MONTH($F772)&gt;=4,YEAR($F772)&amp;"-"&amp;TEXT(YEAR($F772)+1-2000,"00"),YEAR($F772)-1&amp;"-"&amp;TEXT(YEAR($F772)-2000,"00")))</f>
        <v/>
      </c>
      <c r="J772" s="13" t="n">
        <v>61</v>
      </c>
      <c r="K772" s="14">
        <f>IFERROR($L772/$J772,"")</f>
        <v/>
      </c>
      <c r="L772" s="13" t="n">
        <v>2196</v>
      </c>
      <c r="M772" s="13">
        <f>IFERROR($L772/$H772,"")</f>
        <v/>
      </c>
      <c r="N772" s="11" t="n">
        <v>45479</v>
      </c>
      <c r="O772" s="10">
        <f>IF($N772="","No","Yes")</f>
        <v/>
      </c>
      <c r="P772" s="12">
        <f>IF(OR($F772="",$G772=""),0,IF(AND($F772&lt;=README!$B$4,README!$B$4&lt;=$G772),1,0))</f>
        <v/>
      </c>
      <c r="Q772" s="12">
        <f>IF(OR($F772="",$G772=""),0,IF(AND($F772&lt;=DATE(README!$B$5,12,31),$G772&gt;=DATE(README!$B$5,1,1)),1,0))</f>
        <v/>
      </c>
      <c r="R772" s="10" t="inlineStr">
        <is>
          <t>GUP-VEH0008</t>
        </is>
      </c>
      <c r="S772" s="11" t="n">
        <v>45461</v>
      </c>
      <c r="T772" s="10" t="inlineStr">
        <is>
          <t>541</t>
        </is>
      </c>
      <c r="U772" s="10" t="inlineStr">
        <is>
          <t>VEHICLE</t>
        </is>
      </c>
      <c r="V772" s="10" t="inlineStr">
        <is>
          <t>T</t>
        </is>
      </c>
      <c r="W772" s="10" t="inlineStr">
        <is>
          <t>VIVEK B</t>
        </is>
      </c>
    </row>
    <row r="773">
      <c r="A773" s="10" t="inlineStr">
        <is>
          <t>TN58BL3636</t>
        </is>
      </c>
      <c r="B773" s="10" t="inlineStr">
        <is>
          <t>SOCKS</t>
        </is>
      </c>
      <c r="C773" s="10" t="inlineStr">
        <is>
          <t>ADBLU</t>
        </is>
      </c>
      <c r="D773" s="10" t="inlineStr">
        <is>
          <t>ADBLU</t>
        </is>
      </c>
      <c r="E773" s="10" t="inlineStr">
        <is>
          <t>YEARLY</t>
        </is>
      </c>
      <c r="F773" s="11" t="n">
        <v>45383</v>
      </c>
      <c r="G773" s="11" t="n">
        <v>45747</v>
      </c>
      <c r="H773" s="12">
        <f>IF(OR($F773="",$G773=""),"",$G773-$F773+1)</f>
        <v/>
      </c>
      <c r="I773" s="10">
        <f>IF($F773="","",IF(MONTH($F773)&gt;=4,YEAR($F773)&amp;"-"&amp;TEXT(YEAR($F773)+1-2000,"00"),YEAR($F773)-1&amp;"-"&amp;TEXT(YEAR($F773)-2000,"00")))</f>
        <v/>
      </c>
      <c r="J773" s="13" t="n">
        <v>61</v>
      </c>
      <c r="K773" s="14">
        <f>IFERROR($L773/$J773,"")</f>
        <v/>
      </c>
      <c r="L773" s="13" t="n">
        <v>2562</v>
      </c>
      <c r="M773" s="13">
        <f>IFERROR($L773/$H773,"")</f>
        <v/>
      </c>
      <c r="N773" s="11" t="n">
        <v>45623</v>
      </c>
      <c r="O773" s="10">
        <f>IF($N773="","No","Yes")</f>
        <v/>
      </c>
      <c r="P773" s="12">
        <f>IF(OR($F773="",$G773=""),0,IF(AND($F773&lt;=README!$B$4,README!$B$4&lt;=$G773),1,0))</f>
        <v/>
      </c>
      <c r="Q773" s="12">
        <f>IF(OR($F773="",$G773=""),0,IF(AND($F773&lt;=DATE(README!$B$5,12,31),$G773&gt;=DATE(README!$B$5,1,1)),1,0))</f>
        <v/>
      </c>
      <c r="R773" s="10" t="inlineStr">
        <is>
          <t>GUP-VEH0008</t>
        </is>
      </c>
      <c r="S773" s="11" t="n">
        <v>45461</v>
      </c>
      <c r="T773" s="10" t="inlineStr">
        <is>
          <t>541</t>
        </is>
      </c>
      <c r="U773" s="10" t="inlineStr">
        <is>
          <t>VEHICLE</t>
        </is>
      </c>
      <c r="V773" s="10" t="inlineStr">
        <is>
          <t>T</t>
        </is>
      </c>
      <c r="W773" s="10" t="inlineStr">
        <is>
          <t>VIVEK B</t>
        </is>
      </c>
    </row>
    <row r="774">
      <c r="A774" s="10" t="inlineStr">
        <is>
          <t>TN58BL3636</t>
        </is>
      </c>
      <c r="B774" s="10" t="inlineStr">
        <is>
          <t>SOCKS</t>
        </is>
      </c>
      <c r="C774" s="10" t="inlineStr">
        <is>
          <t>ADBLU</t>
        </is>
      </c>
      <c r="D774" s="10" t="inlineStr">
        <is>
          <t>ADBLU</t>
        </is>
      </c>
      <c r="E774" s="10" t="inlineStr">
        <is>
          <t>YEARLY</t>
        </is>
      </c>
      <c r="F774" s="11" t="n">
        <v>45383</v>
      </c>
      <c r="G774" s="11" t="n">
        <v>45747</v>
      </c>
      <c r="H774" s="12">
        <f>IF(OR($F774="",$G774=""),"",$G774-$F774+1)</f>
        <v/>
      </c>
      <c r="I774" s="10">
        <f>IF($F774="","",IF(MONTH($F774)&gt;=4,YEAR($F774)&amp;"-"&amp;TEXT(YEAR($F774)+1-2000,"00"),YEAR($F774)-1&amp;"-"&amp;TEXT(YEAR($F774)-2000,"00")))</f>
        <v/>
      </c>
      <c r="J774" s="13" t="n">
        <v>61</v>
      </c>
      <c r="K774" s="14">
        <f>IFERROR($L774/$J774,"")</f>
        <v/>
      </c>
      <c r="L774" s="13" t="n">
        <v>2440</v>
      </c>
      <c r="M774" s="13">
        <f>IFERROR($L774/$H774,"")</f>
        <v/>
      </c>
      <c r="N774" s="11" t="n">
        <v>45700</v>
      </c>
      <c r="O774" s="10">
        <f>IF($N774="","No","Yes")</f>
        <v/>
      </c>
      <c r="P774" s="12">
        <f>IF(OR($F774="",$G774=""),0,IF(AND($F774&lt;=README!$B$4,README!$B$4&lt;=$G774),1,0))</f>
        <v/>
      </c>
      <c r="Q774" s="12">
        <f>IF(OR($F774="",$G774=""),0,IF(AND($F774&lt;=DATE(README!$B$5,12,31),$G774&gt;=DATE(README!$B$5,1,1)),1,0))</f>
        <v/>
      </c>
      <c r="R774" s="10" t="inlineStr">
        <is>
          <t>GUP-VEH0008</t>
        </is>
      </c>
      <c r="S774" s="11" t="n">
        <v>45461</v>
      </c>
      <c r="T774" s="10" t="inlineStr">
        <is>
          <t>541</t>
        </is>
      </c>
      <c r="U774" s="10" t="inlineStr">
        <is>
          <t>VEHICLE</t>
        </is>
      </c>
      <c r="V774" s="10" t="inlineStr">
        <is>
          <t>T</t>
        </is>
      </c>
      <c r="W774" s="10" t="inlineStr">
        <is>
          <t>VIVEK B</t>
        </is>
      </c>
    </row>
    <row r="775">
      <c r="A775" s="10" t="inlineStr">
        <is>
          <t>TN58BL3636</t>
        </is>
      </c>
      <c r="B775" s="10" t="inlineStr">
        <is>
          <t>SOCKS</t>
        </is>
      </c>
      <c r="C775" s="10" t="inlineStr">
        <is>
          <t>ADBLU</t>
        </is>
      </c>
      <c r="D775" s="10" t="inlineStr">
        <is>
          <t>ADBLU</t>
        </is>
      </c>
      <c r="E775" s="10" t="inlineStr">
        <is>
          <t>YEARLY</t>
        </is>
      </c>
      <c r="F775" s="11" t="n">
        <v>45383</v>
      </c>
      <c r="G775" s="11" t="n">
        <v>45747</v>
      </c>
      <c r="H775" s="12">
        <f>IF(OR($F775="",$G775=""),"",$G775-$F775+1)</f>
        <v/>
      </c>
      <c r="I775" s="10">
        <f>IF($F775="","",IF(MONTH($F775)&gt;=4,YEAR($F775)&amp;"-"&amp;TEXT(YEAR($F775)+1-2000,"00"),YEAR($F775)-1&amp;"-"&amp;TEXT(YEAR($F775)-2000,"00")))</f>
        <v/>
      </c>
      <c r="J775" s="13" t="n">
        <v>61</v>
      </c>
      <c r="K775" s="14">
        <f>IFERROR($L775/$J775,"")</f>
        <v/>
      </c>
      <c r="L775" s="13" t="n">
        <v>2440</v>
      </c>
      <c r="M775" s="13">
        <f>IFERROR($L775/$H775,"")</f>
        <v/>
      </c>
      <c r="N775" s="11" t="n">
        <v>45700</v>
      </c>
      <c r="O775" s="10">
        <f>IF($N775="","No","Yes")</f>
        <v/>
      </c>
      <c r="P775" s="12">
        <f>IF(OR($F775="",$G775=""),0,IF(AND($F775&lt;=README!$B$4,README!$B$4&lt;=$G775),1,0))</f>
        <v/>
      </c>
      <c r="Q775" s="12">
        <f>IF(OR($F775="",$G775=""),0,IF(AND($F775&lt;=DATE(README!$B$5,12,31),$G775&gt;=DATE(README!$B$5,1,1)),1,0))</f>
        <v/>
      </c>
      <c r="R775" s="10" t="inlineStr">
        <is>
          <t>GUP-VEH0008</t>
        </is>
      </c>
      <c r="S775" s="11" t="n">
        <v>45461</v>
      </c>
      <c r="T775" s="10" t="inlineStr">
        <is>
          <t>541</t>
        </is>
      </c>
      <c r="U775" s="10" t="inlineStr">
        <is>
          <t>VEHICLE</t>
        </is>
      </c>
      <c r="V775" s="10" t="inlineStr">
        <is>
          <t>T</t>
        </is>
      </c>
      <c r="W775" s="10" t="inlineStr">
        <is>
          <t>VIVEK B</t>
        </is>
      </c>
    </row>
    <row r="776">
      <c r="A776" s="10" t="inlineStr">
        <is>
          <t>TN58BL3636</t>
        </is>
      </c>
      <c r="B776" s="10" t="inlineStr">
        <is>
          <t>SOCKS</t>
        </is>
      </c>
      <c r="C776" s="10" t="inlineStr">
        <is>
          <t>ADBLU</t>
        </is>
      </c>
      <c r="D776" s="10" t="inlineStr">
        <is>
          <t>ADBLU</t>
        </is>
      </c>
      <c r="E776" s="10" t="inlineStr">
        <is>
          <t>YEARLY</t>
        </is>
      </c>
      <c r="F776" s="11" t="n">
        <v>45383</v>
      </c>
      <c r="G776" s="11" t="n">
        <v>45747</v>
      </c>
      <c r="H776" s="12">
        <f>IF(OR($F776="",$G776=""),"",$G776-$F776+1)</f>
        <v/>
      </c>
      <c r="I776" s="10">
        <f>IF($F776="","",IF(MONTH($F776)&gt;=4,YEAR($F776)&amp;"-"&amp;TEXT(YEAR($F776)+1-2000,"00"),YEAR($F776)-1&amp;"-"&amp;TEXT(YEAR($F776)-2000,"00")))</f>
        <v/>
      </c>
      <c r="J776" s="13" t="n">
        <v>61</v>
      </c>
      <c r="K776" s="14">
        <f>IFERROR($L776/$J776,"")</f>
        <v/>
      </c>
      <c r="L776" s="13" t="n">
        <v>2562</v>
      </c>
      <c r="M776" s="13">
        <f>IFERROR($L776/$H776,"")</f>
        <v/>
      </c>
      <c r="N776" s="11" t="n">
        <v>45602</v>
      </c>
      <c r="O776" s="10">
        <f>IF($N776="","No","Yes")</f>
        <v/>
      </c>
      <c r="P776" s="12">
        <f>IF(OR($F776="",$G776=""),0,IF(AND($F776&lt;=README!$B$4,README!$B$4&lt;=$G776),1,0))</f>
        <v/>
      </c>
      <c r="Q776" s="12">
        <f>IF(OR($F776="",$G776=""),0,IF(AND($F776&lt;=DATE(README!$B$5,12,31),$G776&gt;=DATE(README!$B$5,1,1)),1,0))</f>
        <v/>
      </c>
      <c r="R776" s="10" t="inlineStr">
        <is>
          <t>GUP-VEH0008</t>
        </is>
      </c>
      <c r="S776" s="11" t="n">
        <v>45461</v>
      </c>
      <c r="T776" s="10" t="inlineStr">
        <is>
          <t>541</t>
        </is>
      </c>
      <c r="U776" s="10" t="inlineStr">
        <is>
          <t>VEHICLE</t>
        </is>
      </c>
      <c r="V776" s="10" t="inlineStr">
        <is>
          <t>T</t>
        </is>
      </c>
      <c r="W776" s="10" t="inlineStr">
        <is>
          <t>VIVEK B</t>
        </is>
      </c>
    </row>
    <row r="777">
      <c r="A777" s="10" t="inlineStr">
        <is>
          <t>TN58BL3636</t>
        </is>
      </c>
      <c r="B777" s="10" t="inlineStr">
        <is>
          <t>SOCKS</t>
        </is>
      </c>
      <c r="C777" s="10" t="inlineStr">
        <is>
          <t>ROAD TAX</t>
        </is>
      </c>
      <c r="D777" s="10" t="inlineStr">
        <is>
          <t>ROAD TAX</t>
        </is>
      </c>
      <c r="E777" s="10" t="inlineStr">
        <is>
          <t>YEARLY</t>
        </is>
      </c>
      <c r="F777" s="11" t="n">
        <v>45383</v>
      </c>
      <c r="G777" s="11" t="n">
        <v>45747</v>
      </c>
      <c r="H777" s="12">
        <f>IF(OR($F777="",$G777=""),"",$G777-$F777+1)</f>
        <v/>
      </c>
      <c r="I777" s="10">
        <f>IF($F777="","",IF(MONTH($F777)&gt;=4,YEAR($F777)&amp;"-"&amp;TEXT(YEAR($F777)+1-2000,"00"),YEAR($F777)-1&amp;"-"&amp;TEXT(YEAR($F777)-2000,"00")))</f>
        <v/>
      </c>
      <c r="J777" s="13" t="n">
        <v>32724</v>
      </c>
      <c r="K777" s="14">
        <f>IFERROR($L777/$J777,"")</f>
        <v/>
      </c>
      <c r="L777" s="13" t="n">
        <v>32724</v>
      </c>
      <c r="M777" s="13">
        <f>IFERROR($L777/$H777,"")</f>
        <v/>
      </c>
      <c r="N777" s="11" t="n">
        <v>45649</v>
      </c>
      <c r="O777" s="10">
        <f>IF($N777="","No","Yes")</f>
        <v/>
      </c>
      <c r="P777" s="12">
        <f>IF(OR($F777="",$G777=""),0,IF(AND($F777&lt;=README!$B$4,README!$B$4&lt;=$G777),1,0))</f>
        <v/>
      </c>
      <c r="Q777" s="12">
        <f>IF(OR($F777="",$G777=""),0,IF(AND($F777&lt;=DATE(README!$B$5,12,31),$G777&gt;=DATE(README!$B$5,1,1)),1,0))</f>
        <v/>
      </c>
      <c r="R777" s="10" t="inlineStr">
        <is>
          <t>GUP-VEH0011</t>
        </is>
      </c>
      <c r="S777" s="11" t="n">
        <v>45477</v>
      </c>
      <c r="T777" s="10" t="inlineStr">
        <is>
          <t>548</t>
        </is>
      </c>
      <c r="U777" s="10" t="inlineStr">
        <is>
          <t>VEHICLE</t>
        </is>
      </c>
      <c r="V777" s="10" t="inlineStr">
        <is>
          <t>T</t>
        </is>
      </c>
      <c r="W777" s="10" t="inlineStr">
        <is>
          <t>VIVEK B</t>
        </is>
      </c>
    </row>
    <row r="778">
      <c r="A778" s="10" t="inlineStr">
        <is>
          <t>TN58BL3636</t>
        </is>
      </c>
      <c r="B778" s="10" t="inlineStr">
        <is>
          <t>SOCKS</t>
        </is>
      </c>
      <c r="C778" s="10" t="inlineStr">
        <is>
          <t>ROAD TAX</t>
        </is>
      </c>
      <c r="D778" s="10" t="inlineStr">
        <is>
          <t>ROAD TAX</t>
        </is>
      </c>
      <c r="E778" s="10" t="inlineStr">
        <is>
          <t>YEARLY</t>
        </is>
      </c>
      <c r="F778" s="11" t="n">
        <v>45383</v>
      </c>
      <c r="G778" s="11" t="n">
        <v>45747</v>
      </c>
      <c r="H778" s="12">
        <f>IF(OR($F778="",$G778=""),"",$G778-$F778+1)</f>
        <v/>
      </c>
      <c r="I778" s="10">
        <f>IF($F778="","",IF(MONTH($F778)&gt;=4,YEAR($F778)&amp;"-"&amp;TEXT(YEAR($F778)+1-2000,"00"),YEAR($F778)-1&amp;"-"&amp;TEXT(YEAR($F778)-2000,"00")))</f>
        <v/>
      </c>
      <c r="J778" s="13" t="n">
        <v>32724</v>
      </c>
      <c r="K778" s="14">
        <f>IFERROR($L778/$J778,"")</f>
        <v/>
      </c>
      <c r="L778" s="13" t="n">
        <v>32724</v>
      </c>
      <c r="M778" s="13">
        <f>IFERROR($L778/$H778,"")</f>
        <v/>
      </c>
      <c r="N778" s="11" t="n">
        <v>45569</v>
      </c>
      <c r="O778" s="10">
        <f>IF($N778="","No","Yes")</f>
        <v/>
      </c>
      <c r="P778" s="12">
        <f>IF(OR($F778="",$G778=""),0,IF(AND($F778&lt;=README!$B$4,README!$B$4&lt;=$G778),1,0))</f>
        <v/>
      </c>
      <c r="Q778" s="12">
        <f>IF(OR($F778="",$G778=""),0,IF(AND($F778&lt;=DATE(README!$B$5,12,31),$G778&gt;=DATE(README!$B$5,1,1)),1,0))</f>
        <v/>
      </c>
      <c r="R778" s="10" t="inlineStr">
        <is>
          <t>GUP-VEH0011</t>
        </is>
      </c>
      <c r="S778" s="11" t="n">
        <v>45477</v>
      </c>
      <c r="T778" s="10" t="inlineStr">
        <is>
          <t>548</t>
        </is>
      </c>
      <c r="U778" s="10" t="inlineStr">
        <is>
          <t>VEHICLE</t>
        </is>
      </c>
      <c r="V778" s="10" t="inlineStr">
        <is>
          <t>T</t>
        </is>
      </c>
      <c r="W778" s="10" t="inlineStr">
        <is>
          <t>VIVEK B</t>
        </is>
      </c>
    </row>
    <row r="779">
      <c r="A779" s="10" t="inlineStr">
        <is>
          <t>TN58BL3636</t>
        </is>
      </c>
      <c r="B779" s="10" t="inlineStr">
        <is>
          <t>SOCKS</t>
        </is>
      </c>
      <c r="C779" s="10" t="inlineStr">
        <is>
          <t>ROAD TAX</t>
        </is>
      </c>
      <c r="D779" s="10" t="inlineStr">
        <is>
          <t>ROAD TAX</t>
        </is>
      </c>
      <c r="E779" s="10" t="inlineStr">
        <is>
          <t>YEARLY</t>
        </is>
      </c>
      <c r="F779" s="11" t="n">
        <v>45383</v>
      </c>
      <c r="G779" s="11" t="n">
        <v>45747</v>
      </c>
      <c r="H779" s="12">
        <f>IF(OR($F779="",$G779=""),"",$G779-$F779+1)</f>
        <v/>
      </c>
      <c r="I779" s="10">
        <f>IF($F779="","",IF(MONTH($F779)&gt;=4,YEAR($F779)&amp;"-"&amp;TEXT(YEAR($F779)+1-2000,"00"),YEAR($F779)-1&amp;"-"&amp;TEXT(YEAR($F779)-2000,"00")))</f>
        <v/>
      </c>
      <c r="J779" s="13" t="n">
        <v>32724</v>
      </c>
      <c r="K779" s="14">
        <f>IFERROR($L779/$J779,"")</f>
        <v/>
      </c>
      <c r="L779" s="13" t="n">
        <v>32724</v>
      </c>
      <c r="M779" s="13">
        <f>IFERROR($L779/$H779,"")</f>
        <v/>
      </c>
      <c r="N779" s="11" t="n">
        <v>45481</v>
      </c>
      <c r="O779" s="10">
        <f>IF($N779="","No","Yes")</f>
        <v/>
      </c>
      <c r="P779" s="12">
        <f>IF(OR($F779="",$G779=""),0,IF(AND($F779&lt;=README!$B$4,README!$B$4&lt;=$G779),1,0))</f>
        <v/>
      </c>
      <c r="Q779" s="12">
        <f>IF(OR($F779="",$G779=""),0,IF(AND($F779&lt;=DATE(README!$B$5,12,31),$G779&gt;=DATE(README!$B$5,1,1)),1,0))</f>
        <v/>
      </c>
      <c r="R779" s="10" t="inlineStr">
        <is>
          <t>GUP-VEH0011</t>
        </is>
      </c>
      <c r="S779" s="11" t="n">
        <v>45477</v>
      </c>
      <c r="T779" s="10" t="inlineStr">
        <is>
          <t>548</t>
        </is>
      </c>
      <c r="U779" s="10" t="inlineStr">
        <is>
          <t>VEHICLE</t>
        </is>
      </c>
      <c r="V779" s="10" t="inlineStr">
        <is>
          <t>T</t>
        </is>
      </c>
      <c r="W779" s="10" t="inlineStr">
        <is>
          <t>VIVEK B</t>
        </is>
      </c>
    </row>
    <row r="780">
      <c r="A780" s="10" t="inlineStr">
        <is>
          <t>TN58BL3636</t>
        </is>
      </c>
      <c r="B780" s="10" t="inlineStr">
        <is>
          <t>SOCKS</t>
        </is>
      </c>
      <c r="C780" s="10" t="inlineStr">
        <is>
          <t>TYRE</t>
        </is>
      </c>
      <c r="D780" s="10" t="inlineStr">
        <is>
          <t>TYRE - 2</t>
        </is>
      </c>
      <c r="E780" s="10" t="inlineStr">
        <is>
          <t>YEARLY</t>
        </is>
      </c>
      <c r="F780" s="11" t="n">
        <v>45383</v>
      </c>
      <c r="G780" s="11" t="n">
        <v>45747</v>
      </c>
      <c r="H780" s="12">
        <f>IF(OR($F780="",$G780=""),"",$G780-$F780+1)</f>
        <v/>
      </c>
      <c r="I780" s="10">
        <f>IF($F780="","",IF(MONTH($F780)&gt;=4,YEAR($F780)&amp;"-"&amp;TEXT(YEAR($F780)+1-2000,"00"),YEAR($F780)-1&amp;"-"&amp;TEXT(YEAR($F780)-2000,"00")))</f>
        <v/>
      </c>
      <c r="J780" s="13" t="n">
        <v>30200</v>
      </c>
      <c r="K780" s="14">
        <f>IFERROR($L780/$J780,"")</f>
        <v/>
      </c>
      <c r="L780" s="13" t="n">
        <v>30200</v>
      </c>
      <c r="M780" s="13">
        <f>IFERROR($L780/$H780,"")</f>
        <v/>
      </c>
      <c r="N780" s="11" t="n">
        <v>45652</v>
      </c>
      <c r="O780" s="10">
        <f>IF($N780="","No","Yes")</f>
        <v/>
      </c>
      <c r="P780" s="12">
        <f>IF(OR($F780="",$G780=""),0,IF(AND($F780&lt;=README!$B$4,README!$B$4&lt;=$G780),1,0))</f>
        <v/>
      </c>
      <c r="Q780" s="12">
        <f>IF(OR($F780="",$G780=""),0,IF(AND($F780&lt;=DATE(README!$B$5,12,31),$G780&gt;=DATE(README!$B$5,1,1)),1,0))</f>
        <v/>
      </c>
      <c r="R780" s="10" t="inlineStr">
        <is>
          <t>GUP-VEH0006</t>
        </is>
      </c>
      <c r="S780" s="11" t="n">
        <v>45442</v>
      </c>
      <c r="T780" s="10" t="inlineStr">
        <is>
          <t>522</t>
        </is>
      </c>
      <c r="U780" s="10" t="inlineStr">
        <is>
          <t>VEHICLE</t>
        </is>
      </c>
      <c r="V780" s="10" t="inlineStr">
        <is>
          <t>T</t>
        </is>
      </c>
      <c r="W780" s="10" t="inlineStr">
        <is>
          <t>VIVEK B</t>
        </is>
      </c>
    </row>
    <row r="781">
      <c r="A781" s="10" t="inlineStr">
        <is>
          <t>TN58BL3636</t>
        </is>
      </c>
      <c r="B781" s="10" t="inlineStr">
        <is>
          <t>SOCKS</t>
        </is>
      </c>
      <c r="C781" s="10" t="inlineStr">
        <is>
          <t>TYRE</t>
        </is>
      </c>
      <c r="D781" s="10" t="inlineStr">
        <is>
          <t>TYRE</t>
        </is>
      </c>
      <c r="E781" s="10" t="inlineStr">
        <is>
          <t>YEARLY</t>
        </is>
      </c>
      <c r="F781" s="11" t="n">
        <v>45383</v>
      </c>
      <c r="G781" s="11" t="n">
        <v>45747</v>
      </c>
      <c r="H781" s="12">
        <f>IF(OR($F781="",$G781=""),"",$G781-$F781+1)</f>
        <v/>
      </c>
      <c r="I781" s="10">
        <f>IF($F781="","",IF(MONTH($F781)&gt;=4,YEAR($F781)&amp;"-"&amp;TEXT(YEAR($F781)+1-2000,"00"),YEAR($F781)-1&amp;"-"&amp;TEXT(YEAR($F781)-2000,"00")))</f>
        <v/>
      </c>
      <c r="J781" s="13" t="n">
        <v>30200</v>
      </c>
      <c r="K781" s="14">
        <f>IFERROR($L781/$J781,"")</f>
        <v/>
      </c>
      <c r="L781" s="13" t="n">
        <v>30200</v>
      </c>
      <c r="M781" s="13">
        <f>IFERROR($L781/$H781,"")</f>
        <v/>
      </c>
      <c r="N781" s="11" t="n">
        <v>45443</v>
      </c>
      <c r="O781" s="10">
        <f>IF($N781="","No","Yes")</f>
        <v/>
      </c>
      <c r="P781" s="12">
        <f>IF(OR($F781="",$G781=""),0,IF(AND($F781&lt;=README!$B$4,README!$B$4&lt;=$G781),1,0))</f>
        <v/>
      </c>
      <c r="Q781" s="12">
        <f>IF(OR($F781="",$G781=""),0,IF(AND($F781&lt;=DATE(README!$B$5,12,31),$G781&gt;=DATE(README!$B$5,1,1)),1,0))</f>
        <v/>
      </c>
      <c r="R781" s="10" t="inlineStr">
        <is>
          <t>GUP-VEH0006</t>
        </is>
      </c>
      <c r="S781" s="11" t="n">
        <v>45442</v>
      </c>
      <c r="T781" s="10" t="inlineStr">
        <is>
          <t>522</t>
        </is>
      </c>
      <c r="U781" s="10" t="inlineStr">
        <is>
          <t>VEHICLE</t>
        </is>
      </c>
      <c r="V781" s="10" t="inlineStr">
        <is>
          <t>T</t>
        </is>
      </c>
      <c r="W781" s="10" t="inlineStr">
        <is>
          <t>VIVEK B</t>
        </is>
      </c>
    </row>
    <row r="782">
      <c r="A782" s="10" t="inlineStr">
        <is>
          <t>TN58BL3636</t>
        </is>
      </c>
      <c r="B782" s="10" t="inlineStr">
        <is>
          <t>SOCKS</t>
        </is>
      </c>
      <c r="C782" s="10" t="inlineStr">
        <is>
          <t>VEHICLE INSURANCE</t>
        </is>
      </c>
      <c r="D782" s="10" t="inlineStr">
        <is>
          <t>VEHICLE INSURANCE</t>
        </is>
      </c>
      <c r="E782" s="10" t="inlineStr">
        <is>
          <t>YEARLY</t>
        </is>
      </c>
      <c r="F782" s="11" t="n">
        <v>45383</v>
      </c>
      <c r="G782" s="11" t="n">
        <v>45747</v>
      </c>
      <c r="H782" s="12">
        <f>IF(OR($F782="",$G782=""),"",$G782-$F782+1)</f>
        <v/>
      </c>
      <c r="I782" s="10">
        <f>IF($F782="","",IF(MONTH($F782)&gt;=4,YEAR($F782)&amp;"-"&amp;TEXT(YEAR($F782)+1-2000,"00"),YEAR($F782)-1&amp;"-"&amp;TEXT(YEAR($F782)-2000,"00")))</f>
        <v/>
      </c>
      <c r="J782" s="13" t="n">
        <v>79453</v>
      </c>
      <c r="K782" s="14">
        <f>IFERROR($L782/$J782,"")</f>
        <v/>
      </c>
      <c r="L782" s="13" t="n">
        <v>79453</v>
      </c>
      <c r="M782" s="13">
        <f>IFERROR($L782/$H782,"")</f>
        <v/>
      </c>
      <c r="N782" s="11" t="n">
        <v>45632</v>
      </c>
      <c r="O782" s="10">
        <f>IF($N782="","No","Yes")</f>
        <v/>
      </c>
      <c r="P782" s="12">
        <f>IF(OR($F782="",$G782=""),0,IF(AND($F782&lt;=README!$B$4,README!$B$4&lt;=$G782),1,0))</f>
        <v/>
      </c>
      <c r="Q782" s="12">
        <f>IF(OR($F782="",$G782=""),0,IF(AND($F782&lt;=DATE(README!$B$5,12,31),$G782&gt;=DATE(README!$B$5,1,1)),1,0))</f>
        <v/>
      </c>
      <c r="R782" s="10" t="inlineStr">
        <is>
          <t>GUP-VEH0013</t>
        </is>
      </c>
      <c r="S782" s="11" t="n">
        <v>45478</v>
      </c>
      <c r="T782" s="10" t="inlineStr">
        <is>
          <t>550</t>
        </is>
      </c>
      <c r="U782" s="10" t="inlineStr">
        <is>
          <t>VEHICLE</t>
        </is>
      </c>
      <c r="V782" s="10" t="inlineStr">
        <is>
          <t>T</t>
        </is>
      </c>
      <c r="W782" s="10" t="inlineStr">
        <is>
          <t>VIVEK B</t>
        </is>
      </c>
    </row>
    <row r="783">
      <c r="A783" s="10" t="inlineStr">
        <is>
          <t>TN58BL3636</t>
        </is>
      </c>
      <c r="B783" s="10" t="inlineStr">
        <is>
          <t>SOCKS</t>
        </is>
      </c>
      <c r="C783" s="10" t="inlineStr">
        <is>
          <t>VEHICLE OUTSIDE SERVICES</t>
        </is>
      </c>
      <c r="D783" s="10" t="inlineStr">
        <is>
          <t xml:space="preserve">MAINTENANCE SERVICE </t>
        </is>
      </c>
      <c r="E783" s="10" t="inlineStr">
        <is>
          <t>YEARLY</t>
        </is>
      </c>
      <c r="F783" s="11" t="n">
        <v>45383</v>
      </c>
      <c r="G783" s="11" t="n">
        <v>45747</v>
      </c>
      <c r="H783" s="12">
        <f>IF(OR($F783="",$G783=""),"",$G783-$F783+1)</f>
        <v/>
      </c>
      <c r="I783" s="10">
        <f>IF($F783="","",IF(MONTH($F783)&gt;=4,YEAR($F783)&amp;"-"&amp;TEXT(YEAR($F783)+1-2000,"00"),YEAR($F783)-1&amp;"-"&amp;TEXT(YEAR($F783)-2000,"00")))</f>
        <v/>
      </c>
      <c r="J783" s="13" t="n">
        <v>39500</v>
      </c>
      <c r="K783" s="14">
        <f>IFERROR($L783/$J783,"")</f>
        <v/>
      </c>
      <c r="L783" s="13" t="n">
        <v>39500</v>
      </c>
      <c r="M783" s="13">
        <f>IFERROR($L783/$H783,"")</f>
        <v/>
      </c>
      <c r="N783" s="11" t="n">
        <v>45528</v>
      </c>
      <c r="O783" s="10">
        <f>IF($N783="","No","Yes")</f>
        <v/>
      </c>
      <c r="P783" s="12">
        <f>IF(OR($F783="",$G783=""),0,IF(AND($F783&lt;=README!$B$4,README!$B$4&lt;=$G783),1,0))</f>
        <v/>
      </c>
      <c r="Q783" s="12">
        <f>IF(OR($F783="",$G783=""),0,IF(AND($F783&lt;=DATE(README!$B$5,12,31),$G783&gt;=DATE(README!$B$5,1,1)),1,0))</f>
        <v/>
      </c>
      <c r="R783" s="10" t="inlineStr">
        <is>
          <t>GUP-VEH0012</t>
        </is>
      </c>
      <c r="S783" s="11" t="n">
        <v>45477</v>
      </c>
      <c r="T783" s="10" t="inlineStr">
        <is>
          <t>549</t>
        </is>
      </c>
      <c r="U783" s="10" t="inlineStr">
        <is>
          <t>VEHICLE</t>
        </is>
      </c>
      <c r="V783" s="10" t="inlineStr">
        <is>
          <t>T</t>
        </is>
      </c>
      <c r="W783" s="10" t="inlineStr">
        <is>
          <t>VIVEK B</t>
        </is>
      </c>
    </row>
    <row r="784">
      <c r="A784" s="10" t="inlineStr">
        <is>
          <t>TN58BL3636</t>
        </is>
      </c>
      <c r="B784" s="10" t="inlineStr">
        <is>
          <t>SOCKS</t>
        </is>
      </c>
      <c r="C784" s="10" t="inlineStr">
        <is>
          <t>ROAD TAX</t>
        </is>
      </c>
      <c r="D784" s="10" t="inlineStr">
        <is>
          <t>ROAD TAX</t>
        </is>
      </c>
      <c r="E784" s="10" t="inlineStr">
        <is>
          <t>QUARTER - I</t>
        </is>
      </c>
      <c r="F784" s="11" t="n">
        <v>45748</v>
      </c>
      <c r="G784" s="11" t="n">
        <v>45838</v>
      </c>
      <c r="H784" s="12">
        <f>IF(OR($F784="",$G784=""),"",$G784-$F784+1)</f>
        <v/>
      </c>
      <c r="I784" s="10">
        <f>IF($F784="","",IF(MONTH($F784)&gt;=4,YEAR($F784)&amp;"-"&amp;TEXT(YEAR($F784)+1-2000,"00"),YEAR($F784)-1&amp;"-"&amp;TEXT(YEAR($F784)-2000,"00")))</f>
        <v/>
      </c>
      <c r="J784" s="13" t="n">
        <v>32724</v>
      </c>
      <c r="K784" s="14">
        <f>IFERROR($L784/$J784,"")</f>
        <v/>
      </c>
      <c r="L784" s="13" t="n">
        <v>32724</v>
      </c>
      <c r="M784" s="13">
        <f>IFERROR($L784/$H784,"")</f>
        <v/>
      </c>
      <c r="N784" s="11" t="n">
        <v>46030</v>
      </c>
      <c r="O784" s="10">
        <f>IF($N784="","No","Yes")</f>
        <v/>
      </c>
      <c r="P784" s="12">
        <f>IF(OR($F784="",$G784=""),0,IF(AND($F784&lt;=README!$B$4,README!$B$4&lt;=$G784),1,0))</f>
        <v/>
      </c>
      <c r="Q784" s="12">
        <f>IF(OR($F784="",$G784=""),0,IF(AND($F784&lt;=DATE(README!$B$5,12,31),$G784&gt;=DATE(README!$B$5,1,1)),1,0))</f>
        <v/>
      </c>
      <c r="R784" s="10" t="inlineStr">
        <is>
          <t>GUP-VEH0014</t>
        </is>
      </c>
      <c r="S784" s="11" t="n">
        <v>45748</v>
      </c>
      <c r="T784" s="10" t="inlineStr">
        <is>
          <t>609</t>
        </is>
      </c>
      <c r="U784" s="10" t="inlineStr">
        <is>
          <t>VEHICLE</t>
        </is>
      </c>
      <c r="V784" s="10" t="inlineStr">
        <is>
          <t>T</t>
        </is>
      </c>
      <c r="W784" s="10" t="inlineStr">
        <is>
          <t>VIVEK B</t>
        </is>
      </c>
    </row>
    <row r="785">
      <c r="A785" s="10" t="inlineStr">
        <is>
          <t>TN58BL3636</t>
        </is>
      </c>
      <c r="B785" s="10" t="inlineStr">
        <is>
          <t>SOCKS</t>
        </is>
      </c>
      <c r="C785" s="10" t="inlineStr">
        <is>
          <t>RTO EXPENSE</t>
        </is>
      </c>
      <c r="D785" s="10" t="inlineStr">
        <is>
          <t>RTO PENALTY</t>
        </is>
      </c>
      <c r="E785" s="10" t="inlineStr">
        <is>
          <t>YEARLY</t>
        </is>
      </c>
      <c r="F785" s="11" t="n">
        <v>45748</v>
      </c>
      <c r="G785" s="11" t="n">
        <v>46112</v>
      </c>
      <c r="H785" s="12">
        <f>IF(OR($F785="",$G785=""),"",$G785-$F785+1)</f>
        <v/>
      </c>
      <c r="I785" s="10">
        <f>IF($F785="","",IF(MONTH($F785)&gt;=4,YEAR($F785)&amp;"-"&amp;TEXT(YEAR($F785)+1-2000,"00"),YEAR($F785)-1&amp;"-"&amp;TEXT(YEAR($F785)-2000,"00")))</f>
        <v/>
      </c>
      <c r="J785" s="13" t="n">
        <v>8276</v>
      </c>
      <c r="K785" s="14">
        <f>IFERROR($L785/$J785,"")</f>
        <v/>
      </c>
      <c r="L785" s="13" t="n">
        <v>8276</v>
      </c>
      <c r="M785" s="13">
        <f>IFERROR($L785/$H785,"")</f>
        <v/>
      </c>
      <c r="N785" s="11" t="n">
        <v>45911</v>
      </c>
      <c r="O785" s="10">
        <f>IF($N785="","No","Yes")</f>
        <v/>
      </c>
      <c r="P785" s="12">
        <f>IF(OR($F785="",$G785=""),0,IF(AND($F785&lt;=README!$B$4,README!$B$4&lt;=$G785),1,0))</f>
        <v/>
      </c>
      <c r="Q785" s="12">
        <f>IF(OR($F785="",$G785=""),0,IF(AND($F785&lt;=DATE(README!$B$5,12,31),$G785&gt;=DATE(README!$B$5,1,1)),1,0))</f>
        <v/>
      </c>
      <c r="R785" s="10" t="inlineStr">
        <is>
          <t>GUP-VEH0022</t>
        </is>
      </c>
      <c r="S785" s="11" t="n">
        <v>45834</v>
      </c>
      <c r="T785" s="10" t="inlineStr">
        <is>
          <t>655</t>
        </is>
      </c>
      <c r="U785" s="10" t="inlineStr">
        <is>
          <t>VEHICLE</t>
        </is>
      </c>
      <c r="V785" s="10" t="inlineStr">
        <is>
          <t>T</t>
        </is>
      </c>
      <c r="W785" s="10" t="inlineStr">
        <is>
          <t>VIVEK B</t>
        </is>
      </c>
    </row>
    <row r="786">
      <c r="A786" s="10" t="inlineStr">
        <is>
          <t>TN58BL3636</t>
        </is>
      </c>
      <c r="B786" s="10" t="inlineStr">
        <is>
          <t>SOCKS</t>
        </is>
      </c>
      <c r="C786" s="10" t="inlineStr">
        <is>
          <t>VEHICLE INSURANCE</t>
        </is>
      </c>
      <c r="D786" s="10" t="inlineStr">
        <is>
          <t>VEHICLE INSURANCE</t>
        </is>
      </c>
      <c r="E786" s="10" t="inlineStr">
        <is>
          <t>YEARLY</t>
        </is>
      </c>
      <c r="F786" s="11" t="n">
        <v>45748</v>
      </c>
      <c r="G786" s="11" t="n">
        <v>46112</v>
      </c>
      <c r="H786" s="12">
        <f>IF(OR($F786="",$G786=""),"",$G786-$F786+1)</f>
        <v/>
      </c>
      <c r="I786" s="10">
        <f>IF($F786="","",IF(MONTH($F786)&gt;=4,YEAR($F786)&amp;"-"&amp;TEXT(YEAR($F786)+1-2000,"00"),YEAR($F786)-1&amp;"-"&amp;TEXT(YEAR($F786)-2000,"00")))</f>
        <v/>
      </c>
      <c r="J786" s="13" t="n">
        <v>77425</v>
      </c>
      <c r="K786" s="14">
        <f>IFERROR($L786/$J786,"")</f>
        <v/>
      </c>
      <c r="L786" s="13" t="n">
        <v>77425</v>
      </c>
      <c r="M786" s="13">
        <f>IFERROR($L786/$H786,"")</f>
        <v/>
      </c>
      <c r="N786" s="11" t="n">
        <v>45994</v>
      </c>
      <c r="O786" s="10">
        <f>IF($N786="","No","Yes")</f>
        <v/>
      </c>
      <c r="P786" s="12">
        <f>IF(OR($F786="",$G786=""),0,IF(AND($F786&lt;=README!$B$4,README!$B$4&lt;=$G786),1,0))</f>
        <v/>
      </c>
      <c r="Q786" s="12">
        <f>IF(OR($F786="",$G786=""),0,IF(AND($F786&lt;=DATE(README!$B$5,12,31),$G786&gt;=DATE(README!$B$5,1,1)),1,0))</f>
        <v/>
      </c>
      <c r="R786" s="10" t="inlineStr">
        <is>
          <t>GUP-VEH0020</t>
        </is>
      </c>
      <c r="S786" s="11" t="n">
        <v>45799</v>
      </c>
      <c r="T786" s="10" t="inlineStr">
        <is>
          <t>645</t>
        </is>
      </c>
      <c r="U786" s="10" t="inlineStr">
        <is>
          <t>VEHICLE</t>
        </is>
      </c>
      <c r="V786" s="10" t="inlineStr">
        <is>
          <t>T</t>
        </is>
      </c>
      <c r="W786" s="10" t="inlineStr">
        <is>
          <t>VIVEK B</t>
        </is>
      </c>
    </row>
    <row r="787">
      <c r="A787" s="10" t="inlineStr">
        <is>
          <t>TN58BL3636</t>
        </is>
      </c>
      <c r="B787" s="10" t="inlineStr">
        <is>
          <t>GENERAL</t>
        </is>
      </c>
      <c r="C787" s="10" t="inlineStr">
        <is>
          <t>VEHICLE OUTSIDE SERVICES</t>
        </is>
      </c>
      <c r="D787" s="10" t="inlineStr">
        <is>
          <t xml:space="preserve">MAINTENANCE SERVICE </t>
        </is>
      </c>
      <c r="E787" s="10" t="inlineStr">
        <is>
          <t>YEARLY</t>
        </is>
      </c>
      <c r="F787" s="11" t="n">
        <v>45748</v>
      </c>
      <c r="G787" s="11" t="n">
        <v>46112</v>
      </c>
      <c r="H787" s="12">
        <f>IF(OR($F787="",$G787=""),"",$G787-$F787+1)</f>
        <v/>
      </c>
      <c r="I787" s="10">
        <f>IF($F787="","",IF(MONTH($F787)&gt;=4,YEAR($F787)&amp;"-"&amp;TEXT(YEAR($F787)+1-2000,"00"),YEAR($F787)-1&amp;"-"&amp;TEXT(YEAR($F787)-2000,"00")))</f>
        <v/>
      </c>
      <c r="J787" s="13" t="n">
        <v>1957</v>
      </c>
      <c r="K787" s="14">
        <f>IFERROR($L787/$J787,"")</f>
        <v/>
      </c>
      <c r="L787" s="13" t="n">
        <v>1957</v>
      </c>
      <c r="M787" s="13">
        <f>IFERROR($L787/$H787,"")</f>
        <v/>
      </c>
      <c r="N787" s="11" t="n">
        <v>45811</v>
      </c>
      <c r="O787" s="10">
        <f>IF($N787="","No","Yes")</f>
        <v/>
      </c>
      <c r="P787" s="12">
        <f>IF(OR($F787="",$G787=""),0,IF(AND($F787&lt;=README!$B$4,README!$B$4&lt;=$G787),1,0))</f>
        <v/>
      </c>
      <c r="Q787" s="12">
        <f>IF(OR($F787="",$G787=""),0,IF(AND($F787&lt;=DATE(README!$B$5,12,31),$G787&gt;=DATE(README!$B$5,1,1)),1,0))</f>
        <v/>
      </c>
      <c r="R787" s="10" t="inlineStr">
        <is>
          <t>GUP-VEH0019</t>
        </is>
      </c>
      <c r="S787" s="11" t="n">
        <v>45777</v>
      </c>
      <c r="T787" s="10" t="inlineStr">
        <is>
          <t>638</t>
        </is>
      </c>
      <c r="U787" s="10" t="inlineStr">
        <is>
          <t>VEHICLE</t>
        </is>
      </c>
      <c r="V787" s="10" t="inlineStr">
        <is>
          <t>T</t>
        </is>
      </c>
      <c r="W787" s="10" t="inlineStr">
        <is>
          <t>VIVEK B</t>
        </is>
      </c>
    </row>
    <row r="788">
      <c r="A788" s="10" t="inlineStr">
        <is>
          <t>TN58BL3636</t>
        </is>
      </c>
      <c r="B788" s="10" t="inlineStr">
        <is>
          <t>GENERAL</t>
        </is>
      </c>
      <c r="C788" s="10" t="inlineStr">
        <is>
          <t>VEHICLE OUTSIDE SERVICES</t>
        </is>
      </c>
      <c r="D788" s="10" t="inlineStr">
        <is>
          <t>MAINTENANCE SERVICE - 2</t>
        </is>
      </c>
      <c r="E788" s="10" t="inlineStr">
        <is>
          <t>YEARLY</t>
        </is>
      </c>
      <c r="F788" s="11" t="n">
        <v>45748</v>
      </c>
      <c r="G788" s="11" t="n">
        <v>46112</v>
      </c>
      <c r="H788" s="12">
        <f>IF(OR($F788="",$G788=""),"",$G788-$F788+1)</f>
        <v/>
      </c>
      <c r="I788" s="10">
        <f>IF($F788="","",IF(MONTH($F788)&gt;=4,YEAR($F788)&amp;"-"&amp;TEXT(YEAR($F788)+1-2000,"00"),YEAR($F788)-1&amp;"-"&amp;TEXT(YEAR($F788)-2000,"00")))</f>
        <v/>
      </c>
      <c r="J788" s="13" t="n">
        <v>30954.94</v>
      </c>
      <c r="K788" s="14">
        <f>IFERROR($L788/$J788,"")</f>
        <v/>
      </c>
      <c r="L788" s="13" t="n">
        <v>30954.94</v>
      </c>
      <c r="M788" s="13">
        <f>IFERROR($L788/$H788,"")</f>
        <v/>
      </c>
      <c r="N788" s="11" t="n">
        <v>45961</v>
      </c>
      <c r="O788" s="10">
        <f>IF($N788="","No","Yes")</f>
        <v/>
      </c>
      <c r="P788" s="12">
        <f>IF(OR($F788="",$G788=""),0,IF(AND($F788&lt;=README!$B$4,README!$B$4&lt;=$G788),1,0))</f>
        <v/>
      </c>
      <c r="Q788" s="12">
        <f>IF(OR($F788="",$G788=""),0,IF(AND($F788&lt;=DATE(README!$B$5,12,31),$G788&gt;=DATE(README!$B$5,1,1)),1,0))</f>
        <v/>
      </c>
      <c r="R788" s="10" t="inlineStr">
        <is>
          <t>GUP-VEH0019</t>
        </is>
      </c>
      <c r="S788" s="11" t="n">
        <v>45777</v>
      </c>
      <c r="T788" s="10" t="inlineStr">
        <is>
          <t>638</t>
        </is>
      </c>
      <c r="U788" s="10" t="inlineStr">
        <is>
          <t>VEHICLE</t>
        </is>
      </c>
      <c r="V788" s="10" t="inlineStr">
        <is>
          <t>T</t>
        </is>
      </c>
      <c r="W788" s="10" t="inlineStr">
        <is>
          <t>VIVEK B</t>
        </is>
      </c>
    </row>
    <row r="789">
      <c r="A789" s="10" t="inlineStr">
        <is>
          <t>TN58BL3636</t>
        </is>
      </c>
      <c r="B789" s="10" t="inlineStr">
        <is>
          <t>SOCKS</t>
        </is>
      </c>
      <c r="C789" s="10" t="inlineStr">
        <is>
          <t>ROAD TAX</t>
        </is>
      </c>
      <c r="D789" s="10" t="inlineStr">
        <is>
          <t>ROAD TAX</t>
        </is>
      </c>
      <c r="E789" s="10" t="inlineStr">
        <is>
          <t>QUARTER - II</t>
        </is>
      </c>
      <c r="F789" s="11" t="n">
        <v>45839</v>
      </c>
      <c r="G789" s="11" t="n">
        <v>45930</v>
      </c>
      <c r="H789" s="12">
        <f>IF(OR($F789="",$G789=""),"",$G789-$F789+1)</f>
        <v/>
      </c>
      <c r="I789" s="10">
        <f>IF($F789="","",IF(MONTH($F789)&gt;=4,YEAR($F789)&amp;"-"&amp;TEXT(YEAR($F789)+1-2000,"00"),YEAR($F789)-1&amp;"-"&amp;TEXT(YEAR($F789)-2000,"00")))</f>
        <v/>
      </c>
      <c r="J789" s="13" t="n">
        <v>32724</v>
      </c>
      <c r="K789" s="14">
        <f>IFERROR($L789/$J789,"")</f>
        <v/>
      </c>
      <c r="L789" s="13" t="n">
        <v>32724</v>
      </c>
      <c r="M789" s="13">
        <f>IFERROR($L789/$H789,"")</f>
        <v/>
      </c>
      <c r="N789" s="11" t="n">
        <v>46030</v>
      </c>
      <c r="O789" s="10">
        <f>IF($N789="","No","Yes")</f>
        <v/>
      </c>
      <c r="P789" s="12">
        <f>IF(OR($F789="",$G789=""),0,IF(AND($F789&lt;=README!$B$4,README!$B$4&lt;=$G789),1,0))</f>
        <v/>
      </c>
      <c r="Q789" s="12">
        <f>IF(OR($F789="",$G789=""),0,IF(AND($F789&lt;=DATE(README!$B$5,12,31),$G789&gt;=DATE(README!$B$5,1,1)),1,0))</f>
        <v/>
      </c>
      <c r="R789" s="10" t="inlineStr">
        <is>
          <t>GUP-VEH0014</t>
        </is>
      </c>
      <c r="S789" s="11" t="n">
        <v>45748</v>
      </c>
      <c r="T789" s="10" t="inlineStr">
        <is>
          <t>609</t>
        </is>
      </c>
      <c r="U789" s="10" t="inlineStr">
        <is>
          <t>VEHICLE</t>
        </is>
      </c>
      <c r="V789" s="10" t="inlineStr">
        <is>
          <t>T</t>
        </is>
      </c>
      <c r="W789" s="10" t="inlineStr">
        <is>
          <t>VIVEK B</t>
        </is>
      </c>
    </row>
    <row r="790">
      <c r="A790" s="10" t="inlineStr">
        <is>
          <t>TN58BL3636</t>
        </is>
      </c>
      <c r="B790" s="10" t="inlineStr">
        <is>
          <t>SOCKS</t>
        </is>
      </c>
      <c r="C790" s="10" t="inlineStr">
        <is>
          <t>ROAD TAX</t>
        </is>
      </c>
      <c r="D790" s="10" t="inlineStr">
        <is>
          <t>ROAD TAX</t>
        </is>
      </c>
      <c r="E790" s="10" t="inlineStr">
        <is>
          <t>QUARTER - III</t>
        </is>
      </c>
      <c r="F790" s="11" t="n">
        <v>45931</v>
      </c>
      <c r="G790" s="11" t="n">
        <v>46022</v>
      </c>
      <c r="H790" s="12">
        <f>IF(OR($F790="",$G790=""),"",$G790-$F790+1)</f>
        <v/>
      </c>
      <c r="I790" s="10">
        <f>IF($F790="","",IF(MONTH($F790)&gt;=4,YEAR($F790)&amp;"-"&amp;TEXT(YEAR($F790)+1-2000,"00"),YEAR($F790)-1&amp;"-"&amp;TEXT(YEAR($F790)-2000,"00")))</f>
        <v/>
      </c>
      <c r="J790" s="13" t="n">
        <v>32734</v>
      </c>
      <c r="K790" s="14">
        <f>IFERROR($L790/$J790,"")</f>
        <v/>
      </c>
      <c r="L790" s="13" t="n">
        <v>32734</v>
      </c>
      <c r="M790" s="13">
        <f>IFERROR($L790/$H790,"")</f>
        <v/>
      </c>
      <c r="N790" s="11" t="n">
        <v>46030</v>
      </c>
      <c r="O790" s="10">
        <f>IF($N790="","No","Yes")</f>
        <v/>
      </c>
      <c r="P790" s="12">
        <f>IF(OR($F790="",$G790=""),0,IF(AND($F790&lt;=README!$B$4,README!$B$4&lt;=$G790),1,0))</f>
        <v/>
      </c>
      <c r="Q790" s="12">
        <f>IF(OR($F790="",$G790=""),0,IF(AND($F790&lt;=DATE(README!$B$5,12,31),$G790&gt;=DATE(README!$B$5,1,1)),1,0))</f>
        <v/>
      </c>
      <c r="R790" s="10" t="inlineStr">
        <is>
          <t>GUP-VEH0014</t>
        </is>
      </c>
      <c r="S790" s="11" t="n">
        <v>45748</v>
      </c>
      <c r="T790" s="10" t="inlineStr">
        <is>
          <t>609</t>
        </is>
      </c>
      <c r="U790" s="10" t="inlineStr">
        <is>
          <t>VEHICLE</t>
        </is>
      </c>
      <c r="V790" s="10" t="inlineStr">
        <is>
          <t>T</t>
        </is>
      </c>
      <c r="W790" s="10" t="inlineStr">
        <is>
          <t>VIVEK B</t>
        </is>
      </c>
    </row>
    <row r="791">
      <c r="A791" s="10" t="inlineStr">
        <is>
          <t>TN58BL3636</t>
        </is>
      </c>
      <c r="B791" s="10" t="inlineStr">
        <is>
          <t>SOCKS</t>
        </is>
      </c>
      <c r="C791" s="10" t="inlineStr">
        <is>
          <t>RTO EXPENSE</t>
        </is>
      </c>
      <c r="D791" s="10" t="inlineStr">
        <is>
          <t>HP-LOAN CLOSURE</t>
        </is>
      </c>
      <c r="E791" s="10" t="inlineStr">
        <is>
          <t>DECEMBER</t>
        </is>
      </c>
      <c r="F791" s="11" t="n">
        <v>45992</v>
      </c>
      <c r="G791" s="11" t="n">
        <v>46022</v>
      </c>
      <c r="H791" s="12">
        <f>IF(OR($F791="",$G791=""),"",$G791-$F791+1)</f>
        <v/>
      </c>
      <c r="I791" s="10">
        <f>IF($F791="","",IF(MONTH($F791)&gt;=4,YEAR($F791)&amp;"-"&amp;TEXT(YEAR($F791)+1-2000,"00"),YEAR($F791)-1&amp;"-"&amp;TEXT(YEAR($F791)-2000,"00")))</f>
        <v/>
      </c>
      <c r="J791" s="13" t="n">
        <v>2000</v>
      </c>
      <c r="K791" s="14">
        <f>IFERROR($L791/$J791,"")</f>
        <v/>
      </c>
      <c r="L791" s="13" t="n">
        <v>2000</v>
      </c>
      <c r="M791" s="13">
        <f>IFERROR($L791/$H791,"")</f>
        <v/>
      </c>
      <c r="N791" s="11" t="n">
        <v>45994</v>
      </c>
      <c r="O791" s="10">
        <f>IF($N791="","No","Yes")</f>
        <v/>
      </c>
      <c r="P791" s="12">
        <f>IF(OR($F791="",$G791=""),0,IF(AND($F791&lt;=README!$B$4,README!$B$4&lt;=$G791),1,0))</f>
        <v/>
      </c>
      <c r="Q791" s="12">
        <f>IF(OR($F791="",$G791=""),0,IF(AND($F791&lt;=DATE(README!$B$5,12,31),$G791&gt;=DATE(README!$B$5,1,1)),1,0))</f>
        <v/>
      </c>
      <c r="R791" s="10" t="inlineStr">
        <is>
          <t>GUP-VEH0022</t>
        </is>
      </c>
      <c r="S791" s="11" t="n">
        <v>45834</v>
      </c>
      <c r="T791" s="10" t="inlineStr">
        <is>
          <t>655</t>
        </is>
      </c>
      <c r="U791" s="10" t="inlineStr">
        <is>
          <t>VEHICLE</t>
        </is>
      </c>
      <c r="V791" s="10" t="inlineStr">
        <is>
          <t>T</t>
        </is>
      </c>
      <c r="W791" s="10" t="inlineStr">
        <is>
          <t>VIVEK B</t>
        </is>
      </c>
    </row>
    <row r="792">
      <c r="A792" s="10" t="inlineStr">
        <is>
          <t>TN58BL3636</t>
        </is>
      </c>
      <c r="B792" s="10" t="inlineStr">
        <is>
          <t>SOCKS</t>
        </is>
      </c>
      <c r="C792" s="10" t="inlineStr">
        <is>
          <t>ROAD TAX</t>
        </is>
      </c>
      <c r="D792" s="10" t="inlineStr">
        <is>
          <t>ROAD TAX</t>
        </is>
      </c>
      <c r="E792" s="10" t="inlineStr">
        <is>
          <t>QUARTER - IV</t>
        </is>
      </c>
      <c r="F792" s="11" t="n">
        <v>46023</v>
      </c>
      <c r="G792" s="11" t="n">
        <v>46112</v>
      </c>
      <c r="H792" s="12">
        <f>IF(OR($F792="",$G792=""),"",$G792-$F792+1)</f>
        <v/>
      </c>
      <c r="I792" s="10">
        <f>IF($F792="","",IF(MONTH($F792)&gt;=4,YEAR($F792)&amp;"-"&amp;TEXT(YEAR($F792)+1-2000,"00"),YEAR($F792)-1&amp;"-"&amp;TEXT(YEAR($F792)-2000,"00")))</f>
        <v/>
      </c>
      <c r="J792" s="13" t="n">
        <v>32734</v>
      </c>
      <c r="K792" s="14">
        <f>IFERROR($L792/$J792,"")</f>
        <v/>
      </c>
      <c r="L792" s="13" t="n">
        <v>32734</v>
      </c>
      <c r="M792" s="13">
        <f>IFERROR($L792/$H792,"")</f>
        <v/>
      </c>
      <c r="N792" s="11" t="n">
        <v>46030</v>
      </c>
      <c r="O792" s="10">
        <f>IF($N792="","No","Yes")</f>
        <v/>
      </c>
      <c r="P792" s="12">
        <f>IF(OR($F792="",$G792=""),0,IF(AND($F792&lt;=README!$B$4,README!$B$4&lt;=$G792),1,0))</f>
        <v/>
      </c>
      <c r="Q792" s="12">
        <f>IF(OR($F792="",$G792=""),0,IF(AND($F792&lt;=DATE(README!$B$5,12,31),$G792&gt;=DATE(README!$B$5,1,1)),1,0))</f>
        <v/>
      </c>
      <c r="R792" s="10" t="inlineStr">
        <is>
          <t>GUP-VEH0014</t>
        </is>
      </c>
      <c r="S792" s="11" t="n">
        <v>45748</v>
      </c>
      <c r="T792" s="10" t="inlineStr">
        <is>
          <t>609</t>
        </is>
      </c>
      <c r="U792" s="10" t="inlineStr">
        <is>
          <t>VEHICLE</t>
        </is>
      </c>
      <c r="V792" s="10" t="inlineStr">
        <is>
          <t>T</t>
        </is>
      </c>
      <c r="W792" s="10" t="inlineStr">
        <is>
          <t>VIVEK B</t>
        </is>
      </c>
    </row>
    <row r="793">
      <c r="A793" s="10" t="inlineStr">
        <is>
          <t>TN58BL3636</t>
        </is>
      </c>
      <c r="B793" s="10" t="inlineStr">
        <is>
          <t>SOCKS</t>
        </is>
      </c>
      <c r="C793" s="10" t="inlineStr">
        <is>
          <t>TYRE</t>
        </is>
      </c>
      <c r="D793" s="10" t="inlineStr">
        <is>
          <t>TYRE</t>
        </is>
      </c>
      <c r="E793" s="10" t="inlineStr">
        <is>
          <t>FEBRUARY</t>
        </is>
      </c>
      <c r="F793" s="11" t="n">
        <v>46054</v>
      </c>
      <c r="G793" s="11" t="n">
        <v>46081</v>
      </c>
      <c r="H793" s="12">
        <f>IF(OR($F793="",$G793=""),"",$G793-$F793+1)</f>
        <v/>
      </c>
      <c r="I793" s="10">
        <f>IF($F793="","",IF(MONTH($F793)&gt;=4,YEAR($F793)&amp;"-"&amp;TEXT(YEAR($F793)+1-2000,"00"),YEAR($F793)-1&amp;"-"&amp;TEXT(YEAR($F793)-2000,"00")))</f>
        <v/>
      </c>
      <c r="J793" s="13" t="n">
        <v>30300</v>
      </c>
      <c r="K793" s="14">
        <f>IFERROR($L793/$J793,"")</f>
        <v/>
      </c>
      <c r="L793" s="13" t="n">
        <v>30300</v>
      </c>
      <c r="M793" s="13">
        <f>IFERROR($L793/$H793,"")</f>
        <v/>
      </c>
      <c r="N793" s="11" t="n">
        <v>46072</v>
      </c>
      <c r="O793" s="10">
        <f>IF($N793="","No","Yes")</f>
        <v/>
      </c>
      <c r="P793" s="12">
        <f>IF(OR($F793="",$G793=""),0,IF(AND($F793&lt;=README!$B$4,README!$B$4&lt;=$G793),1,0))</f>
        <v/>
      </c>
      <c r="Q793" s="12">
        <f>IF(OR($F793="",$G793=""),0,IF(AND($F793&lt;=DATE(README!$B$5,12,31),$G793&gt;=DATE(README!$B$5,1,1)),1,0))</f>
        <v/>
      </c>
      <c r="R793" s="10" t="inlineStr">
        <is>
          <t>GUP-VEH0025</t>
        </is>
      </c>
      <c r="S793" s="11" t="n">
        <v>45957</v>
      </c>
      <c r="T793" s="10" t="inlineStr">
        <is>
          <t>726</t>
        </is>
      </c>
      <c r="U793" s="10" t="inlineStr">
        <is>
          <t>VEHICLE</t>
        </is>
      </c>
      <c r="V793" s="10" t="inlineStr">
        <is>
          <t>T</t>
        </is>
      </c>
      <c r="W793" s="10" t="inlineStr">
        <is>
          <t>VIVEK B</t>
        </is>
      </c>
    </row>
    <row r="794">
      <c r="A794" s="10" t="inlineStr">
        <is>
          <t>TN58BL3636</t>
        </is>
      </c>
      <c r="B794" s="10" t="inlineStr">
        <is>
          <t>SOCKS</t>
        </is>
      </c>
      <c r="C794" s="10" t="inlineStr">
        <is>
          <t>FC WORK</t>
        </is>
      </c>
      <c r="D794" s="10" t="inlineStr">
        <is>
          <t>FC WORK</t>
        </is>
      </c>
      <c r="E794" s="10" t="inlineStr">
        <is>
          <t>YEARLY</t>
        </is>
      </c>
      <c r="F794" s="11" t="n">
        <v>46113</v>
      </c>
      <c r="G794" s="11" t="n">
        <v>46477</v>
      </c>
      <c r="H794" s="12">
        <f>IF(OR($F794="",$G794=""),"",$G794-$F794+1)</f>
        <v/>
      </c>
      <c r="I794" s="10">
        <f>IF($F794="","",IF(MONTH($F794)&gt;=4,YEAR($F794)&amp;"-"&amp;TEXT(YEAR($F794)+1-2000,"00"),YEAR($F794)-1&amp;"-"&amp;TEXT(YEAR($F794)-2000,"00")))</f>
        <v/>
      </c>
      <c r="J794" s="13" t="n">
        <v>69750</v>
      </c>
      <c r="K794" s="14">
        <f>IFERROR($L794/$J794,"")</f>
        <v/>
      </c>
      <c r="L794" s="13" t="n">
        <v>69750</v>
      </c>
      <c r="M794" s="13">
        <f>IFERROR($L794/$H794,"")</f>
        <v/>
      </c>
      <c r="N794" s="11" t="n">
        <v>46191</v>
      </c>
      <c r="O794" s="10">
        <f>IF($N794="","No","Yes")</f>
        <v/>
      </c>
      <c r="P794" s="12">
        <f>IF(OR($F794="",$G794=""),0,IF(AND($F794&lt;=README!$B$4,README!$B$4&lt;=$G794),1,0))</f>
        <v/>
      </c>
      <c r="Q794" s="12">
        <f>IF(OR($F794="",$G794=""),0,IF(AND($F794&lt;=DATE(README!$B$5,12,31),$G794&gt;=DATE(README!$B$5,1,1)),1,0))</f>
        <v/>
      </c>
      <c r="R794" s="10" t="inlineStr">
        <is>
          <t>GUP-VEH0032</t>
        </is>
      </c>
      <c r="S794" s="11" t="n">
        <v>46118</v>
      </c>
      <c r="T794" s="10" t="inlineStr">
        <is>
          <t>813</t>
        </is>
      </c>
      <c r="U794" s="10" t="inlineStr">
        <is>
          <t>VEHICLE</t>
        </is>
      </c>
      <c r="V794" s="10" t="inlineStr">
        <is>
          <t>T</t>
        </is>
      </c>
      <c r="W794" s="10" t="inlineStr">
        <is>
          <t>VIVEK B</t>
        </is>
      </c>
    </row>
    <row r="795">
      <c r="A795" s="10" t="inlineStr">
        <is>
          <t>TN58BL3636</t>
        </is>
      </c>
      <c r="B795" s="10" t="inlineStr">
        <is>
          <t>SOCKS</t>
        </is>
      </c>
      <c r="C795" s="10" t="inlineStr">
        <is>
          <t>ROAD TAX</t>
        </is>
      </c>
      <c r="D795" s="10" t="inlineStr">
        <is>
          <t>ROAD TAX</t>
        </is>
      </c>
      <c r="E795" s="10" t="inlineStr">
        <is>
          <t>QUARTER - I</t>
        </is>
      </c>
      <c r="F795" s="11" t="n">
        <v>46113</v>
      </c>
      <c r="G795" s="11" t="n">
        <v>46203</v>
      </c>
      <c r="H795" s="12">
        <f>IF(OR($F795="",$G795=""),"",$G795-$F795+1)</f>
        <v/>
      </c>
      <c r="I795" s="10">
        <f>IF($F795="","",IF(MONTH($F795)&gt;=4,YEAR($F795)&amp;"-"&amp;TEXT(YEAR($F795)+1-2000,"00"),YEAR($F795)-1&amp;"-"&amp;TEXT(YEAR($F795)-2000,"00")))</f>
        <v/>
      </c>
      <c r="J795" s="13" t="n">
        <v>32734</v>
      </c>
      <c r="K795" s="14">
        <f>IFERROR($L795/$J795,"")</f>
        <v/>
      </c>
      <c r="L795" s="13" t="n">
        <v>32734</v>
      </c>
      <c r="M795" s="13">
        <f>IFERROR($L795/$H795,"")</f>
        <v/>
      </c>
      <c r="N795" s="11" t="n">
        <v>46088</v>
      </c>
      <c r="O795" s="10">
        <f>IF($N795="","No","Yes")</f>
        <v/>
      </c>
      <c r="P795" s="12">
        <f>IF(OR($F795="",$G795=""),0,IF(AND($F795&lt;=README!$B$4,README!$B$4&lt;=$G795),1,0))</f>
        <v/>
      </c>
      <c r="Q795" s="12">
        <f>IF(OR($F795="",$G795=""),0,IF(AND($F795&lt;=DATE(README!$B$5,12,31),$G795&gt;=DATE(README!$B$5,1,1)),1,0))</f>
        <v/>
      </c>
      <c r="R795" s="10" t="inlineStr">
        <is>
          <t>GUP-VEH0030</t>
        </is>
      </c>
      <c r="S795" s="11" t="n">
        <v>46113</v>
      </c>
      <c r="T795" s="10" t="inlineStr">
        <is>
          <t>796</t>
        </is>
      </c>
      <c r="U795" s="10" t="inlineStr">
        <is>
          <t>VEHICLE</t>
        </is>
      </c>
      <c r="V795" s="10" t="inlineStr">
        <is>
          <t>T</t>
        </is>
      </c>
      <c r="W795" s="10" t="inlineStr">
        <is>
          <t>VIVEK B</t>
        </is>
      </c>
    </row>
    <row r="796">
      <c r="A796" s="10" t="inlineStr">
        <is>
          <t>TN58BL3636</t>
        </is>
      </c>
      <c r="B796" s="10" t="inlineStr">
        <is>
          <t>SOCKS</t>
        </is>
      </c>
      <c r="C796" s="10" t="inlineStr">
        <is>
          <t>RTO EXPENSE</t>
        </is>
      </c>
      <c r="D796" s="10" t="inlineStr">
        <is>
          <t>RTO EXPENSES - FC</t>
        </is>
      </c>
      <c r="E796" s="10" t="inlineStr">
        <is>
          <t>YEARLY</t>
        </is>
      </c>
      <c r="F796" s="11" t="n">
        <v>46113</v>
      </c>
      <c r="G796" s="11" t="n">
        <v>46477</v>
      </c>
      <c r="H796" s="12">
        <f>IF(OR($F796="",$G796=""),"",$G796-$F796+1)</f>
        <v/>
      </c>
      <c r="I796" s="10">
        <f>IF($F796="","",IF(MONTH($F796)&gt;=4,YEAR($F796)&amp;"-"&amp;TEXT(YEAR($F796)+1-2000,"00"),YEAR($F796)-1&amp;"-"&amp;TEXT(YEAR($F796)-2000,"00")))</f>
        <v/>
      </c>
      <c r="J796" s="13" t="n">
        <v>12500</v>
      </c>
      <c r="K796" s="14">
        <f>IFERROR($L796/$J796,"")</f>
        <v/>
      </c>
      <c r="L796" s="13" t="n">
        <v>12500</v>
      </c>
      <c r="M796" s="13">
        <f>IFERROR($L796/$H796,"")</f>
        <v/>
      </c>
      <c r="N796" s="11" t="n">
        <v>46121</v>
      </c>
      <c r="O796" s="10">
        <f>IF($N796="","No","Yes")</f>
        <v/>
      </c>
      <c r="P796" s="12">
        <f>IF(OR($F796="",$G796=""),0,IF(AND($F796&lt;=README!$B$4,README!$B$4&lt;=$G796),1,0))</f>
        <v/>
      </c>
      <c r="Q796" s="12">
        <f>IF(OR($F796="",$G796=""),0,IF(AND($F796&lt;=DATE(README!$B$5,12,31),$G796&gt;=DATE(README!$B$5,1,1)),1,0))</f>
        <v/>
      </c>
      <c r="R796" s="10" t="inlineStr">
        <is>
          <t>GUP-VEH0033</t>
        </is>
      </c>
      <c r="S796" s="11" t="n">
        <v>46118</v>
      </c>
      <c r="T796" s="10" t="inlineStr">
        <is>
          <t>814</t>
        </is>
      </c>
      <c r="U796" s="10" t="inlineStr">
        <is>
          <t>VEHICLE</t>
        </is>
      </c>
      <c r="V796" s="10" t="inlineStr">
        <is>
          <t>T</t>
        </is>
      </c>
      <c r="W796" s="10" t="inlineStr">
        <is>
          <t>VIVEK B</t>
        </is>
      </c>
    </row>
    <row r="797">
      <c r="A797" s="10" t="inlineStr">
        <is>
          <t>TN58BL3636</t>
        </is>
      </c>
      <c r="B797" s="10" t="inlineStr">
        <is>
          <t>SOCKS</t>
        </is>
      </c>
      <c r="C797" s="10" t="inlineStr">
        <is>
          <t>VEHICLE OUTSIDE SERVICES</t>
        </is>
      </c>
      <c r="D797" s="10" t="inlineStr">
        <is>
          <t xml:space="preserve">MAINTENANCE SERVICE </t>
        </is>
      </c>
      <c r="E797" s="10" t="inlineStr">
        <is>
          <t>JUNE</t>
        </is>
      </c>
      <c r="F797" s="11" t="n">
        <v>46174</v>
      </c>
      <c r="G797" s="11" t="n">
        <v>46203</v>
      </c>
      <c r="H797" s="12">
        <f>IF(OR($F797="",$G797=""),"",$G797-$F797+1)</f>
        <v/>
      </c>
      <c r="I797" s="10">
        <f>IF($F797="","",IF(MONTH($F797)&gt;=4,YEAR($F797)&amp;"-"&amp;TEXT(YEAR($F797)+1-2000,"00"),YEAR($F797)-1&amp;"-"&amp;TEXT(YEAR($F797)-2000,"00")))</f>
        <v/>
      </c>
      <c r="J797" s="13" t="n">
        <v>4549.34</v>
      </c>
      <c r="K797" s="14">
        <f>IFERROR($L797/$J797,"")</f>
        <v/>
      </c>
      <c r="L797" s="13" t="n">
        <v>4549.34</v>
      </c>
      <c r="M797" s="13">
        <f>IFERROR($L797/$H797,"")</f>
        <v/>
      </c>
      <c r="N797" s="11" t="n">
        <v>46186</v>
      </c>
      <c r="O797" s="10">
        <f>IF($N797="","No","Yes")</f>
        <v/>
      </c>
      <c r="P797" s="12">
        <f>IF(OR($F797="",$G797=""),0,IF(AND($F797&lt;=README!$B$4,README!$B$4&lt;=$G797),1,0))</f>
        <v/>
      </c>
      <c r="Q797" s="12">
        <f>IF(OR($F797="",$G797=""),0,IF(AND($F797&lt;=DATE(README!$B$5,12,31),$G797&gt;=DATE(README!$B$5,1,1)),1,0))</f>
        <v/>
      </c>
      <c r="R797" s="10" t="inlineStr">
        <is>
          <t>GUP-VEH0031</t>
        </is>
      </c>
      <c r="S797" s="11" t="n">
        <v>46114</v>
      </c>
      <c r="T797" s="10" t="inlineStr">
        <is>
          <t>810</t>
        </is>
      </c>
      <c r="U797" s="10" t="inlineStr">
        <is>
          <t>VEHICLE</t>
        </is>
      </c>
      <c r="V797" s="10" t="inlineStr">
        <is>
          <t>T</t>
        </is>
      </c>
      <c r="W797" s="10" t="inlineStr">
        <is>
          <t>VIVEK B</t>
        </is>
      </c>
    </row>
    <row r="798">
      <c r="A798" s="10" t="inlineStr">
        <is>
          <t>TN58BL3636</t>
        </is>
      </c>
      <c r="B798" s="10" t="inlineStr">
        <is>
          <t>SOCKS</t>
        </is>
      </c>
      <c r="C798" s="10" t="inlineStr">
        <is>
          <t>ROAD TAX</t>
        </is>
      </c>
      <c r="D798" s="10" t="inlineStr">
        <is>
          <t>ROAD TAX</t>
        </is>
      </c>
      <c r="E798" s="10" t="inlineStr">
        <is>
          <t>QUARTER - II</t>
        </is>
      </c>
      <c r="F798" s="11" t="n">
        <v>46204</v>
      </c>
      <c r="G798" s="11" t="n">
        <v>46295</v>
      </c>
      <c r="H798" s="12">
        <f>IF(OR($F798="",$G798=""),"",$G798-$F798+1)</f>
        <v/>
      </c>
      <c r="I798" s="10">
        <f>IF($F798="","",IF(MONTH($F798)&gt;=4,YEAR($F798)&amp;"-"&amp;TEXT(YEAR($F798)+1-2000,"00"),YEAR($F798)-1&amp;"-"&amp;TEXT(YEAR($F798)-2000,"00")))</f>
        <v/>
      </c>
      <c r="J798" s="13" t="n">
        <v>32734</v>
      </c>
      <c r="K798" s="14">
        <f>IFERROR($L798/$J798,"")</f>
        <v/>
      </c>
      <c r="L798" s="13" t="n">
        <v>32734</v>
      </c>
      <c r="M798" s="13">
        <f>IFERROR($L798/$H798,"")</f>
        <v/>
      </c>
      <c r="N798" s="11" t="n">
        <v>46196</v>
      </c>
      <c r="O798" s="10">
        <f>IF($N798="","No","Yes")</f>
        <v/>
      </c>
      <c r="P798" s="12">
        <f>IF(OR($F798="",$G798=""),0,IF(AND($F798&lt;=README!$B$4,README!$B$4&lt;=$G798),1,0))</f>
        <v/>
      </c>
      <c r="Q798" s="12">
        <f>IF(OR($F798="",$G798=""),0,IF(AND($F798&lt;=DATE(README!$B$5,12,31),$G798&gt;=DATE(README!$B$5,1,1)),1,0))</f>
        <v/>
      </c>
      <c r="R798" s="10" t="inlineStr">
        <is>
          <t>GUP-VEH0030</t>
        </is>
      </c>
      <c r="S798" s="11" t="n">
        <v>46113</v>
      </c>
      <c r="T798" s="10" t="inlineStr">
        <is>
          <t>796</t>
        </is>
      </c>
      <c r="U798" s="10" t="inlineStr">
        <is>
          <t>VEHICLE</t>
        </is>
      </c>
      <c r="V798" s="10" t="inlineStr">
        <is>
          <t>T</t>
        </is>
      </c>
      <c r="W798" s="10" t="inlineStr">
        <is>
          <t>VIVEK B</t>
        </is>
      </c>
    </row>
    <row r="799">
      <c r="A799" s="10" t="inlineStr">
        <is>
          <t>TN58BM3434</t>
        </is>
      </c>
      <c r="B799" s="10" t="inlineStr">
        <is>
          <t>WOVEN</t>
        </is>
      </c>
      <c r="C799" s="10" t="inlineStr">
        <is>
          <t>ADBLU</t>
        </is>
      </c>
      <c r="D799" s="10" t="inlineStr">
        <is>
          <t>ADBLU</t>
        </is>
      </c>
      <c r="E799" s="10" t="inlineStr">
        <is>
          <t>YEARLY</t>
        </is>
      </c>
      <c r="F799" s="11" t="n">
        <v>45383</v>
      </c>
      <c r="G799" s="11" t="n">
        <v>45747</v>
      </c>
      <c r="H799" s="12">
        <f>IF(OR($F799="",$G799=""),"",$G799-$F799+1)</f>
        <v/>
      </c>
      <c r="I799" s="10">
        <f>IF($F799="","",IF(MONTH($F799)&gt;=4,YEAR($F799)&amp;"-"&amp;TEXT(YEAR($F799)+1-2000,"00"),YEAR($F799)-1&amp;"-"&amp;TEXT(YEAR($F799)-2000,"00")))</f>
        <v/>
      </c>
      <c r="J799" s="13" t="n">
        <v>61</v>
      </c>
      <c r="K799" s="14">
        <f>IFERROR($L799/$J799,"")</f>
        <v/>
      </c>
      <c r="L799" s="13" t="n">
        <v>2562</v>
      </c>
      <c r="M799" s="13">
        <f>IFERROR($L799/$H799,"")</f>
        <v/>
      </c>
      <c r="N799" s="11" t="n">
        <v>45602</v>
      </c>
      <c r="O799" s="10">
        <f>IF($N799="","No","Yes")</f>
        <v/>
      </c>
      <c r="P799" s="12">
        <f>IF(OR($F799="",$G799=""),0,IF(AND($F799&lt;=README!$B$4,README!$B$4&lt;=$G799),1,0))</f>
        <v/>
      </c>
      <c r="Q799" s="12">
        <f>IF(OR($F799="",$G799=""),0,IF(AND($F799&lt;=DATE(README!$B$5,12,31),$G799&gt;=DATE(README!$B$5,1,1)),1,0))</f>
        <v/>
      </c>
      <c r="R799" s="10" t="inlineStr">
        <is>
          <t>GUT-VEH0008</t>
        </is>
      </c>
      <c r="S799" s="11" t="n">
        <v>45475</v>
      </c>
      <c r="T799" s="10" t="inlineStr">
        <is>
          <t>3</t>
        </is>
      </c>
      <c r="U799" s="10" t="inlineStr">
        <is>
          <t>VEHICLE</t>
        </is>
      </c>
      <c r="V799" s="10" t="inlineStr">
        <is>
          <t>T</t>
        </is>
      </c>
      <c r="W799" s="10" t="inlineStr">
        <is>
          <t>VIVEK B</t>
        </is>
      </c>
    </row>
    <row r="800">
      <c r="A800" s="10" t="inlineStr">
        <is>
          <t>TN58BM3434</t>
        </is>
      </c>
      <c r="B800" s="10" t="inlineStr">
        <is>
          <t>WOVEN</t>
        </is>
      </c>
      <c r="C800" s="10" t="inlineStr">
        <is>
          <t>ADBLU</t>
        </is>
      </c>
      <c r="D800" s="10" t="inlineStr">
        <is>
          <t>ADBLU</t>
        </is>
      </c>
      <c r="E800" s="10" t="inlineStr">
        <is>
          <t>YEARLY</t>
        </is>
      </c>
      <c r="F800" s="11" t="n">
        <v>45383</v>
      </c>
      <c r="G800" s="11" t="n">
        <v>45747</v>
      </c>
      <c r="H800" s="12">
        <f>IF(OR($F800="",$G800=""),"",$G800-$F800+1)</f>
        <v/>
      </c>
      <c r="I800" s="10">
        <f>IF($F800="","",IF(MONTH($F800)&gt;=4,YEAR($F800)&amp;"-"&amp;TEXT(YEAR($F800)+1-2000,"00"),YEAR($F800)-1&amp;"-"&amp;TEXT(YEAR($F800)-2000,"00")))</f>
        <v/>
      </c>
      <c r="J800" s="13" t="n">
        <v>61</v>
      </c>
      <c r="K800" s="14">
        <f>IFERROR($L800/$J800,"")</f>
        <v/>
      </c>
      <c r="L800" s="13" t="n">
        <v>2562</v>
      </c>
      <c r="M800" s="13">
        <f>IFERROR($L800/$H800,"")</f>
        <v/>
      </c>
      <c r="N800" s="11" t="n">
        <v>45623</v>
      </c>
      <c r="O800" s="10">
        <f>IF($N800="","No","Yes")</f>
        <v/>
      </c>
      <c r="P800" s="12">
        <f>IF(OR($F800="",$G800=""),0,IF(AND($F800&lt;=README!$B$4,README!$B$4&lt;=$G800),1,0))</f>
        <v/>
      </c>
      <c r="Q800" s="12">
        <f>IF(OR($F800="",$G800=""),0,IF(AND($F800&lt;=DATE(README!$B$5,12,31),$G800&gt;=DATE(README!$B$5,1,1)),1,0))</f>
        <v/>
      </c>
      <c r="R800" s="10" t="inlineStr">
        <is>
          <t>GUT-VEH0008</t>
        </is>
      </c>
      <c r="S800" s="11" t="n">
        <v>45475</v>
      </c>
      <c r="T800" s="10" t="inlineStr">
        <is>
          <t>3</t>
        </is>
      </c>
      <c r="U800" s="10" t="inlineStr">
        <is>
          <t>VEHICLE</t>
        </is>
      </c>
      <c r="V800" s="10" t="inlineStr">
        <is>
          <t>T</t>
        </is>
      </c>
      <c r="W800" s="10" t="inlineStr">
        <is>
          <t>VIVEK B</t>
        </is>
      </c>
    </row>
    <row r="801">
      <c r="A801" s="10" t="inlineStr">
        <is>
          <t>TN58BM3434</t>
        </is>
      </c>
      <c r="B801" s="10" t="inlineStr">
        <is>
          <t>WOVEN</t>
        </is>
      </c>
      <c r="C801" s="10" t="inlineStr">
        <is>
          <t>ADBLU</t>
        </is>
      </c>
      <c r="D801" s="10" t="inlineStr">
        <is>
          <t>ADBLU</t>
        </is>
      </c>
      <c r="E801" s="10" t="inlineStr">
        <is>
          <t>YEARLY</t>
        </is>
      </c>
      <c r="F801" s="11" t="n">
        <v>45383</v>
      </c>
      <c r="G801" s="11" t="n">
        <v>45747</v>
      </c>
      <c r="H801" s="12">
        <f>IF(OR($F801="",$G801=""),"",$G801-$F801+1)</f>
        <v/>
      </c>
      <c r="I801" s="10">
        <f>IF($F801="","",IF(MONTH($F801)&gt;=4,YEAR($F801)&amp;"-"&amp;TEXT(YEAR($F801)+1-2000,"00"),YEAR($F801)-1&amp;"-"&amp;TEXT(YEAR($F801)-2000,"00")))</f>
        <v/>
      </c>
      <c r="J801" s="13" t="n">
        <v>61</v>
      </c>
      <c r="K801" s="14">
        <f>IFERROR($L801/$J801,"")</f>
        <v/>
      </c>
      <c r="L801" s="13" t="n">
        <v>2562</v>
      </c>
      <c r="M801" s="13">
        <f>IFERROR($L801/$H801,"")</f>
        <v/>
      </c>
      <c r="N801" s="11" t="n">
        <v>45479</v>
      </c>
      <c r="O801" s="10">
        <f>IF($N801="","No","Yes")</f>
        <v/>
      </c>
      <c r="P801" s="12">
        <f>IF(OR($F801="",$G801=""),0,IF(AND($F801&lt;=README!$B$4,README!$B$4&lt;=$G801),1,0))</f>
        <v/>
      </c>
      <c r="Q801" s="12">
        <f>IF(OR($F801="",$G801=""),0,IF(AND($F801&lt;=DATE(README!$B$5,12,31),$G801&gt;=DATE(README!$B$5,1,1)),1,0))</f>
        <v/>
      </c>
      <c r="R801" s="10" t="inlineStr">
        <is>
          <t>GUT-VEH0008</t>
        </is>
      </c>
      <c r="S801" s="11" t="n">
        <v>45475</v>
      </c>
      <c r="T801" s="10" t="inlineStr">
        <is>
          <t>3</t>
        </is>
      </c>
      <c r="U801" s="10" t="inlineStr">
        <is>
          <t>VEHICLE</t>
        </is>
      </c>
      <c r="V801" s="10" t="inlineStr">
        <is>
          <t>T</t>
        </is>
      </c>
      <c r="W801" s="10" t="inlineStr">
        <is>
          <t>VIVEK B</t>
        </is>
      </c>
    </row>
    <row r="802">
      <c r="A802" s="10" t="inlineStr">
        <is>
          <t>TN58BM3434</t>
        </is>
      </c>
      <c r="B802" s="10" t="inlineStr">
        <is>
          <t>WOVEN</t>
        </is>
      </c>
      <c r="C802" s="10" t="inlineStr">
        <is>
          <t>ADBLU</t>
        </is>
      </c>
      <c r="D802" s="10" t="inlineStr">
        <is>
          <t>ADBLU</t>
        </is>
      </c>
      <c r="E802" s="10" t="inlineStr">
        <is>
          <t>YEARLY</t>
        </is>
      </c>
      <c r="F802" s="11" t="n">
        <v>45383</v>
      </c>
      <c r="G802" s="11" t="n">
        <v>45747</v>
      </c>
      <c r="H802" s="12">
        <f>IF(OR($F802="",$G802=""),"",$G802-$F802+1)</f>
        <v/>
      </c>
      <c r="I802" s="10">
        <f>IF($F802="","",IF(MONTH($F802)&gt;=4,YEAR($F802)&amp;"-"&amp;TEXT(YEAR($F802)+1-2000,"00"),YEAR($F802)-1&amp;"-"&amp;TEXT(YEAR($F802)-2000,"00")))</f>
        <v/>
      </c>
      <c r="J802" s="13" t="n">
        <v>61</v>
      </c>
      <c r="K802" s="14">
        <f>IFERROR($L802/$J802,"")</f>
        <v/>
      </c>
      <c r="L802" s="13" t="n">
        <v>2562</v>
      </c>
      <c r="M802" s="13">
        <f>IFERROR($L802/$H802,"")</f>
        <v/>
      </c>
      <c r="N802" s="11" t="n">
        <v>45700</v>
      </c>
      <c r="O802" s="10">
        <f>IF($N802="","No","Yes")</f>
        <v/>
      </c>
      <c r="P802" s="12">
        <f>IF(OR($F802="",$G802=""),0,IF(AND($F802&lt;=README!$B$4,README!$B$4&lt;=$G802),1,0))</f>
        <v/>
      </c>
      <c r="Q802" s="12">
        <f>IF(OR($F802="",$G802=""),0,IF(AND($F802&lt;=DATE(README!$B$5,12,31),$G802&gt;=DATE(README!$B$5,1,1)),1,0))</f>
        <v/>
      </c>
      <c r="R802" s="10" t="inlineStr">
        <is>
          <t>GUT-VEH0008</t>
        </is>
      </c>
      <c r="S802" s="11" t="n">
        <v>45475</v>
      </c>
      <c r="T802" s="10" t="inlineStr">
        <is>
          <t>3</t>
        </is>
      </c>
      <c r="U802" s="10" t="inlineStr">
        <is>
          <t>VEHICLE</t>
        </is>
      </c>
      <c r="V802" s="10" t="inlineStr">
        <is>
          <t>T</t>
        </is>
      </c>
      <c r="W802" s="10" t="inlineStr">
        <is>
          <t>VIVEK B</t>
        </is>
      </c>
    </row>
    <row r="803">
      <c r="A803" s="10" t="inlineStr">
        <is>
          <t>TN58BM3434</t>
        </is>
      </c>
      <c r="B803" s="10" t="inlineStr">
        <is>
          <t>WOVEN</t>
        </is>
      </c>
      <c r="C803" s="10" t="inlineStr">
        <is>
          <t>ADBLU</t>
        </is>
      </c>
      <c r="D803" s="10" t="inlineStr">
        <is>
          <t>ADBLU</t>
        </is>
      </c>
      <c r="E803" s="10" t="inlineStr">
        <is>
          <t>YEARLY</t>
        </is>
      </c>
      <c r="F803" s="11" t="n">
        <v>45383</v>
      </c>
      <c r="G803" s="11" t="n">
        <v>45747</v>
      </c>
      <c r="H803" s="12">
        <f>IF(OR($F803="",$G803=""),"",$G803-$F803+1)</f>
        <v/>
      </c>
      <c r="I803" s="10">
        <f>IF($F803="","",IF(MONTH($F803)&gt;=4,YEAR($F803)&amp;"-"&amp;TEXT(YEAR($F803)+1-2000,"00"),YEAR($F803)-1&amp;"-"&amp;TEXT(YEAR($F803)-2000,"00")))</f>
        <v/>
      </c>
      <c r="J803" s="13" t="n">
        <v>61</v>
      </c>
      <c r="K803" s="14">
        <f>IFERROR($L803/$J803,"")</f>
        <v/>
      </c>
      <c r="L803" s="13" t="n">
        <v>2562</v>
      </c>
      <c r="M803" s="13">
        <f>IFERROR($L803/$H803,"")</f>
        <v/>
      </c>
      <c r="N803" s="11" t="n">
        <v>45700</v>
      </c>
      <c r="O803" s="10">
        <f>IF($N803="","No","Yes")</f>
        <v/>
      </c>
      <c r="P803" s="12">
        <f>IF(OR($F803="",$G803=""),0,IF(AND($F803&lt;=README!$B$4,README!$B$4&lt;=$G803),1,0))</f>
        <v/>
      </c>
      <c r="Q803" s="12">
        <f>IF(OR($F803="",$G803=""),0,IF(AND($F803&lt;=DATE(README!$B$5,12,31),$G803&gt;=DATE(README!$B$5,1,1)),1,0))</f>
        <v/>
      </c>
      <c r="R803" s="10" t="inlineStr">
        <is>
          <t>GUT-VEH0008</t>
        </is>
      </c>
      <c r="S803" s="11" t="n">
        <v>45475</v>
      </c>
      <c r="T803" s="10" t="inlineStr">
        <is>
          <t>3</t>
        </is>
      </c>
      <c r="U803" s="10" t="inlineStr">
        <is>
          <t>VEHICLE</t>
        </is>
      </c>
      <c r="V803" s="10" t="inlineStr">
        <is>
          <t>T</t>
        </is>
      </c>
      <c r="W803" s="10" t="inlineStr">
        <is>
          <t>VIVEK B</t>
        </is>
      </c>
    </row>
    <row r="804">
      <c r="A804" s="10" t="inlineStr">
        <is>
          <t>TN58BM3434</t>
        </is>
      </c>
      <c r="B804" s="10" t="inlineStr">
        <is>
          <t>WOVEN</t>
        </is>
      </c>
      <c r="C804" s="10" t="inlineStr">
        <is>
          <t>FC WORK</t>
        </is>
      </c>
      <c r="D804" s="10" t="inlineStr">
        <is>
          <t>FC WORK</t>
        </is>
      </c>
      <c r="E804" s="10" t="inlineStr">
        <is>
          <t>YEARLY</t>
        </is>
      </c>
      <c r="F804" s="11" t="n">
        <v>45383</v>
      </c>
      <c r="G804" s="11" t="n">
        <v>45747</v>
      </c>
      <c r="H804" s="12">
        <f>IF(OR($F804="",$G804=""),"",$G804-$F804+1)</f>
        <v/>
      </c>
      <c r="I804" s="10">
        <f>IF($F804="","",IF(MONTH($F804)&gt;=4,YEAR($F804)&amp;"-"&amp;TEXT(YEAR($F804)+1-2000,"00"),YEAR($F804)-1&amp;"-"&amp;TEXT(YEAR($F804)-2000,"00")))</f>
        <v/>
      </c>
      <c r="J804" s="13" t="n">
        <v>35000</v>
      </c>
      <c r="K804" s="14">
        <f>IFERROR($L804/$J804,"")</f>
        <v/>
      </c>
      <c r="L804" s="13" t="n">
        <v>35000</v>
      </c>
      <c r="M804" s="13">
        <f>IFERROR($L804/$H804,"")</f>
        <v/>
      </c>
      <c r="N804" s="11" t="n">
        <v>45638</v>
      </c>
      <c r="O804" s="10">
        <f>IF($N804="","No","Yes")</f>
        <v/>
      </c>
      <c r="P804" s="12">
        <f>IF(OR($F804="",$G804=""),0,IF(AND($F804&lt;=README!$B$4,README!$B$4&lt;=$G804),1,0))</f>
        <v/>
      </c>
      <c r="Q804" s="12">
        <f>IF(OR($F804="",$G804=""),0,IF(AND($F804&lt;=DATE(README!$B$5,12,31),$G804&gt;=DATE(README!$B$5,1,1)),1,0))</f>
        <v/>
      </c>
      <c r="R804" s="10" t="inlineStr">
        <is>
          <t>GUT-VEH0009</t>
        </is>
      </c>
      <c r="S804" s="11" t="n">
        <v>45475</v>
      </c>
      <c r="T804" s="10" t="inlineStr">
        <is>
          <t>3</t>
        </is>
      </c>
      <c r="U804" s="10" t="inlineStr">
        <is>
          <t>VEHICLE</t>
        </is>
      </c>
      <c r="V804" s="10" t="inlineStr">
        <is>
          <t>T</t>
        </is>
      </c>
      <c r="W804" s="10" t="inlineStr">
        <is>
          <t>VIVEK B</t>
        </is>
      </c>
    </row>
    <row r="805">
      <c r="A805" s="10" t="inlineStr">
        <is>
          <t>TN58BM3434</t>
        </is>
      </c>
      <c r="B805" s="10" t="inlineStr">
        <is>
          <t>WOVEN</t>
        </is>
      </c>
      <c r="C805" s="10" t="inlineStr">
        <is>
          <t>ROAD TAX</t>
        </is>
      </c>
      <c r="D805" s="10" t="inlineStr">
        <is>
          <t>ROAD TAX</t>
        </is>
      </c>
      <c r="E805" s="10" t="inlineStr">
        <is>
          <t>YEARLY</t>
        </is>
      </c>
      <c r="F805" s="11" t="n">
        <v>45383</v>
      </c>
      <c r="G805" s="11" t="n">
        <v>45747</v>
      </c>
      <c r="H805" s="12">
        <f>IF(OR($F805="",$G805=""),"",$G805-$F805+1)</f>
        <v/>
      </c>
      <c r="I805" s="10">
        <f>IF($F805="","",IF(MONTH($F805)&gt;=4,YEAR($F805)&amp;"-"&amp;TEXT(YEAR($F805)+1-2000,"00"),YEAR($F805)-1&amp;"-"&amp;TEXT(YEAR($F805)-2000,"00")))</f>
        <v/>
      </c>
      <c r="J805" s="13" t="n">
        <v>32724</v>
      </c>
      <c r="K805" s="14">
        <f>IFERROR($L805/$J805,"")</f>
        <v/>
      </c>
      <c r="L805" s="13" t="n">
        <v>32724</v>
      </c>
      <c r="M805" s="13">
        <f>IFERROR($L805/$H805,"")</f>
        <v/>
      </c>
      <c r="N805" s="11" t="n">
        <v>45727</v>
      </c>
      <c r="O805" s="10">
        <f>IF($N805="","No","Yes")</f>
        <v/>
      </c>
      <c r="P805" s="12">
        <f>IF(OR($F805="",$G805=""),0,IF(AND($F805&lt;=README!$B$4,README!$B$4&lt;=$G805),1,0))</f>
        <v/>
      </c>
      <c r="Q805" s="12">
        <f>IF(OR($F805="",$G805=""),0,IF(AND($F805&lt;=DATE(README!$B$5,12,31),$G805&gt;=DATE(README!$B$5,1,1)),1,0))</f>
        <v/>
      </c>
      <c r="R805" s="10" t="inlineStr">
        <is>
          <t>GUT-VEH0016</t>
        </is>
      </c>
      <c r="S805" s="11" t="n">
        <v>46023</v>
      </c>
      <c r="T805" s="10" t="inlineStr">
        <is>
          <t>5</t>
        </is>
      </c>
      <c r="U805" s="10" t="inlineStr">
        <is>
          <t>VEHICLE</t>
        </is>
      </c>
      <c r="V805" s="10" t="inlineStr">
        <is>
          <t>T</t>
        </is>
      </c>
      <c r="W805" s="10" t="inlineStr">
        <is>
          <t>VIVEK B</t>
        </is>
      </c>
    </row>
    <row r="806">
      <c r="A806" s="10" t="inlineStr">
        <is>
          <t>TN58BM3434</t>
        </is>
      </c>
      <c r="B806" s="10" t="inlineStr">
        <is>
          <t>WOVEN</t>
        </is>
      </c>
      <c r="C806" s="10" t="inlineStr">
        <is>
          <t>ROAD TAX</t>
        </is>
      </c>
      <c r="D806" s="10" t="inlineStr">
        <is>
          <t>ROAD TAX</t>
        </is>
      </c>
      <c r="E806" s="10" t="inlineStr">
        <is>
          <t>YEARLY</t>
        </is>
      </c>
      <c r="F806" s="11" t="n">
        <v>45383</v>
      </c>
      <c r="G806" s="11" t="n">
        <v>45747</v>
      </c>
      <c r="H806" s="12">
        <f>IF(OR($F806="",$G806=""),"",$G806-$F806+1)</f>
        <v/>
      </c>
      <c r="I806" s="10">
        <f>IF($F806="","",IF(MONTH($F806)&gt;=4,YEAR($F806)&amp;"-"&amp;TEXT(YEAR($F806)+1-2000,"00"),YEAR($F806)-1&amp;"-"&amp;TEXT(YEAR($F806)-2000,"00")))</f>
        <v/>
      </c>
      <c r="J806" s="13" t="n">
        <v>32734</v>
      </c>
      <c r="K806" s="14">
        <f>IFERROR($L806/$J806,"")</f>
        <v/>
      </c>
      <c r="L806" s="13" t="n">
        <v>32734</v>
      </c>
      <c r="M806" s="13">
        <f>IFERROR($L806/$H806,"")</f>
        <v/>
      </c>
      <c r="N806" s="11" t="n">
        <v>45910</v>
      </c>
      <c r="O806" s="10">
        <f>IF($N806="","No","Yes")</f>
        <v/>
      </c>
      <c r="P806" s="12">
        <f>IF(OR($F806="",$G806=""),0,IF(AND($F806&lt;=README!$B$4,README!$B$4&lt;=$G806),1,0))</f>
        <v/>
      </c>
      <c r="Q806" s="12">
        <f>IF(OR($F806="",$G806=""),0,IF(AND($F806&lt;=DATE(README!$B$5,12,31),$G806&gt;=DATE(README!$B$5,1,1)),1,0))</f>
        <v/>
      </c>
      <c r="R806" s="10" t="inlineStr">
        <is>
          <t>GUT-VEH0016</t>
        </is>
      </c>
      <c r="S806" s="11" t="n">
        <v>46023</v>
      </c>
      <c r="T806" s="10" t="inlineStr">
        <is>
          <t>5</t>
        </is>
      </c>
      <c r="U806" s="10" t="inlineStr">
        <is>
          <t>VEHICLE</t>
        </is>
      </c>
      <c r="V806" s="10" t="inlineStr">
        <is>
          <t>T</t>
        </is>
      </c>
      <c r="W806" s="10" t="inlineStr">
        <is>
          <t>VIVEK B</t>
        </is>
      </c>
    </row>
    <row r="807">
      <c r="A807" s="10" t="inlineStr">
        <is>
          <t>TN58BM3434</t>
        </is>
      </c>
      <c r="B807" s="10" t="inlineStr">
        <is>
          <t>WOVEN</t>
        </is>
      </c>
      <c r="C807" s="10" t="inlineStr">
        <is>
          <t>ROAD TAX</t>
        </is>
      </c>
      <c r="D807" s="10" t="inlineStr">
        <is>
          <t>ROAD TAX</t>
        </is>
      </c>
      <c r="E807" s="10" t="inlineStr">
        <is>
          <t>YEARLY</t>
        </is>
      </c>
      <c r="F807" s="11" t="n">
        <v>45383</v>
      </c>
      <c r="G807" s="11" t="n">
        <v>45747</v>
      </c>
      <c r="H807" s="12">
        <f>IF(OR($F807="",$G807=""),"",$G807-$F807+1)</f>
        <v/>
      </c>
      <c r="I807" s="10">
        <f>IF($F807="","",IF(MONTH($F807)&gt;=4,YEAR($F807)&amp;"-"&amp;TEXT(YEAR($F807)+1-2000,"00"),YEAR($F807)-1&amp;"-"&amp;TEXT(YEAR($F807)-2000,"00")))</f>
        <v/>
      </c>
      <c r="J807" s="13" t="n">
        <v>32724</v>
      </c>
      <c r="K807" s="14">
        <f>IFERROR($L807/$J807,"")</f>
        <v/>
      </c>
      <c r="L807" s="13" t="n">
        <v>32724</v>
      </c>
      <c r="M807" s="13">
        <f>IFERROR($L807/$H807,"")</f>
        <v/>
      </c>
      <c r="N807" s="11" t="n">
        <v>45840</v>
      </c>
      <c r="O807" s="10">
        <f>IF($N807="","No","Yes")</f>
        <v/>
      </c>
      <c r="P807" s="12">
        <f>IF(OR($F807="",$G807=""),0,IF(AND($F807&lt;=README!$B$4,README!$B$4&lt;=$G807),1,0))</f>
        <v/>
      </c>
      <c r="Q807" s="12">
        <f>IF(OR($F807="",$G807=""),0,IF(AND($F807&lt;=DATE(README!$B$5,12,31),$G807&gt;=DATE(README!$B$5,1,1)),1,0))</f>
        <v/>
      </c>
      <c r="R807" s="10" t="inlineStr">
        <is>
          <t>GUT-VEH0016</t>
        </is>
      </c>
      <c r="S807" s="11" t="n">
        <v>46023</v>
      </c>
      <c r="T807" s="10" t="inlineStr">
        <is>
          <t>5</t>
        </is>
      </c>
      <c r="U807" s="10" t="inlineStr">
        <is>
          <t>VEHICLE</t>
        </is>
      </c>
      <c r="V807" s="10" t="inlineStr">
        <is>
          <t>T</t>
        </is>
      </c>
      <c r="W807" s="10" t="inlineStr">
        <is>
          <t>VIVEK B</t>
        </is>
      </c>
    </row>
    <row r="808">
      <c r="A808" s="10" t="inlineStr">
        <is>
          <t>TN58BM3434</t>
        </is>
      </c>
      <c r="B808" s="10" t="inlineStr">
        <is>
          <t>WOVEN</t>
        </is>
      </c>
      <c r="C808" s="10" t="inlineStr">
        <is>
          <t>ROAD TAX</t>
        </is>
      </c>
      <c r="D808" s="10" t="inlineStr">
        <is>
          <t>ROAD TAX</t>
        </is>
      </c>
      <c r="E808" s="10" t="inlineStr">
        <is>
          <t>YEARLY</t>
        </is>
      </c>
      <c r="F808" s="11" t="n">
        <v>45383</v>
      </c>
      <c r="G808" s="11" t="n">
        <v>45747</v>
      </c>
      <c r="H808" s="12">
        <f>IF(OR($F808="",$G808=""),"",$G808-$F808+1)</f>
        <v/>
      </c>
      <c r="I808" s="10">
        <f>IF($F808="","",IF(MONTH($F808)&gt;=4,YEAR($F808)&amp;"-"&amp;TEXT(YEAR($F808)+1-2000,"00"),YEAR($F808)-1&amp;"-"&amp;TEXT(YEAR($F808)-2000,"00")))</f>
        <v/>
      </c>
      <c r="J808" s="13" t="n">
        <v>32724</v>
      </c>
      <c r="K808" s="14">
        <f>IFERROR($L808/$J808,"")</f>
        <v/>
      </c>
      <c r="L808" s="13" t="n">
        <v>32724</v>
      </c>
      <c r="M808" s="13">
        <f>IFERROR($L808/$H808,"")</f>
        <v/>
      </c>
      <c r="N808" s="11" t="n">
        <v>45649</v>
      </c>
      <c r="O808" s="10">
        <f>IF($N808="","No","Yes")</f>
        <v/>
      </c>
      <c r="P808" s="12">
        <f>IF(OR($F808="",$G808=""),0,IF(AND($F808&lt;=README!$B$4,README!$B$4&lt;=$G808),1,0))</f>
        <v/>
      </c>
      <c r="Q808" s="12">
        <f>IF(OR($F808="",$G808=""),0,IF(AND($F808&lt;=DATE(README!$B$5,12,31),$G808&gt;=DATE(README!$B$5,1,1)),1,0))</f>
        <v/>
      </c>
      <c r="R808" s="10" t="inlineStr">
        <is>
          <t>GUT-VEH0011</t>
        </is>
      </c>
      <c r="S808" s="11" t="n">
        <v>45475</v>
      </c>
      <c r="T808" s="10" t="inlineStr">
        <is>
          <t>3</t>
        </is>
      </c>
      <c r="U808" s="10" t="inlineStr">
        <is>
          <t>VEHICLE</t>
        </is>
      </c>
      <c r="V808" s="10" t="inlineStr">
        <is>
          <t>T</t>
        </is>
      </c>
      <c r="W808" s="10" t="inlineStr">
        <is>
          <t>VIVEK B</t>
        </is>
      </c>
    </row>
    <row r="809">
      <c r="A809" s="10" t="inlineStr">
        <is>
          <t>TN58BM3434</t>
        </is>
      </c>
      <c r="B809" s="10" t="inlineStr">
        <is>
          <t>WOVEN</t>
        </is>
      </c>
      <c r="C809" s="10" t="inlineStr">
        <is>
          <t>ROAD TAX</t>
        </is>
      </c>
      <c r="D809" s="10" t="inlineStr">
        <is>
          <t>ROAD TAX</t>
        </is>
      </c>
      <c r="E809" s="10" t="inlineStr">
        <is>
          <t>YEARLY</t>
        </is>
      </c>
      <c r="F809" s="11" t="n">
        <v>45383</v>
      </c>
      <c r="G809" s="11" t="n">
        <v>45747</v>
      </c>
      <c r="H809" s="12">
        <f>IF(OR($F809="",$G809=""),"",$G809-$F809+1)</f>
        <v/>
      </c>
      <c r="I809" s="10">
        <f>IF($F809="","",IF(MONTH($F809)&gt;=4,YEAR($F809)&amp;"-"&amp;TEXT(YEAR($F809)+1-2000,"00"),YEAR($F809)-1&amp;"-"&amp;TEXT(YEAR($F809)-2000,"00")))</f>
        <v/>
      </c>
      <c r="J809" s="13" t="n">
        <v>32724</v>
      </c>
      <c r="K809" s="14">
        <f>IFERROR($L809/$J809,"")</f>
        <v/>
      </c>
      <c r="L809" s="13" t="n">
        <v>32724</v>
      </c>
      <c r="M809" s="13">
        <f>IFERROR($L809/$H809,"")</f>
        <v/>
      </c>
      <c r="N809" s="11" t="n">
        <v>45569</v>
      </c>
      <c r="O809" s="10">
        <f>IF($N809="","No","Yes")</f>
        <v/>
      </c>
      <c r="P809" s="12">
        <f>IF(OR($F809="",$G809=""),0,IF(AND($F809&lt;=README!$B$4,README!$B$4&lt;=$G809),1,0))</f>
        <v/>
      </c>
      <c r="Q809" s="12">
        <f>IF(OR($F809="",$G809=""),0,IF(AND($F809&lt;=DATE(README!$B$5,12,31),$G809&gt;=DATE(README!$B$5,1,1)),1,0))</f>
        <v/>
      </c>
      <c r="R809" s="10" t="inlineStr">
        <is>
          <t>GUT-VEH0011</t>
        </is>
      </c>
      <c r="S809" s="11" t="n">
        <v>45475</v>
      </c>
      <c r="T809" s="10" t="inlineStr">
        <is>
          <t>3</t>
        </is>
      </c>
      <c r="U809" s="10" t="inlineStr">
        <is>
          <t>VEHICLE</t>
        </is>
      </c>
      <c r="V809" s="10" t="inlineStr">
        <is>
          <t>T</t>
        </is>
      </c>
      <c r="W809" s="10" t="inlineStr">
        <is>
          <t>VIVEK B</t>
        </is>
      </c>
    </row>
    <row r="810">
      <c r="A810" s="10" t="inlineStr">
        <is>
          <t>TN58BM3434</t>
        </is>
      </c>
      <c r="B810" s="10" t="inlineStr">
        <is>
          <t>WOVEN</t>
        </is>
      </c>
      <c r="C810" s="10" t="inlineStr">
        <is>
          <t>ROAD TAX</t>
        </is>
      </c>
      <c r="D810" s="10" t="inlineStr">
        <is>
          <t>ROAD TAX</t>
        </is>
      </c>
      <c r="E810" s="10" t="inlineStr">
        <is>
          <t>YEARLY</t>
        </is>
      </c>
      <c r="F810" s="11" t="n">
        <v>45383</v>
      </c>
      <c r="G810" s="11" t="n">
        <v>45747</v>
      </c>
      <c r="H810" s="12">
        <f>IF(OR($F810="",$G810=""),"",$G810-$F810+1)</f>
        <v/>
      </c>
      <c r="I810" s="10">
        <f>IF($F810="","",IF(MONTH($F810)&gt;=4,YEAR($F810)&amp;"-"&amp;TEXT(YEAR($F810)+1-2000,"00"),YEAR($F810)-1&amp;"-"&amp;TEXT(YEAR($F810)-2000,"00")))</f>
        <v/>
      </c>
      <c r="J810" s="13" t="n">
        <v>32724</v>
      </c>
      <c r="K810" s="14">
        <f>IFERROR($L810/$J810,"")</f>
        <v/>
      </c>
      <c r="L810" s="13" t="n">
        <v>32724</v>
      </c>
      <c r="M810" s="13">
        <f>IFERROR($L810/$H810,"")</f>
        <v/>
      </c>
      <c r="N810" s="11" t="n">
        <v>45481</v>
      </c>
      <c r="O810" s="10">
        <f>IF($N810="","No","Yes")</f>
        <v/>
      </c>
      <c r="P810" s="12">
        <f>IF(OR($F810="",$G810=""),0,IF(AND($F810&lt;=README!$B$4,README!$B$4&lt;=$G810),1,0))</f>
        <v/>
      </c>
      <c r="Q810" s="12">
        <f>IF(OR($F810="",$G810=""),0,IF(AND($F810&lt;=DATE(README!$B$5,12,31),$G810&gt;=DATE(README!$B$5,1,1)),1,0))</f>
        <v/>
      </c>
      <c r="R810" s="10" t="inlineStr">
        <is>
          <t>GUT-VEH0011</t>
        </is>
      </c>
      <c r="S810" s="11" t="n">
        <v>45475</v>
      </c>
      <c r="T810" s="10" t="inlineStr">
        <is>
          <t>3</t>
        </is>
      </c>
      <c r="U810" s="10" t="inlineStr">
        <is>
          <t>VEHICLE</t>
        </is>
      </c>
      <c r="V810" s="10" t="inlineStr">
        <is>
          <t>T</t>
        </is>
      </c>
      <c r="W810" s="10" t="inlineStr">
        <is>
          <t>VIVEK B</t>
        </is>
      </c>
    </row>
    <row r="811">
      <c r="A811" s="10" t="inlineStr">
        <is>
          <t>TN58BM3434</t>
        </is>
      </c>
      <c r="B811" s="10" t="inlineStr">
        <is>
          <t>WOVEN</t>
        </is>
      </c>
      <c r="C811" s="10" t="inlineStr">
        <is>
          <t>RTO EXPENSE</t>
        </is>
      </c>
      <c r="D811" s="10" t="inlineStr">
        <is>
          <t>RTO EXPENSE</t>
        </is>
      </c>
      <c r="E811" s="10" t="inlineStr">
        <is>
          <t>YEARLY</t>
        </is>
      </c>
      <c r="F811" s="11" t="n">
        <v>45383</v>
      </c>
      <c r="G811" s="11" t="n">
        <v>45747</v>
      </c>
      <c r="H811" s="12">
        <f>IF(OR($F811="",$G811=""),"",$G811-$F811+1)</f>
        <v/>
      </c>
      <c r="I811" s="10">
        <f>IF($F811="","",IF(MONTH($F811)&gt;=4,YEAR($F811)&amp;"-"&amp;TEXT(YEAR($F811)+1-2000,"00"),YEAR($F811)-1&amp;"-"&amp;TEXT(YEAR($F811)-2000,"00")))</f>
        <v/>
      </c>
      <c r="J811" s="13" t="n">
        <v>12500</v>
      </c>
      <c r="K811" s="14">
        <f>IFERROR($L811/$J811,"")</f>
        <v/>
      </c>
      <c r="L811" s="13" t="n">
        <v>12500</v>
      </c>
      <c r="M811" s="13">
        <f>IFERROR($L811/$H811,"")</f>
        <v/>
      </c>
      <c r="N811" s="11" t="n">
        <v>45638</v>
      </c>
      <c r="O811" s="10">
        <f>IF($N811="","No","Yes")</f>
        <v/>
      </c>
      <c r="P811" s="12">
        <f>IF(OR($F811="",$G811=""),0,IF(AND($F811&lt;=README!$B$4,README!$B$4&lt;=$G811),1,0))</f>
        <v/>
      </c>
      <c r="Q811" s="12">
        <f>IF(OR($F811="",$G811=""),0,IF(AND($F811&lt;=DATE(README!$B$5,12,31),$G811&gt;=DATE(README!$B$5,1,1)),1,0))</f>
        <v/>
      </c>
      <c r="R811" s="10" t="inlineStr">
        <is>
          <t>GUT-VEH0010</t>
        </is>
      </c>
      <c r="S811" s="11" t="n">
        <v>45475</v>
      </c>
      <c r="T811" s="10" t="inlineStr">
        <is>
          <t>3</t>
        </is>
      </c>
      <c r="U811" s="10" t="inlineStr">
        <is>
          <t>VEHICLE</t>
        </is>
      </c>
      <c r="V811" s="10" t="inlineStr">
        <is>
          <t>T</t>
        </is>
      </c>
      <c r="W811" s="10" t="inlineStr">
        <is>
          <t>VIVEK B</t>
        </is>
      </c>
    </row>
    <row r="812">
      <c r="A812" s="10" t="inlineStr">
        <is>
          <t>TN58BM3434</t>
        </is>
      </c>
      <c r="B812" s="10" t="inlineStr">
        <is>
          <t>WOVEN</t>
        </is>
      </c>
      <c r="C812" s="10" t="inlineStr">
        <is>
          <t>TYRE</t>
        </is>
      </c>
      <c r="D812" s="10" t="inlineStr">
        <is>
          <t>TYRE</t>
        </is>
      </c>
      <c r="E812" s="10" t="inlineStr">
        <is>
          <t>YEARLY</t>
        </is>
      </c>
      <c r="F812" s="11" t="n">
        <v>45383</v>
      </c>
      <c r="G812" s="11" t="n">
        <v>45747</v>
      </c>
      <c r="H812" s="12">
        <f>IF(OR($F812="",$G812=""),"",$G812-$F812+1)</f>
        <v/>
      </c>
      <c r="I812" s="10">
        <f>IF($F812="","",IF(MONTH($F812)&gt;=4,YEAR($F812)&amp;"-"&amp;TEXT(YEAR($F812)+1-2000,"00"),YEAR($F812)-1&amp;"-"&amp;TEXT(YEAR($F812)-2000,"00")))</f>
        <v/>
      </c>
      <c r="J812" s="13" t="n">
        <v>30200</v>
      </c>
      <c r="K812" s="14">
        <f>IFERROR($L812/$J812,"")</f>
        <v/>
      </c>
      <c r="L812" s="13" t="n">
        <v>30200</v>
      </c>
      <c r="M812" s="13">
        <f>IFERROR($L812/$H812,"")</f>
        <v/>
      </c>
      <c r="N812" s="11" t="n">
        <v>45554</v>
      </c>
      <c r="O812" s="10">
        <f>IF($N812="","No","Yes")</f>
        <v/>
      </c>
      <c r="P812" s="12">
        <f>IF(OR($F812="",$G812=""),0,IF(AND($F812&lt;=README!$B$4,README!$B$4&lt;=$G812),1,0))</f>
        <v/>
      </c>
      <c r="Q812" s="12">
        <f>IF(OR($F812="",$G812=""),0,IF(AND($F812&lt;=DATE(README!$B$5,12,31),$G812&gt;=DATE(README!$B$5,1,1)),1,0))</f>
        <v/>
      </c>
      <c r="R812" s="10" t="inlineStr">
        <is>
          <t>GUT-VEH0006</t>
        </is>
      </c>
      <c r="S812" s="11" t="n">
        <v>45437</v>
      </c>
      <c r="T812" s="10" t="inlineStr">
        <is>
          <t>3</t>
        </is>
      </c>
      <c r="U812" s="10" t="inlineStr">
        <is>
          <t>VEHICLE</t>
        </is>
      </c>
      <c r="V812" s="10" t="inlineStr">
        <is>
          <t>T</t>
        </is>
      </c>
      <c r="W812" s="10" t="inlineStr">
        <is>
          <t>VIVEK B</t>
        </is>
      </c>
    </row>
    <row r="813">
      <c r="A813" s="10" t="inlineStr">
        <is>
          <t>TN58BM3434</t>
        </is>
      </c>
      <c r="B813" s="10" t="inlineStr">
        <is>
          <t>WOVEN</t>
        </is>
      </c>
      <c r="C813" s="10" t="inlineStr">
        <is>
          <t>VEHICLE INSURANCE</t>
        </is>
      </c>
      <c r="D813" s="10" t="inlineStr">
        <is>
          <t>VEHICLE INSURANCE</t>
        </is>
      </c>
      <c r="E813" s="10" t="inlineStr">
        <is>
          <t>YEARLY</t>
        </is>
      </c>
      <c r="F813" s="11" t="n">
        <v>45383</v>
      </c>
      <c r="G813" s="11" t="n">
        <v>45747</v>
      </c>
      <c r="H813" s="12">
        <f>IF(OR($F813="",$G813=""),"",$G813-$F813+1)</f>
        <v/>
      </c>
      <c r="I813" s="10">
        <f>IF($F813="","",IF(MONTH($F813)&gt;=4,YEAR($F813)&amp;"-"&amp;TEXT(YEAR($F813)+1-2000,"00"),YEAR($F813)-1&amp;"-"&amp;TEXT(YEAR($F813)-2000,"00")))</f>
        <v/>
      </c>
      <c r="J813" s="13" t="n">
        <v>80290</v>
      </c>
      <c r="K813" s="14">
        <f>IFERROR($L813/$J813,"")</f>
        <v/>
      </c>
      <c r="L813" s="13" t="n">
        <v>80290</v>
      </c>
      <c r="M813" s="13">
        <f>IFERROR($L813/$H813,"")</f>
        <v/>
      </c>
      <c r="N813" s="11" t="n">
        <v>45565</v>
      </c>
      <c r="O813" s="10">
        <f>IF($N813="","No","Yes")</f>
        <v/>
      </c>
      <c r="P813" s="12">
        <f>IF(OR($F813="",$G813=""),0,IF(AND($F813&lt;=README!$B$4,README!$B$4&lt;=$G813),1,0))</f>
        <v/>
      </c>
      <c r="Q813" s="12">
        <f>IF(OR($F813="",$G813=""),0,IF(AND($F813&lt;=DATE(README!$B$5,12,31),$G813&gt;=DATE(README!$B$5,1,1)),1,0))</f>
        <v/>
      </c>
      <c r="R813" s="10" t="inlineStr">
        <is>
          <t>GUT-VEH0012</t>
        </is>
      </c>
      <c r="S813" s="11" t="n">
        <v>45478</v>
      </c>
      <c r="T813" s="10" t="inlineStr">
        <is>
          <t>3</t>
        </is>
      </c>
      <c r="U813" s="10" t="inlineStr">
        <is>
          <t>VEHICLE</t>
        </is>
      </c>
      <c r="V813" s="10" t="inlineStr">
        <is>
          <t>T</t>
        </is>
      </c>
      <c r="W813" s="10" t="inlineStr">
        <is>
          <t>VIVEK B</t>
        </is>
      </c>
    </row>
    <row r="814">
      <c r="A814" s="10" t="inlineStr">
        <is>
          <t>TN58BM3434</t>
        </is>
      </c>
      <c r="B814" s="10" t="inlineStr">
        <is>
          <t>WOVEN</t>
        </is>
      </c>
      <c r="C814" s="10" t="inlineStr">
        <is>
          <t>TYRE</t>
        </is>
      </c>
      <c r="D814" s="10" t="inlineStr">
        <is>
          <t>TYRE</t>
        </is>
      </c>
      <c r="E814" s="10" t="inlineStr">
        <is>
          <t>YEARLY</t>
        </is>
      </c>
      <c r="F814" s="11" t="n">
        <v>45748</v>
      </c>
      <c r="G814" s="11" t="n">
        <v>46112</v>
      </c>
      <c r="H814" s="12">
        <f>IF(OR($F814="",$G814=""),"",$G814-$F814+1)</f>
        <v/>
      </c>
      <c r="I814" s="10">
        <f>IF($F814="","",IF(MONTH($F814)&gt;=4,YEAR($F814)&amp;"-"&amp;TEXT(YEAR($F814)+1-2000,"00"),YEAR($F814)-1&amp;"-"&amp;TEXT(YEAR($F814)-2000,"00")))</f>
        <v/>
      </c>
      <c r="J814" s="13" t="n">
        <v>30300</v>
      </c>
      <c r="K814" s="14">
        <f>IFERROR($L814/$J814,"")</f>
        <v/>
      </c>
      <c r="L814" s="13" t="n">
        <v>30300</v>
      </c>
      <c r="M814" s="13">
        <f>IFERROR($L814/$H814,"")</f>
        <v/>
      </c>
      <c r="N814" s="11" t="n">
        <v>45986</v>
      </c>
      <c r="O814" s="10">
        <f>IF($N814="","No","Yes")</f>
        <v/>
      </c>
      <c r="P814" s="12">
        <f>IF(OR($F814="",$G814=""),0,IF(AND($F814&lt;=README!$B$4,README!$B$4&lt;=$G814),1,0))</f>
        <v/>
      </c>
      <c r="Q814" s="12">
        <f>IF(OR($F814="",$G814=""),0,IF(AND($F814&lt;=DATE(README!$B$5,12,31),$G814&gt;=DATE(README!$B$5,1,1)),1,0))</f>
        <v/>
      </c>
      <c r="R814" s="10" t="inlineStr">
        <is>
          <t>GUT-VEH0026</t>
        </is>
      </c>
      <c r="S814" s="11" t="n">
        <v>45957</v>
      </c>
      <c r="T814" s="10" t="inlineStr">
        <is>
          <t>5</t>
        </is>
      </c>
      <c r="U814" s="10" t="inlineStr">
        <is>
          <t>VEHICLE</t>
        </is>
      </c>
      <c r="V814" s="10" t="inlineStr">
        <is>
          <t>T</t>
        </is>
      </c>
      <c r="W814" s="10" t="inlineStr">
        <is>
          <t>VIVEK B</t>
        </is>
      </c>
    </row>
    <row r="815">
      <c r="A815" s="10" t="inlineStr">
        <is>
          <t>TN58BM3434</t>
        </is>
      </c>
      <c r="B815" s="10" t="inlineStr">
        <is>
          <t>WOVEN</t>
        </is>
      </c>
      <c r="C815" s="10" t="inlineStr">
        <is>
          <t>VEHICLE INSURANCE</t>
        </is>
      </c>
      <c r="D815" s="10" t="inlineStr">
        <is>
          <t>VEHICLE INSURANCE</t>
        </is>
      </c>
      <c r="E815" s="10" t="inlineStr">
        <is>
          <t>YEARLY</t>
        </is>
      </c>
      <c r="F815" s="11" t="n">
        <v>45748</v>
      </c>
      <c r="G815" s="11" t="n">
        <v>46112</v>
      </c>
      <c r="H815" s="12">
        <f>IF(OR($F815="",$G815=""),"",$G815-$F815+1)</f>
        <v/>
      </c>
      <c r="I815" s="10">
        <f>IF($F815="","",IF(MONTH($F815)&gt;=4,YEAR($F815)&amp;"-"&amp;TEXT(YEAR($F815)+1-2000,"00"),YEAR($F815)-1&amp;"-"&amp;TEXT(YEAR($F815)-2000,"00")))</f>
        <v/>
      </c>
      <c r="J815" s="13" t="n">
        <v>79218</v>
      </c>
      <c r="K815" s="14">
        <f>IFERROR($L815/$J815,"")</f>
        <v/>
      </c>
      <c r="L815" s="13" t="n">
        <v>79218</v>
      </c>
      <c r="M815" s="13">
        <f>IFERROR($L815/$H815,"")</f>
        <v/>
      </c>
      <c r="N815" s="11" t="n">
        <v>45930</v>
      </c>
      <c r="O815" s="10">
        <f>IF($N815="","No","Yes")</f>
        <v/>
      </c>
      <c r="P815" s="12">
        <f>IF(OR($F815="",$G815=""),0,IF(AND($F815&lt;=README!$B$4,README!$B$4&lt;=$G815),1,0))</f>
        <v/>
      </c>
      <c r="Q815" s="12">
        <f>IF(OR($F815="",$G815=""),0,IF(AND($F815&lt;=DATE(README!$B$5,12,31),$G815&gt;=DATE(README!$B$5,1,1)),1,0))</f>
        <v/>
      </c>
      <c r="R815" s="10" t="inlineStr">
        <is>
          <t>GUT-VEH0019</t>
        </is>
      </c>
      <c r="S815" s="11" t="n">
        <v>45799</v>
      </c>
      <c r="T815" s="10" t="inlineStr">
        <is>
          <t>5</t>
        </is>
      </c>
      <c r="U815" s="10" t="inlineStr">
        <is>
          <t>VEHICLE</t>
        </is>
      </c>
      <c r="V815" s="10" t="inlineStr">
        <is>
          <t>T</t>
        </is>
      </c>
      <c r="W815" s="10" t="inlineStr">
        <is>
          <t>VIVEK B</t>
        </is>
      </c>
    </row>
    <row r="816">
      <c r="A816" s="10" t="inlineStr">
        <is>
          <t>TN58BM3434</t>
        </is>
      </c>
      <c r="B816" s="10" t="inlineStr"/>
      <c r="C816" s="10" t="inlineStr">
        <is>
          <t>VEHICLE OUTSIDE SERVICES</t>
        </is>
      </c>
      <c r="D816" s="10" t="inlineStr">
        <is>
          <t>GLASS STICKERS</t>
        </is>
      </c>
      <c r="E816" s="10" t="inlineStr">
        <is>
          <t>YEARLY</t>
        </is>
      </c>
      <c r="F816" s="11" t="n">
        <v>45748</v>
      </c>
      <c r="G816" s="11" t="n">
        <v>46112</v>
      </c>
      <c r="H816" s="12">
        <f>IF(OR($F816="",$G816=""),"",$G816-$F816+1)</f>
        <v/>
      </c>
      <c r="I816" s="10">
        <f>IF($F816="","",IF(MONTH($F816)&gt;=4,YEAR($F816)&amp;"-"&amp;TEXT(YEAR($F816)+1-2000,"00"),YEAR($F816)-1&amp;"-"&amp;TEXT(YEAR($F816)-2000,"00")))</f>
        <v/>
      </c>
      <c r="J816" s="13" t="n">
        <v>2832</v>
      </c>
      <c r="K816" s="14">
        <f>IFERROR($L816/$J816,"")</f>
        <v/>
      </c>
      <c r="L816" s="13" t="n">
        <v>2832</v>
      </c>
      <c r="M816" s="13">
        <f>IFERROR($L816/$H816,"")</f>
        <v/>
      </c>
      <c r="N816" s="11" t="n">
        <v>45925</v>
      </c>
      <c r="O816" s="10">
        <f>IF($N816="","No","Yes")</f>
        <v/>
      </c>
      <c r="P816" s="12">
        <f>IF(OR($F816="",$G816=""),0,IF(AND($F816&lt;=README!$B$4,README!$B$4&lt;=$G816),1,0))</f>
        <v/>
      </c>
      <c r="Q816" s="12">
        <f>IF(OR($F816="",$G816=""),0,IF(AND($F816&lt;=DATE(README!$B$5,12,31),$G816&gt;=DATE(README!$B$5,1,1)),1,0))</f>
        <v/>
      </c>
      <c r="R816" s="10" t="inlineStr">
        <is>
          <t>GUT-VEH0021</t>
        </is>
      </c>
      <c r="S816" s="11" t="n">
        <v>45812</v>
      </c>
      <c r="T816" s="10" t="inlineStr">
        <is>
          <t>5</t>
        </is>
      </c>
      <c r="U816" s="10" t="inlineStr">
        <is>
          <t>VEHICLE</t>
        </is>
      </c>
      <c r="V816" s="10" t="inlineStr">
        <is>
          <t>T</t>
        </is>
      </c>
      <c r="W816" s="10" t="inlineStr">
        <is>
          <t>VIVEK B</t>
        </is>
      </c>
    </row>
    <row r="817">
      <c r="A817" s="10" t="inlineStr">
        <is>
          <t>TN58BM3434</t>
        </is>
      </c>
      <c r="B817" s="10" t="inlineStr"/>
      <c r="C817" s="10" t="inlineStr">
        <is>
          <t>VEHICLE OUTSIDE SERVICES</t>
        </is>
      </c>
      <c r="D817" s="10" t="inlineStr">
        <is>
          <t xml:space="preserve">MAINTENANCE SERVICE </t>
        </is>
      </c>
      <c r="E817" s="10" t="inlineStr">
        <is>
          <t>YEARLY</t>
        </is>
      </c>
      <c r="F817" s="11" t="n">
        <v>45748</v>
      </c>
      <c r="G817" s="11" t="n">
        <v>46112</v>
      </c>
      <c r="H817" s="12">
        <f>IF(OR($F817="",$G817=""),"",$G817-$F817+1)</f>
        <v/>
      </c>
      <c r="I817" s="10">
        <f>IF($F817="","",IF(MONTH($F817)&gt;=4,YEAR($F817)&amp;"-"&amp;TEXT(YEAR($F817)+1-2000,"00"),YEAR($F817)-1&amp;"-"&amp;TEXT(YEAR($F817)-2000,"00")))</f>
        <v/>
      </c>
      <c r="J817" s="13" t="n">
        <v>41015.43</v>
      </c>
      <c r="K817" s="14">
        <f>IFERROR($L817/$J817,"")</f>
        <v/>
      </c>
      <c r="L817" s="13" t="n">
        <v>41015.43</v>
      </c>
      <c r="M817" s="13">
        <f>IFERROR($L817/$H817,"")</f>
        <v/>
      </c>
      <c r="N817" s="11" t="n">
        <v>45952</v>
      </c>
      <c r="O817" s="10">
        <f>IF($N817="","No","Yes")</f>
        <v/>
      </c>
      <c r="P817" s="12">
        <f>IF(OR($F817="",$G817=""),0,IF(AND($F817&lt;=README!$B$4,README!$B$4&lt;=$G817),1,0))</f>
        <v/>
      </c>
      <c r="Q817" s="12">
        <f>IF(OR($F817="",$G817=""),0,IF(AND($F817&lt;=DATE(README!$B$5,12,31),$G817&gt;=DATE(README!$B$5,1,1)),1,0))</f>
        <v/>
      </c>
      <c r="R817" s="10" t="inlineStr">
        <is>
          <t>GUT-VEH0021</t>
        </is>
      </c>
      <c r="S817" s="11" t="n">
        <v>45812</v>
      </c>
      <c r="T817" s="10" t="inlineStr">
        <is>
          <t>5</t>
        </is>
      </c>
      <c r="U817" s="10" t="inlineStr">
        <is>
          <t>VEHICLE</t>
        </is>
      </c>
      <c r="V817" s="10" t="inlineStr">
        <is>
          <t>T</t>
        </is>
      </c>
      <c r="W817" s="10" t="inlineStr">
        <is>
          <t>VIVEK B</t>
        </is>
      </c>
    </row>
    <row r="818">
      <c r="A818" s="10" t="inlineStr">
        <is>
          <t>TN58BM3434</t>
        </is>
      </c>
      <c r="B818" s="10" t="inlineStr">
        <is>
          <t>WOVEN</t>
        </is>
      </c>
      <c r="C818" s="10" t="inlineStr">
        <is>
          <t>ROAD TAX</t>
        </is>
      </c>
      <c r="D818" s="10" t="inlineStr">
        <is>
          <t>ROAD TAX</t>
        </is>
      </c>
      <c r="E818" s="10" t="inlineStr">
        <is>
          <t>QUARTER - IV</t>
        </is>
      </c>
      <c r="F818" s="11" t="n">
        <v>46023</v>
      </c>
      <c r="G818" s="11" t="n">
        <v>46112</v>
      </c>
      <c r="H818" s="12">
        <f>IF(OR($F818="",$G818=""),"",$G818-$F818+1)</f>
        <v/>
      </c>
      <c r="I818" s="10">
        <f>IF($F818="","",IF(MONTH($F818)&gt;=4,YEAR($F818)&amp;"-"&amp;TEXT(YEAR($F818)+1-2000,"00"),YEAR($F818)-1&amp;"-"&amp;TEXT(YEAR($F818)-2000,"00")))</f>
        <v/>
      </c>
      <c r="J818" s="13" t="n">
        <v>32734</v>
      </c>
      <c r="K818" s="14">
        <f>IFERROR($L818/$J818,"")</f>
        <v/>
      </c>
      <c r="L818" s="13" t="n">
        <v>32734</v>
      </c>
      <c r="M818" s="13">
        <f>IFERROR($L818/$H818,"")</f>
        <v/>
      </c>
      <c r="N818" s="11" t="n">
        <v>46065</v>
      </c>
      <c r="O818" s="10">
        <f>IF($N818="","No","Yes")</f>
        <v/>
      </c>
      <c r="P818" s="12">
        <f>IF(OR($F818="",$G818=""),0,IF(AND($F818&lt;=README!$B$4,README!$B$4&lt;=$G818),1,0))</f>
        <v/>
      </c>
      <c r="Q818" s="12">
        <f>IF(OR($F818="",$G818=""),0,IF(AND($F818&lt;=DATE(README!$B$5,12,31),$G818&gt;=DATE(README!$B$5,1,1)),1,0))</f>
        <v/>
      </c>
      <c r="R818" s="10" t="inlineStr">
        <is>
          <t>GUT-VEH0016</t>
        </is>
      </c>
      <c r="S818" s="11" t="n">
        <v>46023</v>
      </c>
      <c r="T818" s="10" t="inlineStr">
        <is>
          <t>5</t>
        </is>
      </c>
      <c r="U818" s="10" t="inlineStr">
        <is>
          <t>VEHICLE</t>
        </is>
      </c>
      <c r="V818" s="10" t="inlineStr">
        <is>
          <t>T</t>
        </is>
      </c>
      <c r="W818" s="10" t="inlineStr">
        <is>
          <t>VIVEK B</t>
        </is>
      </c>
    </row>
    <row r="819">
      <c r="A819" s="10" t="inlineStr">
        <is>
          <t>TN58BM3434</t>
        </is>
      </c>
      <c r="B819" s="10" t="inlineStr">
        <is>
          <t>WOVEN</t>
        </is>
      </c>
      <c r="C819" s="10" t="inlineStr">
        <is>
          <t>ROAD TAX</t>
        </is>
      </c>
      <c r="D819" s="10" t="inlineStr">
        <is>
          <t>ROAD TAX</t>
        </is>
      </c>
      <c r="E819" s="10" t="inlineStr">
        <is>
          <t>QUARTER - I</t>
        </is>
      </c>
      <c r="F819" s="11" t="n">
        <v>46113</v>
      </c>
      <c r="G819" s="11" t="n">
        <v>46203</v>
      </c>
      <c r="H819" s="12">
        <f>IF(OR($F819="",$G819=""),"",$G819-$F819+1)</f>
        <v/>
      </c>
      <c r="I819" s="10">
        <f>IF($F819="","",IF(MONTH($F819)&gt;=4,YEAR($F819)&amp;"-"&amp;TEXT(YEAR($F819)+1-2000,"00"),YEAR($F819)-1&amp;"-"&amp;TEXT(YEAR($F819)-2000,"00")))</f>
        <v/>
      </c>
      <c r="J819" s="13" t="n">
        <v>32734</v>
      </c>
      <c r="K819" s="14">
        <f>IFERROR($L819/$J819,"")</f>
        <v/>
      </c>
      <c r="L819" s="13" t="n">
        <v>32734</v>
      </c>
      <c r="M819" s="13">
        <f>IFERROR($L819/$H819,"")</f>
        <v/>
      </c>
      <c r="N819" s="11" t="n">
        <v>46088</v>
      </c>
      <c r="O819" s="10">
        <f>IF($N819="","No","Yes")</f>
        <v/>
      </c>
      <c r="P819" s="12">
        <f>IF(OR($F819="",$G819=""),0,IF(AND($F819&lt;=README!$B$4,README!$B$4&lt;=$G819),1,0))</f>
        <v/>
      </c>
      <c r="Q819" s="12">
        <f>IF(OR($F819="",$G819=""),0,IF(AND($F819&lt;=DATE(README!$B$5,12,31),$G819&gt;=DATE(README!$B$5,1,1)),1,0))</f>
        <v/>
      </c>
      <c r="R819" s="10" t="inlineStr">
        <is>
          <t>GUT-VEH0029</t>
        </is>
      </c>
      <c r="S819" s="11" t="n">
        <v>46087</v>
      </c>
      <c r="T819" s="10" t="inlineStr">
        <is>
          <t>5</t>
        </is>
      </c>
      <c r="U819" s="10" t="inlineStr">
        <is>
          <t>VEHICLE</t>
        </is>
      </c>
      <c r="V819" s="10" t="inlineStr">
        <is>
          <t>T</t>
        </is>
      </c>
      <c r="W819" s="10" t="inlineStr">
        <is>
          <t>VIVEK B</t>
        </is>
      </c>
    </row>
    <row r="820">
      <c r="A820" s="10" t="inlineStr">
        <is>
          <t>TN58BM3434</t>
        </is>
      </c>
      <c r="B820" s="10" t="inlineStr">
        <is>
          <t>WOVEN</t>
        </is>
      </c>
      <c r="C820" s="10" t="inlineStr">
        <is>
          <t>ROAD TAX</t>
        </is>
      </c>
      <c r="D820" s="10" t="inlineStr">
        <is>
          <t>ROAD TAX</t>
        </is>
      </c>
      <c r="E820" s="10" t="inlineStr">
        <is>
          <t>QUARTER - II</t>
        </is>
      </c>
      <c r="F820" s="11" t="n">
        <v>46204</v>
      </c>
      <c r="G820" s="11" t="n">
        <v>46295</v>
      </c>
      <c r="H820" s="12">
        <f>IF(OR($F820="",$G820=""),"",$G820-$F820+1)</f>
        <v/>
      </c>
      <c r="I820" s="10">
        <f>IF($F820="","",IF(MONTH($F820)&gt;=4,YEAR($F820)&amp;"-"&amp;TEXT(YEAR($F820)+1-2000,"00"),YEAR($F820)-1&amp;"-"&amp;TEXT(YEAR($F820)-2000,"00")))</f>
        <v/>
      </c>
      <c r="J820" s="13" t="n">
        <v>32734</v>
      </c>
      <c r="K820" s="14">
        <f>IFERROR($L820/$J820,"")</f>
        <v/>
      </c>
      <c r="L820" s="13" t="n">
        <v>32734</v>
      </c>
      <c r="M820" s="13">
        <f>IFERROR($L820/$H820,"")</f>
        <v/>
      </c>
      <c r="N820" s="11" t="n">
        <v>46196</v>
      </c>
      <c r="O820" s="10">
        <f>IF($N820="","No","Yes")</f>
        <v/>
      </c>
      <c r="P820" s="12">
        <f>IF(OR($F820="",$G820=""),0,IF(AND($F820&lt;=README!$B$4,README!$B$4&lt;=$G820),1,0))</f>
        <v/>
      </c>
      <c r="Q820" s="12">
        <f>IF(OR($F820="",$G820=""),0,IF(AND($F820&lt;=DATE(README!$B$5,12,31),$G820&gt;=DATE(README!$B$5,1,1)),1,0))</f>
        <v/>
      </c>
      <c r="R820" s="10" t="inlineStr">
        <is>
          <t>GUT-VEH0038</t>
        </is>
      </c>
      <c r="S820" s="11" t="n">
        <v>46193</v>
      </c>
      <c r="T820" s="10" t="inlineStr">
        <is>
          <t>5</t>
        </is>
      </c>
      <c r="U820" s="10" t="inlineStr">
        <is>
          <t>VEHICLE</t>
        </is>
      </c>
      <c r="V820" s="10" t="inlineStr">
        <is>
          <t>T</t>
        </is>
      </c>
      <c r="W820" s="10" t="inlineStr">
        <is>
          <t>VIVEK B</t>
        </is>
      </c>
    </row>
    <row r="821">
      <c r="A821" s="10" t="inlineStr">
        <is>
          <t>TN58BM3636</t>
        </is>
      </c>
      <c r="B821" s="10" t="inlineStr">
        <is>
          <t>SOCKS</t>
        </is>
      </c>
      <c r="C821" s="10" t="inlineStr">
        <is>
          <t>ADBLU</t>
        </is>
      </c>
      <c r="D821" s="10" t="inlineStr">
        <is>
          <t>ADBLU</t>
        </is>
      </c>
      <c r="E821" s="10" t="inlineStr">
        <is>
          <t>YEARLY</t>
        </is>
      </c>
      <c r="F821" s="11" t="n">
        <v>45383</v>
      </c>
      <c r="G821" s="11" t="n">
        <v>45747</v>
      </c>
      <c r="H821" s="12">
        <f>IF(OR($F821="",$G821=""),"",$G821-$F821+1)</f>
        <v/>
      </c>
      <c r="I821" s="10">
        <f>IF($F821="","",IF(MONTH($F821)&gt;=4,YEAR($F821)&amp;"-"&amp;TEXT(YEAR($F821)+1-2000,"00"),YEAR($F821)-1&amp;"-"&amp;TEXT(YEAR($F821)-2000,"00")))</f>
        <v/>
      </c>
      <c r="J821" s="13" t="n">
        <v>61</v>
      </c>
      <c r="K821" s="14">
        <f>IFERROR($L821/$J821,"")</f>
        <v/>
      </c>
      <c r="L821" s="13" t="n">
        <v>1525</v>
      </c>
      <c r="M821" s="13">
        <f>IFERROR($L821/$H821,"")</f>
        <v/>
      </c>
      <c r="N821" s="11" t="n">
        <v>45479</v>
      </c>
      <c r="O821" s="10">
        <f>IF($N821="","No","Yes")</f>
        <v/>
      </c>
      <c r="P821" s="12">
        <f>IF(OR($F821="",$G821=""),0,IF(AND($F821&lt;=README!$B$4,README!$B$4&lt;=$G821),1,0))</f>
        <v/>
      </c>
      <c r="Q821" s="12">
        <f>IF(OR($F821="",$G821=""),0,IF(AND($F821&lt;=DATE(README!$B$5,12,31),$G821&gt;=DATE(README!$B$5,1,1)),1,0))</f>
        <v/>
      </c>
      <c r="R821" s="10" t="inlineStr">
        <is>
          <t>GUP-VEH0008</t>
        </is>
      </c>
      <c r="S821" s="11" t="n">
        <v>45461</v>
      </c>
      <c r="T821" s="10" t="inlineStr">
        <is>
          <t>541</t>
        </is>
      </c>
      <c r="U821" s="10" t="inlineStr">
        <is>
          <t>VEHICLE</t>
        </is>
      </c>
      <c r="V821" s="10" t="inlineStr">
        <is>
          <t>T</t>
        </is>
      </c>
      <c r="W821" s="10" t="inlineStr">
        <is>
          <t>VIVEK B</t>
        </is>
      </c>
    </row>
    <row r="822">
      <c r="A822" s="10" t="inlineStr">
        <is>
          <t>TN58BM3636</t>
        </is>
      </c>
      <c r="B822" s="10" t="inlineStr">
        <is>
          <t>SOCKS</t>
        </is>
      </c>
      <c r="C822" s="10" t="inlineStr">
        <is>
          <t>ADBLU</t>
        </is>
      </c>
      <c r="D822" s="10" t="inlineStr">
        <is>
          <t>ADBLU</t>
        </is>
      </c>
      <c r="E822" s="10" t="inlineStr">
        <is>
          <t>YEARLY</t>
        </is>
      </c>
      <c r="F822" s="11" t="n">
        <v>45383</v>
      </c>
      <c r="G822" s="11" t="n">
        <v>45747</v>
      </c>
      <c r="H822" s="12">
        <f>IF(OR($F822="",$G822=""),"",$G822-$F822+1)</f>
        <v/>
      </c>
      <c r="I822" s="10">
        <f>IF($F822="","",IF(MONTH($F822)&gt;=4,YEAR($F822)&amp;"-"&amp;TEXT(YEAR($F822)+1-2000,"00"),YEAR($F822)-1&amp;"-"&amp;TEXT(YEAR($F822)-2000,"00")))</f>
        <v/>
      </c>
      <c r="J822" s="13" t="n">
        <v>61</v>
      </c>
      <c r="K822" s="14">
        <f>IFERROR($L822/$J822,"")</f>
        <v/>
      </c>
      <c r="L822" s="13" t="n">
        <v>1830</v>
      </c>
      <c r="M822" s="13">
        <f>IFERROR($L822/$H822,"")</f>
        <v/>
      </c>
      <c r="N822" s="11" t="n">
        <v>45623</v>
      </c>
      <c r="O822" s="10">
        <f>IF($N822="","No","Yes")</f>
        <v/>
      </c>
      <c r="P822" s="12">
        <f>IF(OR($F822="",$G822=""),0,IF(AND($F822&lt;=README!$B$4,README!$B$4&lt;=$G822),1,0))</f>
        <v/>
      </c>
      <c r="Q822" s="12">
        <f>IF(OR($F822="",$G822=""),0,IF(AND($F822&lt;=DATE(README!$B$5,12,31),$G822&gt;=DATE(README!$B$5,1,1)),1,0))</f>
        <v/>
      </c>
      <c r="R822" s="10" t="inlineStr">
        <is>
          <t>GUP-VEH0008</t>
        </is>
      </c>
      <c r="S822" s="11" t="n">
        <v>45461</v>
      </c>
      <c r="T822" s="10" t="inlineStr">
        <is>
          <t>541</t>
        </is>
      </c>
      <c r="U822" s="10" t="inlineStr">
        <is>
          <t>VEHICLE</t>
        </is>
      </c>
      <c r="V822" s="10" t="inlineStr">
        <is>
          <t>T</t>
        </is>
      </c>
      <c r="W822" s="10" t="inlineStr">
        <is>
          <t>VIVEK B</t>
        </is>
      </c>
    </row>
    <row r="823">
      <c r="A823" s="10" t="inlineStr">
        <is>
          <t>TN58BM3636</t>
        </is>
      </c>
      <c r="B823" s="10" t="inlineStr">
        <is>
          <t>SOCKS</t>
        </is>
      </c>
      <c r="C823" s="10" t="inlineStr">
        <is>
          <t>ADBLU</t>
        </is>
      </c>
      <c r="D823" s="10" t="inlineStr">
        <is>
          <t>ADBLU</t>
        </is>
      </c>
      <c r="E823" s="10" t="inlineStr">
        <is>
          <t>YEARLY</t>
        </is>
      </c>
      <c r="F823" s="11" t="n">
        <v>45383</v>
      </c>
      <c r="G823" s="11" t="n">
        <v>45747</v>
      </c>
      <c r="H823" s="12">
        <f>IF(OR($F823="",$G823=""),"",$G823-$F823+1)</f>
        <v/>
      </c>
      <c r="I823" s="10">
        <f>IF($F823="","",IF(MONTH($F823)&gt;=4,YEAR($F823)&amp;"-"&amp;TEXT(YEAR($F823)+1-2000,"00"),YEAR($F823)-1&amp;"-"&amp;TEXT(YEAR($F823)-2000,"00")))</f>
        <v/>
      </c>
      <c r="J823" s="13" t="n">
        <v>61</v>
      </c>
      <c r="K823" s="14">
        <f>IFERROR($L823/$J823,"")</f>
        <v/>
      </c>
      <c r="L823" s="13" t="n">
        <v>2745</v>
      </c>
      <c r="M823" s="13">
        <f>IFERROR($L823/$H823,"")</f>
        <v/>
      </c>
      <c r="N823" s="11" t="n">
        <v>45700</v>
      </c>
      <c r="O823" s="10">
        <f>IF($N823="","No","Yes")</f>
        <v/>
      </c>
      <c r="P823" s="12">
        <f>IF(OR($F823="",$G823=""),0,IF(AND($F823&lt;=README!$B$4,README!$B$4&lt;=$G823),1,0))</f>
        <v/>
      </c>
      <c r="Q823" s="12">
        <f>IF(OR($F823="",$G823=""),0,IF(AND($F823&lt;=DATE(README!$B$5,12,31),$G823&gt;=DATE(README!$B$5,1,1)),1,0))</f>
        <v/>
      </c>
      <c r="R823" s="10" t="inlineStr">
        <is>
          <t>GUP-VEH0008</t>
        </is>
      </c>
      <c r="S823" s="11" t="n">
        <v>45461</v>
      </c>
      <c r="T823" s="10" t="inlineStr">
        <is>
          <t>541</t>
        </is>
      </c>
      <c r="U823" s="10" t="inlineStr">
        <is>
          <t>VEHICLE</t>
        </is>
      </c>
      <c r="V823" s="10" t="inlineStr">
        <is>
          <t>T</t>
        </is>
      </c>
      <c r="W823" s="10" t="inlineStr">
        <is>
          <t>VIVEK B</t>
        </is>
      </c>
    </row>
    <row r="824">
      <c r="A824" s="10" t="inlineStr">
        <is>
          <t>TN58BM3636</t>
        </is>
      </c>
      <c r="B824" s="10" t="inlineStr">
        <is>
          <t>SOCKS</t>
        </is>
      </c>
      <c r="C824" s="10" t="inlineStr">
        <is>
          <t>ADBLU</t>
        </is>
      </c>
      <c r="D824" s="10" t="inlineStr">
        <is>
          <t>ADBLU</t>
        </is>
      </c>
      <c r="E824" s="10" t="inlineStr">
        <is>
          <t>YEARLY</t>
        </is>
      </c>
      <c r="F824" s="11" t="n">
        <v>45383</v>
      </c>
      <c r="G824" s="11" t="n">
        <v>45747</v>
      </c>
      <c r="H824" s="12">
        <f>IF(OR($F824="",$G824=""),"",$G824-$F824+1)</f>
        <v/>
      </c>
      <c r="I824" s="10">
        <f>IF($F824="","",IF(MONTH($F824)&gt;=4,YEAR($F824)&amp;"-"&amp;TEXT(YEAR($F824)+1-2000,"00"),YEAR($F824)-1&amp;"-"&amp;TEXT(YEAR($F824)-2000,"00")))</f>
        <v/>
      </c>
      <c r="J824" s="13" t="n">
        <v>61</v>
      </c>
      <c r="K824" s="14">
        <f>IFERROR($L824/$J824,"")</f>
        <v/>
      </c>
      <c r="L824" s="13" t="n">
        <v>2745</v>
      </c>
      <c r="M824" s="13">
        <f>IFERROR($L824/$H824,"")</f>
        <v/>
      </c>
      <c r="N824" s="11" t="n">
        <v>45700</v>
      </c>
      <c r="O824" s="10">
        <f>IF($N824="","No","Yes")</f>
        <v/>
      </c>
      <c r="P824" s="12">
        <f>IF(OR($F824="",$G824=""),0,IF(AND($F824&lt;=README!$B$4,README!$B$4&lt;=$G824),1,0))</f>
        <v/>
      </c>
      <c r="Q824" s="12">
        <f>IF(OR($F824="",$G824=""),0,IF(AND($F824&lt;=DATE(README!$B$5,12,31),$G824&gt;=DATE(README!$B$5,1,1)),1,0))</f>
        <v/>
      </c>
      <c r="R824" s="10" t="inlineStr">
        <is>
          <t>GUP-VEH0008</t>
        </is>
      </c>
      <c r="S824" s="11" t="n">
        <v>45461</v>
      </c>
      <c r="T824" s="10" t="inlineStr">
        <is>
          <t>541</t>
        </is>
      </c>
      <c r="U824" s="10" t="inlineStr">
        <is>
          <t>VEHICLE</t>
        </is>
      </c>
      <c r="V824" s="10" t="inlineStr">
        <is>
          <t>T</t>
        </is>
      </c>
      <c r="W824" s="10" t="inlineStr">
        <is>
          <t>VIVEK B</t>
        </is>
      </c>
    </row>
    <row r="825">
      <c r="A825" s="10" t="inlineStr">
        <is>
          <t>TN58BM3636</t>
        </is>
      </c>
      <c r="B825" s="10" t="inlineStr">
        <is>
          <t>SOCKS</t>
        </is>
      </c>
      <c r="C825" s="10" t="inlineStr">
        <is>
          <t>ADBLU</t>
        </is>
      </c>
      <c r="D825" s="10" t="inlineStr">
        <is>
          <t>ADBLU</t>
        </is>
      </c>
      <c r="E825" s="10" t="inlineStr">
        <is>
          <t>YEARLY</t>
        </is>
      </c>
      <c r="F825" s="11" t="n">
        <v>45383</v>
      </c>
      <c r="G825" s="11" t="n">
        <v>45747</v>
      </c>
      <c r="H825" s="12">
        <f>IF(OR($F825="",$G825=""),"",$G825-$F825+1)</f>
        <v/>
      </c>
      <c r="I825" s="10">
        <f>IF($F825="","",IF(MONTH($F825)&gt;=4,YEAR($F825)&amp;"-"&amp;TEXT(YEAR($F825)+1-2000,"00"),YEAR($F825)-1&amp;"-"&amp;TEXT(YEAR($F825)-2000,"00")))</f>
        <v/>
      </c>
      <c r="J825" s="13" t="n">
        <v>61</v>
      </c>
      <c r="K825" s="14">
        <f>IFERROR($L825/$J825,"")</f>
        <v/>
      </c>
      <c r="L825" s="13" t="n">
        <v>1830</v>
      </c>
      <c r="M825" s="13">
        <f>IFERROR($L825/$H825,"")</f>
        <v/>
      </c>
      <c r="N825" s="11" t="n">
        <v>45602</v>
      </c>
      <c r="O825" s="10">
        <f>IF($N825="","No","Yes")</f>
        <v/>
      </c>
      <c r="P825" s="12">
        <f>IF(OR($F825="",$G825=""),0,IF(AND($F825&lt;=README!$B$4,README!$B$4&lt;=$G825),1,0))</f>
        <v/>
      </c>
      <c r="Q825" s="12">
        <f>IF(OR($F825="",$G825=""),0,IF(AND($F825&lt;=DATE(README!$B$5,12,31),$G825&gt;=DATE(README!$B$5,1,1)),1,0))</f>
        <v/>
      </c>
      <c r="R825" s="10" t="inlineStr">
        <is>
          <t>GUP-VEH0008</t>
        </is>
      </c>
      <c r="S825" s="11" t="n">
        <v>45461</v>
      </c>
      <c r="T825" s="10" t="inlineStr">
        <is>
          <t>541</t>
        </is>
      </c>
      <c r="U825" s="10" t="inlineStr">
        <is>
          <t>VEHICLE</t>
        </is>
      </c>
      <c r="V825" s="10" t="inlineStr">
        <is>
          <t>T</t>
        </is>
      </c>
      <c r="W825" s="10" t="inlineStr">
        <is>
          <t>VIVEK B</t>
        </is>
      </c>
    </row>
    <row r="826">
      <c r="A826" s="10" t="inlineStr">
        <is>
          <t>TN58BM3636</t>
        </is>
      </c>
      <c r="B826" s="10" t="inlineStr">
        <is>
          <t>SOCKS</t>
        </is>
      </c>
      <c r="C826" s="10" t="inlineStr">
        <is>
          <t>ROAD TAX</t>
        </is>
      </c>
      <c r="D826" s="10" t="inlineStr">
        <is>
          <t>ROAD TAX</t>
        </is>
      </c>
      <c r="E826" s="10" t="inlineStr">
        <is>
          <t>YEARLY</t>
        </is>
      </c>
      <c r="F826" s="11" t="n">
        <v>45383</v>
      </c>
      <c r="G826" s="11" t="n">
        <v>45747</v>
      </c>
      <c r="H826" s="12">
        <f>IF(OR($F826="",$G826=""),"",$G826-$F826+1)</f>
        <v/>
      </c>
      <c r="I826" s="10">
        <f>IF($F826="","",IF(MONTH($F826)&gt;=4,YEAR($F826)&amp;"-"&amp;TEXT(YEAR($F826)+1-2000,"00"),YEAR($F826)-1&amp;"-"&amp;TEXT(YEAR($F826)-2000,"00")))</f>
        <v/>
      </c>
      <c r="J826" s="13" t="n">
        <v>32724</v>
      </c>
      <c r="K826" s="14">
        <f>IFERROR($L826/$J826,"")</f>
        <v/>
      </c>
      <c r="L826" s="13" t="n">
        <v>32724</v>
      </c>
      <c r="M826" s="13">
        <f>IFERROR($L826/$H826,"")</f>
        <v/>
      </c>
      <c r="N826" s="11" t="n">
        <v>45649</v>
      </c>
      <c r="O826" s="10">
        <f>IF($N826="","No","Yes")</f>
        <v/>
      </c>
      <c r="P826" s="12">
        <f>IF(OR($F826="",$G826=""),0,IF(AND($F826&lt;=README!$B$4,README!$B$4&lt;=$G826),1,0))</f>
        <v/>
      </c>
      <c r="Q826" s="12">
        <f>IF(OR($F826="",$G826=""),0,IF(AND($F826&lt;=DATE(README!$B$5,12,31),$G826&gt;=DATE(README!$B$5,1,1)),1,0))</f>
        <v/>
      </c>
      <c r="R826" s="10" t="inlineStr">
        <is>
          <t>GUP-VEH0011</t>
        </is>
      </c>
      <c r="S826" s="11" t="n">
        <v>45477</v>
      </c>
      <c r="T826" s="10" t="inlineStr">
        <is>
          <t>548</t>
        </is>
      </c>
      <c r="U826" s="10" t="inlineStr">
        <is>
          <t>VEHICLE</t>
        </is>
      </c>
      <c r="V826" s="10" t="inlineStr">
        <is>
          <t>T</t>
        </is>
      </c>
      <c r="W826" s="10" t="inlineStr">
        <is>
          <t>VIVEK B</t>
        </is>
      </c>
    </row>
    <row r="827">
      <c r="A827" s="10" t="inlineStr">
        <is>
          <t>TN58BM3636</t>
        </is>
      </c>
      <c r="B827" s="10" t="inlineStr">
        <is>
          <t>SOCKS</t>
        </is>
      </c>
      <c r="C827" s="10" t="inlineStr">
        <is>
          <t>ROAD TAX</t>
        </is>
      </c>
      <c r="D827" s="10" t="inlineStr">
        <is>
          <t>ROAD TAX</t>
        </is>
      </c>
      <c r="E827" s="10" t="inlineStr">
        <is>
          <t>YEARLY</t>
        </is>
      </c>
      <c r="F827" s="11" t="n">
        <v>45383</v>
      </c>
      <c r="G827" s="11" t="n">
        <v>45747</v>
      </c>
      <c r="H827" s="12">
        <f>IF(OR($F827="",$G827=""),"",$G827-$F827+1)</f>
        <v/>
      </c>
      <c r="I827" s="10">
        <f>IF($F827="","",IF(MONTH($F827)&gt;=4,YEAR($F827)&amp;"-"&amp;TEXT(YEAR($F827)+1-2000,"00"),YEAR($F827)-1&amp;"-"&amp;TEXT(YEAR($F827)-2000,"00")))</f>
        <v/>
      </c>
      <c r="J827" s="13" t="n">
        <v>32724</v>
      </c>
      <c r="K827" s="14">
        <f>IFERROR($L827/$J827,"")</f>
        <v/>
      </c>
      <c r="L827" s="13" t="n">
        <v>32724</v>
      </c>
      <c r="M827" s="13">
        <f>IFERROR($L827/$H827,"")</f>
        <v/>
      </c>
      <c r="N827" s="11" t="n">
        <v>45569</v>
      </c>
      <c r="O827" s="10">
        <f>IF($N827="","No","Yes")</f>
        <v/>
      </c>
      <c r="P827" s="12">
        <f>IF(OR($F827="",$G827=""),0,IF(AND($F827&lt;=README!$B$4,README!$B$4&lt;=$G827),1,0))</f>
        <v/>
      </c>
      <c r="Q827" s="12">
        <f>IF(OR($F827="",$G827=""),0,IF(AND($F827&lt;=DATE(README!$B$5,12,31),$G827&gt;=DATE(README!$B$5,1,1)),1,0))</f>
        <v/>
      </c>
      <c r="R827" s="10" t="inlineStr">
        <is>
          <t>GUP-VEH0011</t>
        </is>
      </c>
      <c r="S827" s="11" t="n">
        <v>45477</v>
      </c>
      <c r="T827" s="10" t="inlineStr">
        <is>
          <t>548</t>
        </is>
      </c>
      <c r="U827" s="10" t="inlineStr">
        <is>
          <t>VEHICLE</t>
        </is>
      </c>
      <c r="V827" s="10" t="inlineStr">
        <is>
          <t>T</t>
        </is>
      </c>
      <c r="W827" s="10" t="inlineStr">
        <is>
          <t>VIVEK B</t>
        </is>
      </c>
    </row>
    <row r="828">
      <c r="A828" s="10" t="inlineStr">
        <is>
          <t>TN58BM3636</t>
        </is>
      </c>
      <c r="B828" s="10" t="inlineStr">
        <is>
          <t>SOCKS</t>
        </is>
      </c>
      <c r="C828" s="10" t="inlineStr">
        <is>
          <t>ROAD TAX</t>
        </is>
      </c>
      <c r="D828" s="10" t="inlineStr">
        <is>
          <t>ROAD TAX</t>
        </is>
      </c>
      <c r="E828" s="10" t="inlineStr">
        <is>
          <t>YEARLY</t>
        </is>
      </c>
      <c r="F828" s="11" t="n">
        <v>45383</v>
      </c>
      <c r="G828" s="11" t="n">
        <v>45747</v>
      </c>
      <c r="H828" s="12">
        <f>IF(OR($F828="",$G828=""),"",$G828-$F828+1)</f>
        <v/>
      </c>
      <c r="I828" s="10">
        <f>IF($F828="","",IF(MONTH($F828)&gt;=4,YEAR($F828)&amp;"-"&amp;TEXT(YEAR($F828)+1-2000,"00"),YEAR($F828)-1&amp;"-"&amp;TEXT(YEAR($F828)-2000,"00")))</f>
        <v/>
      </c>
      <c r="J828" s="13" t="n">
        <v>32724</v>
      </c>
      <c r="K828" s="14">
        <f>IFERROR($L828/$J828,"")</f>
        <v/>
      </c>
      <c r="L828" s="13" t="n">
        <v>32724</v>
      </c>
      <c r="M828" s="13">
        <f>IFERROR($L828/$H828,"")</f>
        <v/>
      </c>
      <c r="N828" s="11" t="n">
        <v>45481</v>
      </c>
      <c r="O828" s="10">
        <f>IF($N828="","No","Yes")</f>
        <v/>
      </c>
      <c r="P828" s="12">
        <f>IF(OR($F828="",$G828=""),0,IF(AND($F828&lt;=README!$B$4,README!$B$4&lt;=$G828),1,0))</f>
        <v/>
      </c>
      <c r="Q828" s="12">
        <f>IF(OR($F828="",$G828=""),0,IF(AND($F828&lt;=DATE(README!$B$5,12,31),$G828&gt;=DATE(README!$B$5,1,1)),1,0))</f>
        <v/>
      </c>
      <c r="R828" s="10" t="inlineStr">
        <is>
          <t>GUP-VEH0011</t>
        </is>
      </c>
      <c r="S828" s="11" t="n">
        <v>45477</v>
      </c>
      <c r="T828" s="10" t="inlineStr">
        <is>
          <t>548</t>
        </is>
      </c>
      <c r="U828" s="10" t="inlineStr">
        <is>
          <t>VEHICLE</t>
        </is>
      </c>
      <c r="V828" s="10" t="inlineStr">
        <is>
          <t>T</t>
        </is>
      </c>
      <c r="W828" s="10" t="inlineStr">
        <is>
          <t>VIVEK B</t>
        </is>
      </c>
    </row>
    <row r="829">
      <c r="A829" s="10" t="inlineStr">
        <is>
          <t>TN58BM3636</t>
        </is>
      </c>
      <c r="B829" s="10" t="inlineStr">
        <is>
          <t>SOCKS</t>
        </is>
      </c>
      <c r="C829" s="10" t="inlineStr">
        <is>
          <t>TYRE</t>
        </is>
      </c>
      <c r="D829" s="10" t="inlineStr">
        <is>
          <t>TYRE - 2</t>
        </is>
      </c>
      <c r="E829" s="10" t="inlineStr">
        <is>
          <t>YEARLY</t>
        </is>
      </c>
      <c r="F829" s="11" t="n">
        <v>45383</v>
      </c>
      <c r="G829" s="11" t="n">
        <v>45747</v>
      </c>
      <c r="H829" s="12">
        <f>IF(OR($F829="",$G829=""),"",$G829-$F829+1)</f>
        <v/>
      </c>
      <c r="I829" s="10">
        <f>IF($F829="","",IF(MONTH($F829)&gt;=4,YEAR($F829)&amp;"-"&amp;TEXT(YEAR($F829)+1-2000,"00"),YEAR($F829)-1&amp;"-"&amp;TEXT(YEAR($F829)-2000,"00")))</f>
        <v/>
      </c>
      <c r="J829" s="13" t="n">
        <v>30200</v>
      </c>
      <c r="K829" s="14">
        <f>IFERROR($L829/$J829,"")</f>
        <v/>
      </c>
      <c r="L829" s="13" t="n">
        <v>30200</v>
      </c>
      <c r="M829" s="13">
        <f>IFERROR($L829/$H829,"")</f>
        <v/>
      </c>
      <c r="N829" s="11" t="n">
        <v>45652</v>
      </c>
      <c r="O829" s="10">
        <f>IF($N829="","No","Yes")</f>
        <v/>
      </c>
      <c r="P829" s="12">
        <f>IF(OR($F829="",$G829=""),0,IF(AND($F829&lt;=README!$B$4,README!$B$4&lt;=$G829),1,0))</f>
        <v/>
      </c>
      <c r="Q829" s="12">
        <f>IF(OR($F829="",$G829=""),0,IF(AND($F829&lt;=DATE(README!$B$5,12,31),$G829&gt;=DATE(README!$B$5,1,1)),1,0))</f>
        <v/>
      </c>
      <c r="R829" s="10" t="inlineStr">
        <is>
          <t>GUP-VEH0006</t>
        </is>
      </c>
      <c r="S829" s="11" t="n">
        <v>45442</v>
      </c>
      <c r="T829" s="10" t="inlineStr">
        <is>
          <t>522</t>
        </is>
      </c>
      <c r="U829" s="10" t="inlineStr">
        <is>
          <t>VEHICLE</t>
        </is>
      </c>
      <c r="V829" s="10" t="inlineStr">
        <is>
          <t>T</t>
        </is>
      </c>
      <c r="W829" s="10" t="inlineStr">
        <is>
          <t>VIVEK B</t>
        </is>
      </c>
    </row>
    <row r="830">
      <c r="A830" s="10" t="inlineStr">
        <is>
          <t>TN58BM3636</t>
        </is>
      </c>
      <c r="B830" s="10" t="inlineStr">
        <is>
          <t>SOCKS</t>
        </is>
      </c>
      <c r="C830" s="10" t="inlineStr">
        <is>
          <t>TYRE</t>
        </is>
      </c>
      <c r="D830" s="10" t="inlineStr">
        <is>
          <t>TYRE</t>
        </is>
      </c>
      <c r="E830" s="10" t="inlineStr">
        <is>
          <t>YEARLY</t>
        </is>
      </c>
      <c r="F830" s="11" t="n">
        <v>45383</v>
      </c>
      <c r="G830" s="11" t="n">
        <v>45747</v>
      </c>
      <c r="H830" s="12">
        <f>IF(OR($F830="",$G830=""),"",$G830-$F830+1)</f>
        <v/>
      </c>
      <c r="I830" s="10">
        <f>IF($F830="","",IF(MONTH($F830)&gt;=4,YEAR($F830)&amp;"-"&amp;TEXT(YEAR($F830)+1-2000,"00"),YEAR($F830)-1&amp;"-"&amp;TEXT(YEAR($F830)-2000,"00")))</f>
        <v/>
      </c>
      <c r="J830" s="13" t="n">
        <v>30200</v>
      </c>
      <c r="K830" s="14">
        <f>IFERROR($L830/$J830,"")</f>
        <v/>
      </c>
      <c r="L830" s="13" t="n">
        <v>30200</v>
      </c>
      <c r="M830" s="13">
        <f>IFERROR($L830/$H830,"")</f>
        <v/>
      </c>
      <c r="N830" s="11" t="n">
        <v>45590</v>
      </c>
      <c r="O830" s="10">
        <f>IF($N830="","No","Yes")</f>
        <v/>
      </c>
      <c r="P830" s="12">
        <f>IF(OR($F830="",$G830=""),0,IF(AND($F830&lt;=README!$B$4,README!$B$4&lt;=$G830),1,0))</f>
        <v/>
      </c>
      <c r="Q830" s="12">
        <f>IF(OR($F830="",$G830=""),0,IF(AND($F830&lt;=DATE(README!$B$5,12,31),$G830&gt;=DATE(README!$B$5,1,1)),1,0))</f>
        <v/>
      </c>
      <c r="R830" s="10" t="inlineStr">
        <is>
          <t>GUP-VEH0006</t>
        </is>
      </c>
      <c r="S830" s="11" t="n">
        <v>45442</v>
      </c>
      <c r="T830" s="10" t="inlineStr">
        <is>
          <t>522</t>
        </is>
      </c>
      <c r="U830" s="10" t="inlineStr">
        <is>
          <t>VEHICLE</t>
        </is>
      </c>
      <c r="V830" s="10" t="inlineStr">
        <is>
          <t>T</t>
        </is>
      </c>
      <c r="W830" s="10" t="inlineStr">
        <is>
          <t>VIVEK B</t>
        </is>
      </c>
    </row>
    <row r="831">
      <c r="A831" s="10" t="inlineStr">
        <is>
          <t>TN58BM3636</t>
        </is>
      </c>
      <c r="B831" s="10" t="inlineStr">
        <is>
          <t>SOCKS</t>
        </is>
      </c>
      <c r="C831" s="10" t="inlineStr">
        <is>
          <t>VEHICLE INSURANCE</t>
        </is>
      </c>
      <c r="D831" s="10" t="inlineStr">
        <is>
          <t>VEHICLE INSURANCE</t>
        </is>
      </c>
      <c r="E831" s="10" t="inlineStr">
        <is>
          <t>YEARLY</t>
        </is>
      </c>
      <c r="F831" s="11" t="n">
        <v>45383</v>
      </c>
      <c r="G831" s="11" t="n">
        <v>45747</v>
      </c>
      <c r="H831" s="12">
        <f>IF(OR($F831="",$G831=""),"",$G831-$F831+1)</f>
        <v/>
      </c>
      <c r="I831" s="10">
        <f>IF($F831="","",IF(MONTH($F831)&gt;=4,YEAR($F831)&amp;"-"&amp;TEXT(YEAR($F831)+1-2000,"00"),YEAR($F831)-1&amp;"-"&amp;TEXT(YEAR($F831)-2000,"00")))</f>
        <v/>
      </c>
      <c r="J831" s="13" t="n">
        <v>79453</v>
      </c>
      <c r="K831" s="14">
        <f>IFERROR($L831/$J831,"")</f>
        <v/>
      </c>
      <c r="L831" s="13" t="n">
        <v>79453</v>
      </c>
      <c r="M831" s="13">
        <f>IFERROR($L831/$H831,"")</f>
        <v/>
      </c>
      <c r="N831" s="11" t="n">
        <v>45632</v>
      </c>
      <c r="O831" s="10">
        <f>IF($N831="","No","Yes")</f>
        <v/>
      </c>
      <c r="P831" s="12">
        <f>IF(OR($F831="",$G831=""),0,IF(AND($F831&lt;=README!$B$4,README!$B$4&lt;=$G831),1,0))</f>
        <v/>
      </c>
      <c r="Q831" s="12">
        <f>IF(OR($F831="",$G831=""),0,IF(AND($F831&lt;=DATE(README!$B$5,12,31),$G831&gt;=DATE(README!$B$5,1,1)),1,0))</f>
        <v/>
      </c>
      <c r="R831" s="10" t="inlineStr">
        <is>
          <t>GUP-VEH0013</t>
        </is>
      </c>
      <c r="S831" s="11" t="n">
        <v>45478</v>
      </c>
      <c r="T831" s="10" t="inlineStr">
        <is>
          <t>550</t>
        </is>
      </c>
      <c r="U831" s="10" t="inlineStr">
        <is>
          <t>VEHICLE</t>
        </is>
      </c>
      <c r="V831" s="10" t="inlineStr">
        <is>
          <t>T</t>
        </is>
      </c>
      <c r="W831" s="10" t="inlineStr">
        <is>
          <t>VIVEK B</t>
        </is>
      </c>
    </row>
    <row r="832">
      <c r="A832" s="10" t="inlineStr">
        <is>
          <t>TN58BM3636</t>
        </is>
      </c>
      <c r="B832" s="10" t="inlineStr">
        <is>
          <t>SOCKS</t>
        </is>
      </c>
      <c r="C832" s="10" t="inlineStr">
        <is>
          <t>ROAD TAX</t>
        </is>
      </c>
      <c r="D832" s="10" t="inlineStr">
        <is>
          <t>ROAD TAX</t>
        </is>
      </c>
      <c r="E832" s="10" t="inlineStr">
        <is>
          <t>QUARTER - I</t>
        </is>
      </c>
      <c r="F832" s="11" t="n">
        <v>45748</v>
      </c>
      <c r="G832" s="11" t="n">
        <v>45838</v>
      </c>
      <c r="H832" s="12">
        <f>IF(OR($F832="",$G832=""),"",$G832-$F832+1)</f>
        <v/>
      </c>
      <c r="I832" s="10">
        <f>IF($F832="","",IF(MONTH($F832)&gt;=4,YEAR($F832)&amp;"-"&amp;TEXT(YEAR($F832)+1-2000,"00"),YEAR($F832)-1&amp;"-"&amp;TEXT(YEAR($F832)-2000,"00")))</f>
        <v/>
      </c>
      <c r="J832" s="13" t="n">
        <v>32724</v>
      </c>
      <c r="K832" s="14">
        <f>IFERROR($L832/$J832,"")</f>
        <v/>
      </c>
      <c r="L832" s="13" t="n">
        <v>32724</v>
      </c>
      <c r="M832" s="13">
        <f>IFERROR($L832/$H832,"")</f>
        <v/>
      </c>
      <c r="N832" s="11" t="n">
        <v>46030</v>
      </c>
      <c r="O832" s="10">
        <f>IF($N832="","No","Yes")</f>
        <v/>
      </c>
      <c r="P832" s="12">
        <f>IF(OR($F832="",$G832=""),0,IF(AND($F832&lt;=README!$B$4,README!$B$4&lt;=$G832),1,0))</f>
        <v/>
      </c>
      <c r="Q832" s="12">
        <f>IF(OR($F832="",$G832=""),0,IF(AND($F832&lt;=DATE(README!$B$5,12,31),$G832&gt;=DATE(README!$B$5,1,1)),1,0))</f>
        <v/>
      </c>
      <c r="R832" s="10" t="inlineStr">
        <is>
          <t>GUP-VEH0014</t>
        </is>
      </c>
      <c r="S832" s="11" t="n">
        <v>45748</v>
      </c>
      <c r="T832" s="10" t="inlineStr">
        <is>
          <t>609</t>
        </is>
      </c>
      <c r="U832" s="10" t="inlineStr">
        <is>
          <t>VEHICLE</t>
        </is>
      </c>
      <c r="V832" s="10" t="inlineStr">
        <is>
          <t>T</t>
        </is>
      </c>
      <c r="W832" s="10" t="inlineStr">
        <is>
          <t>VIVEK B</t>
        </is>
      </c>
    </row>
    <row r="833">
      <c r="A833" s="10" t="inlineStr">
        <is>
          <t>TN58BM3636</t>
        </is>
      </c>
      <c r="B833" s="10" t="inlineStr">
        <is>
          <t>SOCKS</t>
        </is>
      </c>
      <c r="C833" s="10" t="inlineStr">
        <is>
          <t>RTO EXPENSE</t>
        </is>
      </c>
      <c r="D833" s="10" t="inlineStr">
        <is>
          <t>RTO PENALTY</t>
        </is>
      </c>
      <c r="E833" s="10" t="inlineStr">
        <is>
          <t>YEARLY</t>
        </is>
      </c>
      <c r="F833" s="11" t="n">
        <v>45748</v>
      </c>
      <c r="G833" s="11" t="n">
        <v>46112</v>
      </c>
      <c r="H833" s="12">
        <f>IF(OR($F833="",$G833=""),"",$G833-$F833+1)</f>
        <v/>
      </c>
      <c r="I833" s="10">
        <f>IF($F833="","",IF(MONTH($F833)&gt;=4,YEAR($F833)&amp;"-"&amp;TEXT(YEAR($F833)+1-2000,"00"),YEAR($F833)-1&amp;"-"&amp;TEXT(YEAR($F833)-2000,"00")))</f>
        <v/>
      </c>
      <c r="J833" s="13" t="n">
        <v>8276</v>
      </c>
      <c r="K833" s="14">
        <f>IFERROR($L833/$J833,"")</f>
        <v/>
      </c>
      <c r="L833" s="13" t="n">
        <v>8276</v>
      </c>
      <c r="M833" s="13">
        <f>IFERROR($L833/$H833,"")</f>
        <v/>
      </c>
      <c r="N833" s="11" t="n">
        <v>45911</v>
      </c>
      <c r="O833" s="10">
        <f>IF($N833="","No","Yes")</f>
        <v/>
      </c>
      <c r="P833" s="12">
        <f>IF(OR($F833="",$G833=""),0,IF(AND($F833&lt;=README!$B$4,README!$B$4&lt;=$G833),1,0))</f>
        <v/>
      </c>
      <c r="Q833" s="12">
        <f>IF(OR($F833="",$G833=""),0,IF(AND($F833&lt;=DATE(README!$B$5,12,31),$G833&gt;=DATE(README!$B$5,1,1)),1,0))</f>
        <v/>
      </c>
      <c r="R833" s="10" t="inlineStr">
        <is>
          <t>GUP-VEH0022</t>
        </is>
      </c>
      <c r="S833" s="11" t="n">
        <v>45834</v>
      </c>
      <c r="T833" s="10" t="inlineStr">
        <is>
          <t>655</t>
        </is>
      </c>
      <c r="U833" s="10" t="inlineStr">
        <is>
          <t>VEHICLE</t>
        </is>
      </c>
      <c r="V833" s="10" t="inlineStr">
        <is>
          <t>T</t>
        </is>
      </c>
      <c r="W833" s="10" t="inlineStr">
        <is>
          <t>VIVEK B</t>
        </is>
      </c>
    </row>
    <row r="834">
      <c r="A834" s="10" t="inlineStr">
        <is>
          <t>TN58BM3636</t>
        </is>
      </c>
      <c r="B834" s="10" t="inlineStr">
        <is>
          <t>SOCKS</t>
        </is>
      </c>
      <c r="C834" s="10" t="inlineStr">
        <is>
          <t>TYRE</t>
        </is>
      </c>
      <c r="D834" s="10" t="inlineStr">
        <is>
          <t>TYRE</t>
        </is>
      </c>
      <c r="E834" s="10" t="inlineStr">
        <is>
          <t>YEARLY</t>
        </is>
      </c>
      <c r="F834" s="11" t="n">
        <v>45748</v>
      </c>
      <c r="G834" s="11" t="n">
        <v>46112</v>
      </c>
      <c r="H834" s="12">
        <f>IF(OR($F834="",$G834=""),"",$G834-$F834+1)</f>
        <v/>
      </c>
      <c r="I834" s="10">
        <f>IF($F834="","",IF(MONTH($F834)&gt;=4,YEAR($F834)&amp;"-"&amp;TEXT(YEAR($F834)+1-2000,"00"),YEAR($F834)-1&amp;"-"&amp;TEXT(YEAR($F834)-2000,"00")))</f>
        <v/>
      </c>
      <c r="J834" s="13" t="n">
        <v>30300</v>
      </c>
      <c r="K834" s="14">
        <f>IFERROR($L834/$J834,"")</f>
        <v/>
      </c>
      <c r="L834" s="13" t="n">
        <v>30300</v>
      </c>
      <c r="M834" s="13">
        <f>IFERROR($L834/$H834,"")</f>
        <v/>
      </c>
      <c r="N834" s="11" t="n">
        <v>45986</v>
      </c>
      <c r="O834" s="10">
        <f>IF($N834="","No","Yes")</f>
        <v/>
      </c>
      <c r="P834" s="12">
        <f>IF(OR($F834="",$G834=""),0,IF(AND($F834&lt;=README!$B$4,README!$B$4&lt;=$G834),1,0))</f>
        <v/>
      </c>
      <c r="Q834" s="12">
        <f>IF(OR($F834="",$G834=""),0,IF(AND($F834&lt;=DATE(README!$B$5,12,31),$G834&gt;=DATE(README!$B$5,1,1)),1,0))</f>
        <v/>
      </c>
      <c r="R834" s="10" t="inlineStr">
        <is>
          <t>GUP-VEH0025</t>
        </is>
      </c>
      <c r="S834" s="11" t="n">
        <v>45957</v>
      </c>
      <c r="T834" s="10" t="inlineStr">
        <is>
          <t>726</t>
        </is>
      </c>
      <c r="U834" s="10" t="inlineStr">
        <is>
          <t>VEHICLE</t>
        </is>
      </c>
      <c r="V834" s="10" t="inlineStr">
        <is>
          <t>T</t>
        </is>
      </c>
      <c r="W834" s="10" t="inlineStr">
        <is>
          <t>VIVEK B</t>
        </is>
      </c>
    </row>
    <row r="835">
      <c r="A835" s="10" t="inlineStr">
        <is>
          <t>TN58BM3636</t>
        </is>
      </c>
      <c r="B835" s="10" t="inlineStr">
        <is>
          <t>SOCKS</t>
        </is>
      </c>
      <c r="C835" s="10" t="inlineStr">
        <is>
          <t>VEHICLE INSURANCE</t>
        </is>
      </c>
      <c r="D835" s="10" t="inlineStr">
        <is>
          <t>VEHICLE INSURANCE</t>
        </is>
      </c>
      <c r="E835" s="10" t="inlineStr">
        <is>
          <t>YEARLY</t>
        </is>
      </c>
      <c r="F835" s="11" t="n">
        <v>45748</v>
      </c>
      <c r="G835" s="11" t="n">
        <v>46112</v>
      </c>
      <c r="H835" s="12">
        <f>IF(OR($F835="",$G835=""),"",$G835-$F835+1)</f>
        <v/>
      </c>
      <c r="I835" s="10">
        <f>IF($F835="","",IF(MONTH($F835)&gt;=4,YEAR($F835)&amp;"-"&amp;TEXT(YEAR($F835)+1-2000,"00"),YEAR($F835)-1&amp;"-"&amp;TEXT(YEAR($F835)-2000,"00")))</f>
        <v/>
      </c>
      <c r="J835" s="13" t="n">
        <v>77425</v>
      </c>
      <c r="K835" s="14">
        <f>IFERROR($L835/$J835,"")</f>
        <v/>
      </c>
      <c r="L835" s="13" t="n">
        <v>77425</v>
      </c>
      <c r="M835" s="13">
        <f>IFERROR($L835/$H835,"")</f>
        <v/>
      </c>
      <c r="N835" s="11" t="n">
        <v>45994</v>
      </c>
      <c r="O835" s="10">
        <f>IF($N835="","No","Yes")</f>
        <v/>
      </c>
      <c r="P835" s="12">
        <f>IF(OR($F835="",$G835=""),0,IF(AND($F835&lt;=README!$B$4,README!$B$4&lt;=$G835),1,0))</f>
        <v/>
      </c>
      <c r="Q835" s="12">
        <f>IF(OR($F835="",$G835=""),0,IF(AND($F835&lt;=DATE(README!$B$5,12,31),$G835&gt;=DATE(README!$B$5,1,1)),1,0))</f>
        <v/>
      </c>
      <c r="R835" s="10" t="inlineStr">
        <is>
          <t>GUP-VEH0020</t>
        </is>
      </c>
      <c r="S835" s="11" t="n">
        <v>45799</v>
      </c>
      <c r="T835" s="10" t="inlineStr">
        <is>
          <t>645</t>
        </is>
      </c>
      <c r="U835" s="10" t="inlineStr">
        <is>
          <t>VEHICLE</t>
        </is>
      </c>
      <c r="V835" s="10" t="inlineStr">
        <is>
          <t>T</t>
        </is>
      </c>
      <c r="W835" s="10" t="inlineStr">
        <is>
          <t>VIVEK B</t>
        </is>
      </c>
    </row>
    <row r="836">
      <c r="A836" s="10" t="inlineStr">
        <is>
          <t>TN58BM3636</t>
        </is>
      </c>
      <c r="B836" s="10" t="inlineStr">
        <is>
          <t>GENERAL</t>
        </is>
      </c>
      <c r="C836" s="10" t="inlineStr">
        <is>
          <t>VEHICLE OUTSIDE SERVICES</t>
        </is>
      </c>
      <c r="D836" s="10" t="inlineStr">
        <is>
          <t>MAINTENANCE CHARGES</t>
        </is>
      </c>
      <c r="E836" s="10" t="inlineStr">
        <is>
          <t>YEARLY</t>
        </is>
      </c>
      <c r="F836" s="11" t="n">
        <v>45748</v>
      </c>
      <c r="G836" s="11" t="n">
        <v>46112</v>
      </c>
      <c r="H836" s="12">
        <f>IF(OR($F836="",$G836=""),"",$G836-$F836+1)</f>
        <v/>
      </c>
      <c r="I836" s="10">
        <f>IF($F836="","",IF(MONTH($F836)&gt;=4,YEAR($F836)&amp;"-"&amp;TEXT(YEAR($F836)+1-2000,"00"),YEAR($F836)-1&amp;"-"&amp;TEXT(YEAR($F836)-2000,"00")))</f>
        <v/>
      </c>
      <c r="J836" s="13" t="n">
        <v>13717.75</v>
      </c>
      <c r="K836" s="14">
        <f>IFERROR($L836/$J836,"")</f>
        <v/>
      </c>
      <c r="L836" s="13" t="n">
        <v>13717.75</v>
      </c>
      <c r="M836" s="13">
        <f>IFERROR($L836/$H836,"")</f>
        <v/>
      </c>
      <c r="N836" s="11" t="n">
        <v>45807</v>
      </c>
      <c r="O836" s="10">
        <f>IF($N836="","No","Yes")</f>
        <v/>
      </c>
      <c r="P836" s="12">
        <f>IF(OR($F836="",$G836=""),0,IF(AND($F836&lt;=README!$B$4,README!$B$4&lt;=$G836),1,0))</f>
        <v/>
      </c>
      <c r="Q836" s="12">
        <f>IF(OR($F836="",$G836=""),0,IF(AND($F836&lt;=DATE(README!$B$5,12,31),$G836&gt;=DATE(README!$B$5,1,1)),1,0))</f>
        <v/>
      </c>
      <c r="R836" s="10" t="inlineStr">
        <is>
          <t>GUP-VEH0019</t>
        </is>
      </c>
      <c r="S836" s="11" t="n">
        <v>45777</v>
      </c>
      <c r="T836" s="10" t="inlineStr">
        <is>
          <t>638</t>
        </is>
      </c>
      <c r="U836" s="10" t="inlineStr">
        <is>
          <t>VEHICLE</t>
        </is>
      </c>
      <c r="V836" s="10" t="inlineStr">
        <is>
          <t>T</t>
        </is>
      </c>
      <c r="W836" s="10" t="inlineStr">
        <is>
          <t>VIVEK B</t>
        </is>
      </c>
    </row>
    <row r="837">
      <c r="A837" s="10" t="inlineStr">
        <is>
          <t>TN58BM3636</t>
        </is>
      </c>
      <c r="B837" s="10" t="inlineStr">
        <is>
          <t>GENERAL</t>
        </is>
      </c>
      <c r="C837" s="10" t="inlineStr">
        <is>
          <t>VEHICLE OUTSIDE SERVICES</t>
        </is>
      </c>
      <c r="D837" s="10" t="inlineStr">
        <is>
          <t>MAINTENANCE SERVICE - 3</t>
        </is>
      </c>
      <c r="E837" s="10" t="inlineStr">
        <is>
          <t>YEARLY</t>
        </is>
      </c>
      <c r="F837" s="11" t="n">
        <v>45748</v>
      </c>
      <c r="G837" s="11" t="n">
        <v>46112</v>
      </c>
      <c r="H837" s="12">
        <f>IF(OR($F837="",$G837=""),"",$G837-$F837+1)</f>
        <v/>
      </c>
      <c r="I837" s="10">
        <f>IF($F837="","",IF(MONTH($F837)&gt;=4,YEAR($F837)&amp;"-"&amp;TEXT(YEAR($F837)+1-2000,"00"),YEAR($F837)-1&amp;"-"&amp;TEXT(YEAR($F837)-2000,"00")))</f>
        <v/>
      </c>
      <c r="J837" s="13" t="n">
        <v>11885.38</v>
      </c>
      <c r="K837" s="14">
        <f>IFERROR($L837/$J837,"")</f>
        <v/>
      </c>
      <c r="L837" s="13" t="n">
        <v>11885.38</v>
      </c>
      <c r="M837" s="13">
        <f>IFERROR($L837/$H837,"")</f>
        <v/>
      </c>
      <c r="N837" s="11" t="n">
        <v>45966</v>
      </c>
      <c r="O837" s="10">
        <f>IF($N837="","No","Yes")</f>
        <v/>
      </c>
      <c r="P837" s="12">
        <f>IF(OR($F837="",$G837=""),0,IF(AND($F837&lt;=README!$B$4,README!$B$4&lt;=$G837),1,0))</f>
        <v/>
      </c>
      <c r="Q837" s="12">
        <f>IF(OR($F837="",$G837=""),0,IF(AND($F837&lt;=DATE(README!$B$5,12,31),$G837&gt;=DATE(README!$B$5,1,1)),1,0))</f>
        <v/>
      </c>
      <c r="R837" s="10" t="inlineStr">
        <is>
          <t>GUP-VEH0019</t>
        </is>
      </c>
      <c r="S837" s="11" t="n">
        <v>45777</v>
      </c>
      <c r="T837" s="10" t="inlineStr">
        <is>
          <t>638</t>
        </is>
      </c>
      <c r="U837" s="10" t="inlineStr">
        <is>
          <t>VEHICLE</t>
        </is>
      </c>
      <c r="V837" s="10" t="inlineStr">
        <is>
          <t>T</t>
        </is>
      </c>
      <c r="W837" s="10" t="inlineStr">
        <is>
          <t>VIVEK B</t>
        </is>
      </c>
    </row>
    <row r="838">
      <c r="A838" s="10" t="inlineStr">
        <is>
          <t>TN58BM3636</t>
        </is>
      </c>
      <c r="B838" s="10" t="inlineStr">
        <is>
          <t>GENERAL</t>
        </is>
      </c>
      <c r="C838" s="10" t="inlineStr">
        <is>
          <t>VEHICLE OUTSIDE SERVICES</t>
        </is>
      </c>
      <c r="D838" s="10" t="inlineStr">
        <is>
          <t>MAINTENANCE SERVICE - 2</t>
        </is>
      </c>
      <c r="E838" s="10" t="inlineStr">
        <is>
          <t>YEARLY</t>
        </is>
      </c>
      <c r="F838" s="11" t="n">
        <v>45748</v>
      </c>
      <c r="G838" s="11" t="n">
        <v>46112</v>
      </c>
      <c r="H838" s="12">
        <f>IF(OR($F838="",$G838=""),"",$G838-$F838+1)</f>
        <v/>
      </c>
      <c r="I838" s="10">
        <f>IF($F838="","",IF(MONTH($F838)&gt;=4,YEAR($F838)&amp;"-"&amp;TEXT(YEAR($F838)+1-2000,"00"),YEAR($F838)-1&amp;"-"&amp;TEXT(YEAR($F838)-2000,"00")))</f>
        <v/>
      </c>
      <c r="J838" s="13" t="n">
        <v>23985.06</v>
      </c>
      <c r="K838" s="14">
        <f>IFERROR($L838/$J838,"")</f>
        <v/>
      </c>
      <c r="L838" s="13" t="n">
        <v>23985.06</v>
      </c>
      <c r="M838" s="13">
        <f>IFERROR($L838/$H838,"")</f>
        <v/>
      </c>
      <c r="N838" s="11" t="n">
        <v>45961</v>
      </c>
      <c r="O838" s="10">
        <f>IF($N838="","No","Yes")</f>
        <v/>
      </c>
      <c r="P838" s="12">
        <f>IF(OR($F838="",$G838=""),0,IF(AND($F838&lt;=README!$B$4,README!$B$4&lt;=$G838),1,0))</f>
        <v/>
      </c>
      <c r="Q838" s="12">
        <f>IF(OR($F838="",$G838=""),0,IF(AND($F838&lt;=DATE(README!$B$5,12,31),$G838&gt;=DATE(README!$B$5,1,1)),1,0))</f>
        <v/>
      </c>
      <c r="R838" s="10" t="inlineStr">
        <is>
          <t>GUP-VEH0019</t>
        </is>
      </c>
      <c r="S838" s="11" t="n">
        <v>45777</v>
      </c>
      <c r="T838" s="10" t="inlineStr">
        <is>
          <t>638</t>
        </is>
      </c>
      <c r="U838" s="10" t="inlineStr">
        <is>
          <t>VEHICLE</t>
        </is>
      </c>
      <c r="V838" s="10" t="inlineStr">
        <is>
          <t>T</t>
        </is>
      </c>
      <c r="W838" s="10" t="inlineStr">
        <is>
          <t>VIVEK B</t>
        </is>
      </c>
    </row>
    <row r="839">
      <c r="A839" s="10" t="inlineStr">
        <is>
          <t>TN58BM3636</t>
        </is>
      </c>
      <c r="B839" s="10" t="inlineStr">
        <is>
          <t>GENERAL</t>
        </is>
      </c>
      <c r="C839" s="10" t="inlineStr">
        <is>
          <t>VEHICLE OUTSIDE SERVICES</t>
        </is>
      </c>
      <c r="D839" s="10" t="inlineStr">
        <is>
          <t xml:space="preserve">MAINTENANCE SERVICE </t>
        </is>
      </c>
      <c r="E839" s="10" t="inlineStr">
        <is>
          <t>YEARLY</t>
        </is>
      </c>
      <c r="F839" s="11" t="n">
        <v>45748</v>
      </c>
      <c r="G839" s="11" t="n">
        <v>46112</v>
      </c>
      <c r="H839" s="12">
        <f>IF(OR($F839="",$G839=""),"",$G839-$F839+1)</f>
        <v/>
      </c>
      <c r="I839" s="10">
        <f>IF($F839="","",IF(MONTH($F839)&gt;=4,YEAR($F839)&amp;"-"&amp;TEXT(YEAR($F839)+1-2000,"00"),YEAR($F839)-1&amp;"-"&amp;TEXT(YEAR($F839)-2000,"00")))</f>
        <v/>
      </c>
      <c r="J839" s="13" t="n">
        <v>33494.43</v>
      </c>
      <c r="K839" s="14">
        <f>IFERROR($L839/$J839,"")</f>
        <v/>
      </c>
      <c r="L839" s="13" t="n">
        <v>33494.43</v>
      </c>
      <c r="M839" s="13">
        <f>IFERROR($L839/$H839,"")</f>
        <v/>
      </c>
      <c r="N839" s="11" t="n">
        <v>45875</v>
      </c>
      <c r="O839" s="10">
        <f>IF($N839="","No","Yes")</f>
        <v/>
      </c>
      <c r="P839" s="12">
        <f>IF(OR($F839="",$G839=""),0,IF(AND($F839&lt;=README!$B$4,README!$B$4&lt;=$G839),1,0))</f>
        <v/>
      </c>
      <c r="Q839" s="12">
        <f>IF(OR($F839="",$G839=""),0,IF(AND($F839&lt;=DATE(README!$B$5,12,31),$G839&gt;=DATE(README!$B$5,1,1)),1,0))</f>
        <v/>
      </c>
      <c r="R839" s="10" t="inlineStr">
        <is>
          <t>GUP-VEH0019</t>
        </is>
      </c>
      <c r="S839" s="11" t="n">
        <v>45777</v>
      </c>
      <c r="T839" s="10" t="inlineStr">
        <is>
          <t>638</t>
        </is>
      </c>
      <c r="U839" s="10" t="inlineStr">
        <is>
          <t>VEHICLE</t>
        </is>
      </c>
      <c r="V839" s="10" t="inlineStr">
        <is>
          <t>T</t>
        </is>
      </c>
      <c r="W839" s="10" t="inlineStr">
        <is>
          <t>VIVEK B</t>
        </is>
      </c>
    </row>
    <row r="840">
      <c r="A840" s="10" t="inlineStr">
        <is>
          <t>TN58BM3636</t>
        </is>
      </c>
      <c r="B840" s="10" t="inlineStr">
        <is>
          <t>SOCKS</t>
        </is>
      </c>
      <c r="C840" s="10" t="inlineStr">
        <is>
          <t>ROAD TAX</t>
        </is>
      </c>
      <c r="D840" s="10" t="inlineStr">
        <is>
          <t>ROAD TAX</t>
        </is>
      </c>
      <c r="E840" s="10" t="inlineStr">
        <is>
          <t>QUARTER - II</t>
        </is>
      </c>
      <c r="F840" s="11" t="n">
        <v>45839</v>
      </c>
      <c r="G840" s="11" t="n">
        <v>45930</v>
      </c>
      <c r="H840" s="12">
        <f>IF(OR($F840="",$G840=""),"",$G840-$F840+1)</f>
        <v/>
      </c>
      <c r="I840" s="10">
        <f>IF($F840="","",IF(MONTH($F840)&gt;=4,YEAR($F840)&amp;"-"&amp;TEXT(YEAR($F840)+1-2000,"00"),YEAR($F840)-1&amp;"-"&amp;TEXT(YEAR($F840)-2000,"00")))</f>
        <v/>
      </c>
      <c r="J840" s="13" t="n">
        <v>32724</v>
      </c>
      <c r="K840" s="14">
        <f>IFERROR($L840/$J840,"")</f>
        <v/>
      </c>
      <c r="L840" s="13" t="n">
        <v>32724</v>
      </c>
      <c r="M840" s="13">
        <f>IFERROR($L840/$H840,"")</f>
        <v/>
      </c>
      <c r="N840" s="11" t="n">
        <v>46030</v>
      </c>
      <c r="O840" s="10">
        <f>IF($N840="","No","Yes")</f>
        <v/>
      </c>
      <c r="P840" s="12">
        <f>IF(OR($F840="",$G840=""),0,IF(AND($F840&lt;=README!$B$4,README!$B$4&lt;=$G840),1,0))</f>
        <v/>
      </c>
      <c r="Q840" s="12">
        <f>IF(OR($F840="",$G840=""),0,IF(AND($F840&lt;=DATE(README!$B$5,12,31),$G840&gt;=DATE(README!$B$5,1,1)),1,0))</f>
        <v/>
      </c>
      <c r="R840" s="10" t="inlineStr">
        <is>
          <t>GUP-VEH0014</t>
        </is>
      </c>
      <c r="S840" s="11" t="n">
        <v>45748</v>
      </c>
      <c r="T840" s="10" t="inlineStr">
        <is>
          <t>609</t>
        </is>
      </c>
      <c r="U840" s="10" t="inlineStr">
        <is>
          <t>VEHICLE</t>
        </is>
      </c>
      <c r="V840" s="10" t="inlineStr">
        <is>
          <t>T</t>
        </is>
      </c>
      <c r="W840" s="10" t="inlineStr">
        <is>
          <t>VIVEK B</t>
        </is>
      </c>
    </row>
    <row r="841">
      <c r="A841" s="10" t="inlineStr">
        <is>
          <t>TN58BM3636</t>
        </is>
      </c>
      <c r="B841" s="10" t="inlineStr">
        <is>
          <t>SOCKS</t>
        </is>
      </c>
      <c r="C841" s="10" t="inlineStr">
        <is>
          <t>ROAD TAX</t>
        </is>
      </c>
      <c r="D841" s="10" t="inlineStr">
        <is>
          <t>ROAD TAX</t>
        </is>
      </c>
      <c r="E841" s="10" t="inlineStr">
        <is>
          <t>QUARTER - III</t>
        </is>
      </c>
      <c r="F841" s="11" t="n">
        <v>45931</v>
      </c>
      <c r="G841" s="11" t="n">
        <v>46022</v>
      </c>
      <c r="H841" s="12">
        <f>IF(OR($F841="",$G841=""),"",$G841-$F841+1)</f>
        <v/>
      </c>
      <c r="I841" s="10">
        <f>IF($F841="","",IF(MONTH($F841)&gt;=4,YEAR($F841)&amp;"-"&amp;TEXT(YEAR($F841)+1-2000,"00"),YEAR($F841)-1&amp;"-"&amp;TEXT(YEAR($F841)-2000,"00")))</f>
        <v/>
      </c>
      <c r="J841" s="13" t="n">
        <v>32734</v>
      </c>
      <c r="K841" s="14">
        <f>IFERROR($L841/$J841,"")</f>
        <v/>
      </c>
      <c r="L841" s="13" t="n">
        <v>32734</v>
      </c>
      <c r="M841" s="13">
        <f>IFERROR($L841/$H841,"")</f>
        <v/>
      </c>
      <c r="N841" s="11" t="n">
        <v>46030</v>
      </c>
      <c r="O841" s="10">
        <f>IF($N841="","No","Yes")</f>
        <v/>
      </c>
      <c r="P841" s="12">
        <f>IF(OR($F841="",$G841=""),0,IF(AND($F841&lt;=README!$B$4,README!$B$4&lt;=$G841),1,0))</f>
        <v/>
      </c>
      <c r="Q841" s="12">
        <f>IF(OR($F841="",$G841=""),0,IF(AND($F841&lt;=DATE(README!$B$5,12,31),$G841&gt;=DATE(README!$B$5,1,1)),1,0))</f>
        <v/>
      </c>
      <c r="R841" s="10" t="inlineStr">
        <is>
          <t>GUP-VEH0014</t>
        </is>
      </c>
      <c r="S841" s="11" t="n">
        <v>45748</v>
      </c>
      <c r="T841" s="10" t="inlineStr">
        <is>
          <t>609</t>
        </is>
      </c>
      <c r="U841" s="10" t="inlineStr">
        <is>
          <t>VEHICLE</t>
        </is>
      </c>
      <c r="V841" s="10" t="inlineStr">
        <is>
          <t>T</t>
        </is>
      </c>
      <c r="W841" s="10" t="inlineStr">
        <is>
          <t>VIVEK B</t>
        </is>
      </c>
    </row>
    <row r="842">
      <c r="A842" s="10" t="inlineStr">
        <is>
          <t>TN58BM3636</t>
        </is>
      </c>
      <c r="B842" s="10" t="inlineStr">
        <is>
          <t>SOCKS</t>
        </is>
      </c>
      <c r="C842" s="10" t="inlineStr">
        <is>
          <t>RTO EXPENSE</t>
        </is>
      </c>
      <c r="D842" s="10" t="inlineStr">
        <is>
          <t>HP-LOAN CLOSURE</t>
        </is>
      </c>
      <c r="E842" s="10" t="inlineStr">
        <is>
          <t>DECEMBER</t>
        </is>
      </c>
      <c r="F842" s="11" t="n">
        <v>45992</v>
      </c>
      <c r="G842" s="11" t="n">
        <v>46022</v>
      </c>
      <c r="H842" s="12">
        <f>IF(OR($F842="",$G842=""),"",$G842-$F842+1)</f>
        <v/>
      </c>
      <c r="I842" s="10">
        <f>IF($F842="","",IF(MONTH($F842)&gt;=4,YEAR($F842)&amp;"-"&amp;TEXT(YEAR($F842)+1-2000,"00"),YEAR($F842)-1&amp;"-"&amp;TEXT(YEAR($F842)-2000,"00")))</f>
        <v/>
      </c>
      <c r="J842" s="13" t="n">
        <v>2000</v>
      </c>
      <c r="K842" s="14">
        <f>IFERROR($L842/$J842,"")</f>
        <v/>
      </c>
      <c r="L842" s="13" t="n">
        <v>2000</v>
      </c>
      <c r="M842" s="13">
        <f>IFERROR($L842/$H842,"")</f>
        <v/>
      </c>
      <c r="N842" s="11" t="n">
        <v>45994</v>
      </c>
      <c r="O842" s="10">
        <f>IF($N842="","No","Yes")</f>
        <v/>
      </c>
      <c r="P842" s="12">
        <f>IF(OR($F842="",$G842=""),0,IF(AND($F842&lt;=README!$B$4,README!$B$4&lt;=$G842),1,0))</f>
        <v/>
      </c>
      <c r="Q842" s="12">
        <f>IF(OR($F842="",$G842=""),0,IF(AND($F842&lt;=DATE(README!$B$5,12,31),$G842&gt;=DATE(README!$B$5,1,1)),1,0))</f>
        <v/>
      </c>
      <c r="R842" s="10" t="inlineStr">
        <is>
          <t>GUP-VEH0022</t>
        </is>
      </c>
      <c r="S842" s="11" t="n">
        <v>45834</v>
      </c>
      <c r="T842" s="10" t="inlineStr">
        <is>
          <t>655</t>
        </is>
      </c>
      <c r="U842" s="10" t="inlineStr">
        <is>
          <t>VEHICLE</t>
        </is>
      </c>
      <c r="V842" s="10" t="inlineStr">
        <is>
          <t>T</t>
        </is>
      </c>
      <c r="W842" s="10" t="inlineStr">
        <is>
          <t>VIVEK B</t>
        </is>
      </c>
    </row>
    <row r="843">
      <c r="A843" s="10" t="inlineStr">
        <is>
          <t>TN58BM3636</t>
        </is>
      </c>
      <c r="B843" s="10" t="inlineStr">
        <is>
          <t>SOCKS</t>
        </is>
      </c>
      <c r="C843" s="10" t="inlineStr">
        <is>
          <t>ROAD TAX</t>
        </is>
      </c>
      <c r="D843" s="10" t="inlineStr">
        <is>
          <t>ROAD TAX</t>
        </is>
      </c>
      <c r="E843" s="10" t="inlineStr">
        <is>
          <t>QUARTER - IV</t>
        </is>
      </c>
      <c r="F843" s="11" t="n">
        <v>46023</v>
      </c>
      <c r="G843" s="11" t="n">
        <v>46112</v>
      </c>
      <c r="H843" s="12">
        <f>IF(OR($F843="",$G843=""),"",$G843-$F843+1)</f>
        <v/>
      </c>
      <c r="I843" s="10">
        <f>IF($F843="","",IF(MONTH($F843)&gt;=4,YEAR($F843)&amp;"-"&amp;TEXT(YEAR($F843)+1-2000,"00"),YEAR($F843)-1&amp;"-"&amp;TEXT(YEAR($F843)-2000,"00")))</f>
        <v/>
      </c>
      <c r="J843" s="13" t="n">
        <v>32734</v>
      </c>
      <c r="K843" s="14">
        <f>IFERROR($L843/$J843,"")</f>
        <v/>
      </c>
      <c r="L843" s="13" t="n">
        <v>32734</v>
      </c>
      <c r="M843" s="13">
        <f>IFERROR($L843/$H843,"")</f>
        <v/>
      </c>
      <c r="N843" s="11" t="n">
        <v>46030</v>
      </c>
      <c r="O843" s="10">
        <f>IF($N843="","No","Yes")</f>
        <v/>
      </c>
      <c r="P843" s="12">
        <f>IF(OR($F843="",$G843=""),0,IF(AND($F843&lt;=README!$B$4,README!$B$4&lt;=$G843),1,0))</f>
        <v/>
      </c>
      <c r="Q843" s="12">
        <f>IF(OR($F843="",$G843=""),0,IF(AND($F843&lt;=DATE(README!$B$5,12,31),$G843&gt;=DATE(README!$B$5,1,1)),1,0))</f>
        <v/>
      </c>
      <c r="R843" s="10" t="inlineStr">
        <is>
          <t>GUP-VEH0014</t>
        </is>
      </c>
      <c r="S843" s="11" t="n">
        <v>45748</v>
      </c>
      <c r="T843" s="10" t="inlineStr">
        <is>
          <t>609</t>
        </is>
      </c>
      <c r="U843" s="10" t="inlineStr">
        <is>
          <t>VEHICLE</t>
        </is>
      </c>
      <c r="V843" s="10" t="inlineStr">
        <is>
          <t>T</t>
        </is>
      </c>
      <c r="W843" s="10" t="inlineStr">
        <is>
          <t>VIVEK B</t>
        </is>
      </c>
    </row>
    <row r="844">
      <c r="A844" s="10" t="inlineStr">
        <is>
          <t>TN58BM3636</t>
        </is>
      </c>
      <c r="B844" s="10" t="inlineStr">
        <is>
          <t>SOCKS</t>
        </is>
      </c>
      <c r="C844" s="10" t="inlineStr">
        <is>
          <t>TYRE</t>
        </is>
      </c>
      <c r="D844" s="10" t="inlineStr">
        <is>
          <t>TYRE - 2</t>
        </is>
      </c>
      <c r="E844" s="10" t="inlineStr">
        <is>
          <t>FEBRUARY</t>
        </is>
      </c>
      <c r="F844" s="11" t="n">
        <v>46054</v>
      </c>
      <c r="G844" s="11" t="n">
        <v>46081</v>
      </c>
      <c r="H844" s="12">
        <f>IF(OR($F844="",$G844=""),"",$G844-$F844+1)</f>
        <v/>
      </c>
      <c r="I844" s="10">
        <f>IF($F844="","",IF(MONTH($F844)&gt;=4,YEAR($F844)&amp;"-"&amp;TEXT(YEAR($F844)+1-2000,"00"),YEAR($F844)-1&amp;"-"&amp;TEXT(YEAR($F844)-2000,"00")))</f>
        <v/>
      </c>
      <c r="J844" s="13" t="n">
        <v>30300</v>
      </c>
      <c r="K844" s="14">
        <f>IFERROR($L844/$J844,"")</f>
        <v/>
      </c>
      <c r="L844" s="13" t="n">
        <v>30300</v>
      </c>
      <c r="M844" s="13">
        <f>IFERROR($L844/$H844,"")</f>
        <v/>
      </c>
      <c r="N844" s="11" t="n">
        <v>46072</v>
      </c>
      <c r="O844" s="10">
        <f>IF($N844="","No","Yes")</f>
        <v/>
      </c>
      <c r="P844" s="12">
        <f>IF(OR($F844="",$G844=""),0,IF(AND($F844&lt;=README!$B$4,README!$B$4&lt;=$G844),1,0))</f>
        <v/>
      </c>
      <c r="Q844" s="12">
        <f>IF(OR($F844="",$G844=""),0,IF(AND($F844&lt;=DATE(README!$B$5,12,31),$G844&gt;=DATE(README!$B$5,1,1)),1,0))</f>
        <v/>
      </c>
      <c r="R844" s="10" t="inlineStr">
        <is>
          <t>GUP-VEH0025</t>
        </is>
      </c>
      <c r="S844" s="11" t="n">
        <v>45957</v>
      </c>
      <c r="T844" s="10" t="inlineStr">
        <is>
          <t>726</t>
        </is>
      </c>
      <c r="U844" s="10" t="inlineStr">
        <is>
          <t>VEHICLE</t>
        </is>
      </c>
      <c r="V844" s="10" t="inlineStr">
        <is>
          <t>T</t>
        </is>
      </c>
      <c r="W844" s="10" t="inlineStr">
        <is>
          <t>VIVEK B</t>
        </is>
      </c>
    </row>
    <row r="845">
      <c r="A845" s="10" t="inlineStr">
        <is>
          <t>TN58BM3636</t>
        </is>
      </c>
      <c r="B845" s="10" t="inlineStr">
        <is>
          <t>SOCKS</t>
        </is>
      </c>
      <c r="C845" s="10" t="inlineStr">
        <is>
          <t>FC WORK</t>
        </is>
      </c>
      <c r="D845" s="10" t="inlineStr">
        <is>
          <t>FC WORK</t>
        </is>
      </c>
      <c r="E845" s="10" t="inlineStr">
        <is>
          <t>YEARLY</t>
        </is>
      </c>
      <c r="F845" s="11" t="n">
        <v>46113</v>
      </c>
      <c r="G845" s="11" t="n">
        <v>46477</v>
      </c>
      <c r="H845" s="12">
        <f>IF(OR($F845="",$G845=""),"",$G845-$F845+1)</f>
        <v/>
      </c>
      <c r="I845" s="10">
        <f>IF($F845="","",IF(MONTH($F845)&gt;=4,YEAR($F845)&amp;"-"&amp;TEXT(YEAR($F845)+1-2000,"00"),YEAR($F845)-1&amp;"-"&amp;TEXT(YEAR($F845)-2000,"00")))</f>
        <v/>
      </c>
      <c r="J845" s="13" t="n">
        <v>61600</v>
      </c>
      <c r="K845" s="14">
        <f>IFERROR($L845/$J845,"")</f>
        <v/>
      </c>
      <c r="L845" s="13" t="n">
        <v>61600</v>
      </c>
      <c r="M845" s="13">
        <f>IFERROR($L845/$H845,"")</f>
        <v/>
      </c>
      <c r="N845" s="11" t="n">
        <v>46156</v>
      </c>
      <c r="O845" s="10">
        <f>IF($N845="","No","Yes")</f>
        <v/>
      </c>
      <c r="P845" s="12">
        <f>IF(OR($F845="",$G845=""),0,IF(AND($F845&lt;=README!$B$4,README!$B$4&lt;=$G845),1,0))</f>
        <v/>
      </c>
      <c r="Q845" s="12">
        <f>IF(OR($F845="",$G845=""),0,IF(AND($F845&lt;=DATE(README!$B$5,12,31),$G845&gt;=DATE(README!$B$5,1,1)),1,0))</f>
        <v/>
      </c>
      <c r="R845" s="10" t="inlineStr">
        <is>
          <t>GUP-VEH0032</t>
        </is>
      </c>
      <c r="S845" s="11" t="n">
        <v>46118</v>
      </c>
      <c r="T845" s="10" t="inlineStr">
        <is>
          <t>813</t>
        </is>
      </c>
      <c r="U845" s="10" t="inlineStr">
        <is>
          <t>VEHICLE</t>
        </is>
      </c>
      <c r="V845" s="10" t="inlineStr">
        <is>
          <t>T</t>
        </is>
      </c>
      <c r="W845" s="10" t="inlineStr">
        <is>
          <t>VIVEK B</t>
        </is>
      </c>
    </row>
    <row r="846">
      <c r="A846" s="10" t="inlineStr">
        <is>
          <t>TN58BM3636</t>
        </is>
      </c>
      <c r="B846" s="10" t="inlineStr">
        <is>
          <t>SOCKS</t>
        </is>
      </c>
      <c r="C846" s="10" t="inlineStr">
        <is>
          <t>ROAD TAX</t>
        </is>
      </c>
      <c r="D846" s="10" t="inlineStr">
        <is>
          <t>ROAD TAX</t>
        </is>
      </c>
      <c r="E846" s="10" t="inlineStr">
        <is>
          <t>QUARTER - I</t>
        </is>
      </c>
      <c r="F846" s="11" t="n">
        <v>46113</v>
      </c>
      <c r="G846" s="11" t="n">
        <v>46203</v>
      </c>
      <c r="H846" s="12">
        <f>IF(OR($F846="",$G846=""),"",$G846-$F846+1)</f>
        <v/>
      </c>
      <c r="I846" s="10">
        <f>IF($F846="","",IF(MONTH($F846)&gt;=4,YEAR($F846)&amp;"-"&amp;TEXT(YEAR($F846)+1-2000,"00"),YEAR($F846)-1&amp;"-"&amp;TEXT(YEAR($F846)-2000,"00")))</f>
        <v/>
      </c>
      <c r="J846" s="13" t="n">
        <v>32734</v>
      </c>
      <c r="K846" s="14">
        <f>IFERROR($L846/$J846,"")</f>
        <v/>
      </c>
      <c r="L846" s="13" t="n">
        <v>32734</v>
      </c>
      <c r="M846" s="13">
        <f>IFERROR($L846/$H846,"")</f>
        <v/>
      </c>
      <c r="N846" s="11" t="n">
        <v>46088</v>
      </c>
      <c r="O846" s="10">
        <f>IF($N846="","No","Yes")</f>
        <v/>
      </c>
      <c r="P846" s="12">
        <f>IF(OR($F846="",$G846=""),0,IF(AND($F846&lt;=README!$B$4,README!$B$4&lt;=$G846),1,0))</f>
        <v/>
      </c>
      <c r="Q846" s="12">
        <f>IF(OR($F846="",$G846=""),0,IF(AND($F846&lt;=DATE(README!$B$5,12,31),$G846&gt;=DATE(README!$B$5,1,1)),1,0))</f>
        <v/>
      </c>
      <c r="R846" s="10" t="inlineStr">
        <is>
          <t>GUP-VEH0030</t>
        </is>
      </c>
      <c r="S846" s="11" t="n">
        <v>46113</v>
      </c>
      <c r="T846" s="10" t="inlineStr">
        <is>
          <t>796</t>
        </is>
      </c>
      <c r="U846" s="10" t="inlineStr">
        <is>
          <t>VEHICLE</t>
        </is>
      </c>
      <c r="V846" s="10" t="inlineStr">
        <is>
          <t>T</t>
        </is>
      </c>
      <c r="W846" s="10" t="inlineStr">
        <is>
          <t>VIVEK B</t>
        </is>
      </c>
    </row>
    <row r="847">
      <c r="A847" s="10" t="inlineStr">
        <is>
          <t>TN58BM3636</t>
        </is>
      </c>
      <c r="B847" s="10" t="inlineStr">
        <is>
          <t>SOCKS</t>
        </is>
      </c>
      <c r="C847" s="10" t="inlineStr">
        <is>
          <t>RTO EXPENSE</t>
        </is>
      </c>
      <c r="D847" s="10" t="inlineStr">
        <is>
          <t>RTO EXPENSES - FC</t>
        </is>
      </c>
      <c r="E847" s="10" t="inlineStr">
        <is>
          <t>YEARLY</t>
        </is>
      </c>
      <c r="F847" s="11" t="n">
        <v>46113</v>
      </c>
      <c r="G847" s="11" t="n">
        <v>46477</v>
      </c>
      <c r="H847" s="12">
        <f>IF(OR($F847="",$G847=""),"",$G847-$F847+1)</f>
        <v/>
      </c>
      <c r="I847" s="10">
        <f>IF($F847="","",IF(MONTH($F847)&gt;=4,YEAR($F847)&amp;"-"&amp;TEXT(YEAR($F847)+1-2000,"00"),YEAR($F847)-1&amp;"-"&amp;TEXT(YEAR($F847)-2000,"00")))</f>
        <v/>
      </c>
      <c r="J847" s="13" t="n">
        <v>12500</v>
      </c>
      <c r="K847" s="14">
        <f>IFERROR($L847/$J847,"")</f>
        <v/>
      </c>
      <c r="L847" s="13" t="n">
        <v>12500</v>
      </c>
      <c r="M847" s="13">
        <f>IFERROR($L847/$H847,"")</f>
        <v/>
      </c>
      <c r="N847" s="11" t="n">
        <v>46121</v>
      </c>
      <c r="O847" s="10">
        <f>IF($N847="","No","Yes")</f>
        <v/>
      </c>
      <c r="P847" s="12">
        <f>IF(OR($F847="",$G847=""),0,IF(AND($F847&lt;=README!$B$4,README!$B$4&lt;=$G847),1,0))</f>
        <v/>
      </c>
      <c r="Q847" s="12">
        <f>IF(OR($F847="",$G847=""),0,IF(AND($F847&lt;=DATE(README!$B$5,12,31),$G847&gt;=DATE(README!$B$5,1,1)),1,0))</f>
        <v/>
      </c>
      <c r="R847" s="10" t="inlineStr">
        <is>
          <t>GUP-VEH0033</t>
        </is>
      </c>
      <c r="S847" s="11" t="n">
        <v>46118</v>
      </c>
      <c r="T847" s="10" t="inlineStr">
        <is>
          <t>814</t>
        </is>
      </c>
      <c r="U847" s="10" t="inlineStr">
        <is>
          <t>VEHICLE</t>
        </is>
      </c>
      <c r="V847" s="10" t="inlineStr">
        <is>
          <t>T</t>
        </is>
      </c>
      <c r="W847" s="10" t="inlineStr">
        <is>
          <t>VIVEK B</t>
        </is>
      </c>
    </row>
    <row r="848">
      <c r="A848" s="10" t="inlineStr">
        <is>
          <t>TN58BM3636</t>
        </is>
      </c>
      <c r="B848" s="10" t="inlineStr">
        <is>
          <t>SOCKS</t>
        </is>
      </c>
      <c r="C848" s="10" t="inlineStr">
        <is>
          <t>ROAD TAX</t>
        </is>
      </c>
      <c r="D848" s="10" t="inlineStr">
        <is>
          <t>ROAD TAX</t>
        </is>
      </c>
      <c r="E848" s="10" t="inlineStr">
        <is>
          <t>QUARTER - II</t>
        </is>
      </c>
      <c r="F848" s="11" t="n">
        <v>46204</v>
      </c>
      <c r="G848" s="11" t="n">
        <v>46295</v>
      </c>
      <c r="H848" s="12">
        <f>IF(OR($F848="",$G848=""),"",$G848-$F848+1)</f>
        <v/>
      </c>
      <c r="I848" s="10">
        <f>IF($F848="","",IF(MONTH($F848)&gt;=4,YEAR($F848)&amp;"-"&amp;TEXT(YEAR($F848)+1-2000,"00"),YEAR($F848)-1&amp;"-"&amp;TEXT(YEAR($F848)-2000,"00")))</f>
        <v/>
      </c>
      <c r="J848" s="13" t="n">
        <v>32734</v>
      </c>
      <c r="K848" s="14">
        <f>IFERROR($L848/$J848,"")</f>
        <v/>
      </c>
      <c r="L848" s="13" t="n">
        <v>32734</v>
      </c>
      <c r="M848" s="13">
        <f>IFERROR($L848/$H848,"")</f>
        <v/>
      </c>
      <c r="N848" s="11" t="n">
        <v>46196</v>
      </c>
      <c r="O848" s="10">
        <f>IF($N848="","No","Yes")</f>
        <v/>
      </c>
      <c r="P848" s="12">
        <f>IF(OR($F848="",$G848=""),0,IF(AND($F848&lt;=README!$B$4,README!$B$4&lt;=$G848),1,0))</f>
        <v/>
      </c>
      <c r="Q848" s="12">
        <f>IF(OR($F848="",$G848=""),0,IF(AND($F848&lt;=DATE(README!$B$5,12,31),$G848&gt;=DATE(README!$B$5,1,1)),1,0))</f>
        <v/>
      </c>
      <c r="R848" s="10" t="inlineStr">
        <is>
          <t>GUP-VEH0030</t>
        </is>
      </c>
      <c r="S848" s="11" t="n">
        <v>46113</v>
      </c>
      <c r="T848" s="10" t="inlineStr">
        <is>
          <t>796</t>
        </is>
      </c>
      <c r="U848" s="10" t="inlineStr">
        <is>
          <t>VEHICLE</t>
        </is>
      </c>
      <c r="V848" s="10" t="inlineStr">
        <is>
          <t>T</t>
        </is>
      </c>
      <c r="W848" s="10" t="inlineStr">
        <is>
          <t>VIVEK B</t>
        </is>
      </c>
    </row>
    <row r="849">
      <c r="A849" s="10" t="inlineStr">
        <is>
          <t>TN58BP3434</t>
        </is>
      </c>
      <c r="B849" s="10" t="inlineStr">
        <is>
          <t>WOVEN</t>
        </is>
      </c>
      <c r="C849" s="10" t="inlineStr">
        <is>
          <t>ADBLU</t>
        </is>
      </c>
      <c r="D849" s="10" t="inlineStr">
        <is>
          <t>ADBLU</t>
        </is>
      </c>
      <c r="E849" s="10" t="inlineStr">
        <is>
          <t>YEARLY</t>
        </is>
      </c>
      <c r="F849" s="11" t="n">
        <v>45383</v>
      </c>
      <c r="G849" s="11" t="n">
        <v>45747</v>
      </c>
      <c r="H849" s="12">
        <f>IF(OR($F849="",$G849=""),"",$G849-$F849+1)</f>
        <v/>
      </c>
      <c r="I849" s="10">
        <f>IF($F849="","",IF(MONTH($F849)&gt;=4,YEAR($F849)&amp;"-"&amp;TEXT(YEAR($F849)+1-2000,"00"),YEAR($F849)-1&amp;"-"&amp;TEXT(YEAR($F849)-2000,"00")))</f>
        <v/>
      </c>
      <c r="J849" s="13" t="n">
        <v>61</v>
      </c>
      <c r="K849" s="14">
        <f>IFERROR($L849/$J849,"")</f>
        <v/>
      </c>
      <c r="L849" s="13" t="n">
        <v>3477</v>
      </c>
      <c r="M849" s="13">
        <f>IFERROR($L849/$H849,"")</f>
        <v/>
      </c>
      <c r="N849" s="11" t="n">
        <v>45700</v>
      </c>
      <c r="O849" s="10">
        <f>IF($N849="","No","Yes")</f>
        <v/>
      </c>
      <c r="P849" s="12">
        <f>IF(OR($F849="",$G849=""),0,IF(AND($F849&lt;=README!$B$4,README!$B$4&lt;=$G849),1,0))</f>
        <v/>
      </c>
      <c r="Q849" s="12">
        <f>IF(OR($F849="",$G849=""),0,IF(AND($F849&lt;=DATE(README!$B$5,12,31),$G849&gt;=DATE(README!$B$5,1,1)),1,0))</f>
        <v/>
      </c>
      <c r="R849" s="10" t="inlineStr">
        <is>
          <t>GUT-VEH0008</t>
        </is>
      </c>
      <c r="S849" s="11" t="n">
        <v>45475</v>
      </c>
      <c r="T849" s="10" t="inlineStr">
        <is>
          <t>3</t>
        </is>
      </c>
      <c r="U849" s="10" t="inlineStr">
        <is>
          <t>VEHICLE</t>
        </is>
      </c>
      <c r="V849" s="10" t="inlineStr">
        <is>
          <t>T</t>
        </is>
      </c>
      <c r="W849" s="10" t="inlineStr">
        <is>
          <t>VIVEK B</t>
        </is>
      </c>
    </row>
    <row r="850">
      <c r="A850" s="10" t="inlineStr">
        <is>
          <t>TN58BP3434</t>
        </is>
      </c>
      <c r="B850" s="10" t="inlineStr">
        <is>
          <t>WOVEN</t>
        </is>
      </c>
      <c r="C850" s="10" t="inlineStr">
        <is>
          <t>ADBLU</t>
        </is>
      </c>
      <c r="D850" s="10" t="inlineStr">
        <is>
          <t>ADBLU</t>
        </is>
      </c>
      <c r="E850" s="10" t="inlineStr">
        <is>
          <t>YEARLY</t>
        </is>
      </c>
      <c r="F850" s="11" t="n">
        <v>45383</v>
      </c>
      <c r="G850" s="11" t="n">
        <v>45747</v>
      </c>
      <c r="H850" s="12">
        <f>IF(OR($F850="",$G850=""),"",$G850-$F850+1)</f>
        <v/>
      </c>
      <c r="I850" s="10">
        <f>IF($F850="","",IF(MONTH($F850)&gt;=4,YEAR($F850)&amp;"-"&amp;TEXT(YEAR($F850)+1-2000,"00"),YEAR($F850)-1&amp;"-"&amp;TEXT(YEAR($F850)-2000,"00")))</f>
        <v/>
      </c>
      <c r="J850" s="13" t="n">
        <v>61</v>
      </c>
      <c r="K850" s="14">
        <f>IFERROR($L850/$J850,"")</f>
        <v/>
      </c>
      <c r="L850" s="13" t="n">
        <v>3477</v>
      </c>
      <c r="M850" s="13">
        <f>IFERROR($L850/$H850,"")</f>
        <v/>
      </c>
      <c r="N850" s="11" t="n">
        <v>45700</v>
      </c>
      <c r="O850" s="10">
        <f>IF($N850="","No","Yes")</f>
        <v/>
      </c>
      <c r="P850" s="12">
        <f>IF(OR($F850="",$G850=""),0,IF(AND($F850&lt;=README!$B$4,README!$B$4&lt;=$G850),1,0))</f>
        <v/>
      </c>
      <c r="Q850" s="12">
        <f>IF(OR($F850="",$G850=""),0,IF(AND($F850&lt;=DATE(README!$B$5,12,31),$G850&gt;=DATE(README!$B$5,1,1)),1,0))</f>
        <v/>
      </c>
      <c r="R850" s="10" t="inlineStr">
        <is>
          <t>GUT-VEH0008</t>
        </is>
      </c>
      <c r="S850" s="11" t="n">
        <v>45475</v>
      </c>
      <c r="T850" s="10" t="inlineStr">
        <is>
          <t>3</t>
        </is>
      </c>
      <c r="U850" s="10" t="inlineStr">
        <is>
          <t>VEHICLE</t>
        </is>
      </c>
      <c r="V850" s="10" t="inlineStr">
        <is>
          <t>T</t>
        </is>
      </c>
      <c r="W850" s="10" t="inlineStr">
        <is>
          <t>VIVEK B</t>
        </is>
      </c>
    </row>
    <row r="851">
      <c r="A851" s="10" t="inlineStr">
        <is>
          <t>TN58BP3434</t>
        </is>
      </c>
      <c r="B851" s="10" t="inlineStr">
        <is>
          <t>WOVEN</t>
        </is>
      </c>
      <c r="C851" s="10" t="inlineStr">
        <is>
          <t>ADBLU</t>
        </is>
      </c>
      <c r="D851" s="10" t="inlineStr">
        <is>
          <t>ADBLU</t>
        </is>
      </c>
      <c r="E851" s="10" t="inlineStr">
        <is>
          <t>YEARLY</t>
        </is>
      </c>
      <c r="F851" s="11" t="n">
        <v>45383</v>
      </c>
      <c r="G851" s="11" t="n">
        <v>45747</v>
      </c>
      <c r="H851" s="12">
        <f>IF(OR($F851="",$G851=""),"",$G851-$F851+1)</f>
        <v/>
      </c>
      <c r="I851" s="10">
        <f>IF($F851="","",IF(MONTH($F851)&gt;=4,YEAR($F851)&amp;"-"&amp;TEXT(YEAR($F851)+1-2000,"00"),YEAR($F851)-1&amp;"-"&amp;TEXT(YEAR($F851)-2000,"00")))</f>
        <v/>
      </c>
      <c r="J851" s="13" t="n">
        <v>61</v>
      </c>
      <c r="K851" s="14">
        <f>IFERROR($L851/$J851,"")</f>
        <v/>
      </c>
      <c r="L851" s="13" t="n">
        <v>3477</v>
      </c>
      <c r="M851" s="13">
        <f>IFERROR($L851/$H851,"")</f>
        <v/>
      </c>
      <c r="N851" s="11" t="n">
        <v>45623</v>
      </c>
      <c r="O851" s="10">
        <f>IF($N851="","No","Yes")</f>
        <v/>
      </c>
      <c r="P851" s="12">
        <f>IF(OR($F851="",$G851=""),0,IF(AND($F851&lt;=README!$B$4,README!$B$4&lt;=$G851),1,0))</f>
        <v/>
      </c>
      <c r="Q851" s="12">
        <f>IF(OR($F851="",$G851=""),0,IF(AND($F851&lt;=DATE(README!$B$5,12,31),$G851&gt;=DATE(README!$B$5,1,1)),1,0))</f>
        <v/>
      </c>
      <c r="R851" s="10" t="inlineStr">
        <is>
          <t>GUT-VEH0008</t>
        </is>
      </c>
      <c r="S851" s="11" t="n">
        <v>45475</v>
      </c>
      <c r="T851" s="10" t="inlineStr">
        <is>
          <t>3</t>
        </is>
      </c>
      <c r="U851" s="10" t="inlineStr">
        <is>
          <t>VEHICLE</t>
        </is>
      </c>
      <c r="V851" s="10" t="inlineStr">
        <is>
          <t>T</t>
        </is>
      </c>
      <c r="W851" s="10" t="inlineStr">
        <is>
          <t>VIVEK B</t>
        </is>
      </c>
    </row>
    <row r="852">
      <c r="A852" s="10" t="inlineStr">
        <is>
          <t>TN58BP3434</t>
        </is>
      </c>
      <c r="B852" s="10" t="inlineStr">
        <is>
          <t>WOVEN</t>
        </is>
      </c>
      <c r="C852" s="10" t="inlineStr">
        <is>
          <t>ADBLU</t>
        </is>
      </c>
      <c r="D852" s="10" t="inlineStr">
        <is>
          <t>ADBLU</t>
        </is>
      </c>
      <c r="E852" s="10" t="inlineStr">
        <is>
          <t>YEARLY</t>
        </is>
      </c>
      <c r="F852" s="11" t="n">
        <v>45383</v>
      </c>
      <c r="G852" s="11" t="n">
        <v>45747</v>
      </c>
      <c r="H852" s="12">
        <f>IF(OR($F852="",$G852=""),"",$G852-$F852+1)</f>
        <v/>
      </c>
      <c r="I852" s="10">
        <f>IF($F852="","",IF(MONTH($F852)&gt;=4,YEAR($F852)&amp;"-"&amp;TEXT(YEAR($F852)+1-2000,"00"),YEAR($F852)-1&amp;"-"&amp;TEXT(YEAR($F852)-2000,"00")))</f>
        <v/>
      </c>
      <c r="J852" s="13" t="n">
        <v>57</v>
      </c>
      <c r="K852" s="14">
        <f>IFERROR($L852/$J852,"")</f>
        <v/>
      </c>
      <c r="L852" s="13" t="n">
        <v>3249</v>
      </c>
      <c r="M852" s="13">
        <f>IFERROR($L852/$H852,"")</f>
        <v/>
      </c>
      <c r="N852" s="11" t="n">
        <v>45602</v>
      </c>
      <c r="O852" s="10">
        <f>IF($N852="","No","Yes")</f>
        <v/>
      </c>
      <c r="P852" s="12">
        <f>IF(OR($F852="",$G852=""),0,IF(AND($F852&lt;=README!$B$4,README!$B$4&lt;=$G852),1,0))</f>
        <v/>
      </c>
      <c r="Q852" s="12">
        <f>IF(OR($F852="",$G852=""),0,IF(AND($F852&lt;=DATE(README!$B$5,12,31),$G852&gt;=DATE(README!$B$5,1,1)),1,0))</f>
        <v/>
      </c>
      <c r="R852" s="10" t="inlineStr">
        <is>
          <t>GUT-VEH0008</t>
        </is>
      </c>
      <c r="S852" s="11" t="n">
        <v>45475</v>
      </c>
      <c r="T852" s="10" t="inlineStr">
        <is>
          <t>3</t>
        </is>
      </c>
      <c r="U852" s="10" t="inlineStr">
        <is>
          <t>VEHICLE</t>
        </is>
      </c>
      <c r="V852" s="10" t="inlineStr">
        <is>
          <t>T</t>
        </is>
      </c>
      <c r="W852" s="10" t="inlineStr">
        <is>
          <t>VIVEK B</t>
        </is>
      </c>
    </row>
    <row r="853">
      <c r="A853" s="10" t="inlineStr">
        <is>
          <t>TN58BP3434</t>
        </is>
      </c>
      <c r="B853" s="10" t="inlineStr">
        <is>
          <t>WOVEN</t>
        </is>
      </c>
      <c r="C853" s="10" t="inlineStr">
        <is>
          <t>ADBLU</t>
        </is>
      </c>
      <c r="D853" s="10" t="inlineStr">
        <is>
          <t>ADBLU</t>
        </is>
      </c>
      <c r="E853" s="10" t="inlineStr">
        <is>
          <t>YEARLY</t>
        </is>
      </c>
      <c r="F853" s="11" t="n">
        <v>45383</v>
      </c>
      <c r="G853" s="11" t="n">
        <v>45747</v>
      </c>
      <c r="H853" s="12">
        <f>IF(OR($F853="",$G853=""),"",$G853-$F853+1)</f>
        <v/>
      </c>
      <c r="I853" s="10">
        <f>IF($F853="","",IF(MONTH($F853)&gt;=4,YEAR($F853)&amp;"-"&amp;TEXT(YEAR($F853)+1-2000,"00"),YEAR($F853)-1&amp;"-"&amp;TEXT(YEAR($F853)-2000,"00")))</f>
        <v/>
      </c>
      <c r="J853" s="13" t="n">
        <v>60</v>
      </c>
      <c r="K853" s="14">
        <f>IFERROR($L853/$J853,"")</f>
        <v/>
      </c>
      <c r="L853" s="13" t="n">
        <v>3420</v>
      </c>
      <c r="M853" s="13">
        <f>IFERROR($L853/$H853,"")</f>
        <v/>
      </c>
      <c r="N853" s="11" t="n">
        <v>45479</v>
      </c>
      <c r="O853" s="10">
        <f>IF($N853="","No","Yes")</f>
        <v/>
      </c>
      <c r="P853" s="12">
        <f>IF(OR($F853="",$G853=""),0,IF(AND($F853&lt;=README!$B$4,README!$B$4&lt;=$G853),1,0))</f>
        <v/>
      </c>
      <c r="Q853" s="12">
        <f>IF(OR($F853="",$G853=""),0,IF(AND($F853&lt;=DATE(README!$B$5,12,31),$G853&gt;=DATE(README!$B$5,1,1)),1,0))</f>
        <v/>
      </c>
      <c r="R853" s="10" t="inlineStr">
        <is>
          <t>GUT-VEH0008</t>
        </is>
      </c>
      <c r="S853" s="11" t="n">
        <v>45475</v>
      </c>
      <c r="T853" s="10" t="inlineStr">
        <is>
          <t>3</t>
        </is>
      </c>
      <c r="U853" s="10" t="inlineStr">
        <is>
          <t>VEHICLE</t>
        </is>
      </c>
      <c r="V853" s="10" t="inlineStr">
        <is>
          <t>T</t>
        </is>
      </c>
      <c r="W853" s="10" t="inlineStr">
        <is>
          <t>VIVEK B</t>
        </is>
      </c>
    </row>
    <row r="854">
      <c r="A854" s="10" t="inlineStr">
        <is>
          <t>TN58BP3434</t>
        </is>
      </c>
      <c r="B854" s="10" t="inlineStr">
        <is>
          <t>WOVEN</t>
        </is>
      </c>
      <c r="C854" s="10" t="inlineStr">
        <is>
          <t>ROAD TAX</t>
        </is>
      </c>
      <c r="D854" s="10" t="inlineStr">
        <is>
          <t>ROAD TAX</t>
        </is>
      </c>
      <c r="E854" s="10" t="inlineStr">
        <is>
          <t>YEARLY</t>
        </is>
      </c>
      <c r="F854" s="11" t="n">
        <v>45383</v>
      </c>
      <c r="G854" s="11" t="n">
        <v>45747</v>
      </c>
      <c r="H854" s="12">
        <f>IF(OR($F854="",$G854=""),"",$G854-$F854+1)</f>
        <v/>
      </c>
      <c r="I854" s="10">
        <f>IF($F854="","",IF(MONTH($F854)&gt;=4,YEAR($F854)&amp;"-"&amp;TEXT(YEAR($F854)+1-2000,"00"),YEAR($F854)-1&amp;"-"&amp;TEXT(YEAR($F854)-2000,"00")))</f>
        <v/>
      </c>
      <c r="J854" s="13" t="n">
        <v>32734</v>
      </c>
      <c r="K854" s="14">
        <f>IFERROR($L854/$J854,"")</f>
        <v/>
      </c>
      <c r="L854" s="13" t="n">
        <v>32734</v>
      </c>
      <c r="M854" s="13">
        <f>IFERROR($L854/$H854,"")</f>
        <v/>
      </c>
      <c r="N854" s="11" t="n">
        <v>45910</v>
      </c>
      <c r="O854" s="10">
        <f>IF($N854="","No","Yes")</f>
        <v/>
      </c>
      <c r="P854" s="12">
        <f>IF(OR($F854="",$G854=""),0,IF(AND($F854&lt;=README!$B$4,README!$B$4&lt;=$G854),1,0))</f>
        <v/>
      </c>
      <c r="Q854" s="12">
        <f>IF(OR($F854="",$G854=""),0,IF(AND($F854&lt;=DATE(README!$B$5,12,31),$G854&gt;=DATE(README!$B$5,1,1)),1,0))</f>
        <v/>
      </c>
      <c r="R854" s="10" t="inlineStr">
        <is>
          <t>GUT-VEH0016</t>
        </is>
      </c>
      <c r="S854" s="11" t="n">
        <v>46023</v>
      </c>
      <c r="T854" s="10" t="inlineStr">
        <is>
          <t>5</t>
        </is>
      </c>
      <c r="U854" s="10" t="inlineStr">
        <is>
          <t>VEHICLE</t>
        </is>
      </c>
      <c r="V854" s="10" t="inlineStr">
        <is>
          <t>T</t>
        </is>
      </c>
      <c r="W854" s="10" t="inlineStr">
        <is>
          <t>VIVEK B</t>
        </is>
      </c>
    </row>
    <row r="855">
      <c r="A855" s="10" t="inlineStr">
        <is>
          <t>TN58BP3434</t>
        </is>
      </c>
      <c r="B855" s="10" t="inlineStr">
        <is>
          <t>WOVEN</t>
        </is>
      </c>
      <c r="C855" s="10" t="inlineStr">
        <is>
          <t>ROAD TAX</t>
        </is>
      </c>
      <c r="D855" s="10" t="inlineStr">
        <is>
          <t>ROAD TAX</t>
        </is>
      </c>
      <c r="E855" s="10" t="inlineStr">
        <is>
          <t>YEARLY</t>
        </is>
      </c>
      <c r="F855" s="11" t="n">
        <v>45383</v>
      </c>
      <c r="G855" s="11" t="n">
        <v>45747</v>
      </c>
      <c r="H855" s="12">
        <f>IF(OR($F855="",$G855=""),"",$G855-$F855+1)</f>
        <v/>
      </c>
      <c r="I855" s="10">
        <f>IF($F855="","",IF(MONTH($F855)&gt;=4,YEAR($F855)&amp;"-"&amp;TEXT(YEAR($F855)+1-2000,"00"),YEAR($F855)-1&amp;"-"&amp;TEXT(YEAR($F855)-2000,"00")))</f>
        <v/>
      </c>
      <c r="J855" s="13" t="n">
        <v>32724</v>
      </c>
      <c r="K855" s="14">
        <f>IFERROR($L855/$J855,"")</f>
        <v/>
      </c>
      <c r="L855" s="13" t="n">
        <v>32724</v>
      </c>
      <c r="M855" s="13">
        <f>IFERROR($L855/$H855,"")</f>
        <v/>
      </c>
      <c r="N855" s="11" t="n">
        <v>45840</v>
      </c>
      <c r="O855" s="10">
        <f>IF($N855="","No","Yes")</f>
        <v/>
      </c>
      <c r="P855" s="12">
        <f>IF(OR($F855="",$G855=""),0,IF(AND($F855&lt;=README!$B$4,README!$B$4&lt;=$G855),1,0))</f>
        <v/>
      </c>
      <c r="Q855" s="12">
        <f>IF(OR($F855="",$G855=""),0,IF(AND($F855&lt;=DATE(README!$B$5,12,31),$G855&gt;=DATE(README!$B$5,1,1)),1,0))</f>
        <v/>
      </c>
      <c r="R855" s="10" t="inlineStr">
        <is>
          <t>GUT-VEH0016</t>
        </is>
      </c>
      <c r="S855" s="11" t="n">
        <v>46023</v>
      </c>
      <c r="T855" s="10" t="inlineStr">
        <is>
          <t>5</t>
        </is>
      </c>
      <c r="U855" s="10" t="inlineStr">
        <is>
          <t>VEHICLE</t>
        </is>
      </c>
      <c r="V855" s="10" t="inlineStr">
        <is>
          <t>T</t>
        </is>
      </c>
      <c r="W855" s="10" t="inlineStr">
        <is>
          <t>VIVEK B</t>
        </is>
      </c>
    </row>
    <row r="856">
      <c r="A856" s="10" t="inlineStr">
        <is>
          <t>TN58BP3434</t>
        </is>
      </c>
      <c r="B856" s="10" t="inlineStr">
        <is>
          <t>WOVEN</t>
        </is>
      </c>
      <c r="C856" s="10" t="inlineStr">
        <is>
          <t>ROAD TAX</t>
        </is>
      </c>
      <c r="D856" s="10" t="inlineStr">
        <is>
          <t>ROAD TAX</t>
        </is>
      </c>
      <c r="E856" s="10" t="inlineStr">
        <is>
          <t>YEARLY</t>
        </is>
      </c>
      <c r="F856" s="11" t="n">
        <v>45383</v>
      </c>
      <c r="G856" s="11" t="n">
        <v>45747</v>
      </c>
      <c r="H856" s="12">
        <f>IF(OR($F856="",$G856=""),"",$G856-$F856+1)</f>
        <v/>
      </c>
      <c r="I856" s="10">
        <f>IF($F856="","",IF(MONTH($F856)&gt;=4,YEAR($F856)&amp;"-"&amp;TEXT(YEAR($F856)+1-2000,"00"),YEAR($F856)-1&amp;"-"&amp;TEXT(YEAR($F856)-2000,"00")))</f>
        <v/>
      </c>
      <c r="J856" s="13" t="n">
        <v>32724</v>
      </c>
      <c r="K856" s="14">
        <f>IFERROR($L856/$J856,"")</f>
        <v/>
      </c>
      <c r="L856" s="13" t="n">
        <v>32724</v>
      </c>
      <c r="M856" s="13">
        <f>IFERROR($L856/$H856,"")</f>
        <v/>
      </c>
      <c r="N856" s="11" t="n">
        <v>45727</v>
      </c>
      <c r="O856" s="10">
        <f>IF($N856="","No","Yes")</f>
        <v/>
      </c>
      <c r="P856" s="12">
        <f>IF(OR($F856="",$G856=""),0,IF(AND($F856&lt;=README!$B$4,README!$B$4&lt;=$G856),1,0))</f>
        <v/>
      </c>
      <c r="Q856" s="12">
        <f>IF(OR($F856="",$G856=""),0,IF(AND($F856&lt;=DATE(README!$B$5,12,31),$G856&gt;=DATE(README!$B$5,1,1)),1,0))</f>
        <v/>
      </c>
      <c r="R856" s="10" t="inlineStr">
        <is>
          <t>GUT-VEH0016</t>
        </is>
      </c>
      <c r="S856" s="11" t="n">
        <v>46023</v>
      </c>
      <c r="T856" s="10" t="inlineStr">
        <is>
          <t>5</t>
        </is>
      </c>
      <c r="U856" s="10" t="inlineStr">
        <is>
          <t>VEHICLE</t>
        </is>
      </c>
      <c r="V856" s="10" t="inlineStr">
        <is>
          <t>T</t>
        </is>
      </c>
      <c r="W856" s="10" t="inlineStr">
        <is>
          <t>VIVEK B</t>
        </is>
      </c>
    </row>
    <row r="857">
      <c r="A857" s="10" t="inlineStr">
        <is>
          <t>TN58BP3434</t>
        </is>
      </c>
      <c r="B857" s="10" t="inlineStr">
        <is>
          <t>WOVEN</t>
        </is>
      </c>
      <c r="C857" s="10" t="inlineStr">
        <is>
          <t>ROAD TAX</t>
        </is>
      </c>
      <c r="D857" s="10" t="inlineStr">
        <is>
          <t>ROAD TAX</t>
        </is>
      </c>
      <c r="E857" s="10" t="inlineStr">
        <is>
          <t>YEARLY</t>
        </is>
      </c>
      <c r="F857" s="11" t="n">
        <v>45383</v>
      </c>
      <c r="G857" s="11" t="n">
        <v>45747</v>
      </c>
      <c r="H857" s="12">
        <f>IF(OR($F857="",$G857=""),"",$G857-$F857+1)</f>
        <v/>
      </c>
      <c r="I857" s="10">
        <f>IF($F857="","",IF(MONTH($F857)&gt;=4,YEAR($F857)&amp;"-"&amp;TEXT(YEAR($F857)+1-2000,"00"),YEAR($F857)-1&amp;"-"&amp;TEXT(YEAR($F857)-2000,"00")))</f>
        <v/>
      </c>
      <c r="J857" s="13" t="n">
        <v>32724</v>
      </c>
      <c r="K857" s="14">
        <f>IFERROR($L857/$J857,"")</f>
        <v/>
      </c>
      <c r="L857" s="13" t="n">
        <v>32724</v>
      </c>
      <c r="M857" s="13">
        <f>IFERROR($L857/$H857,"")</f>
        <v/>
      </c>
      <c r="N857" s="11" t="n">
        <v>45649</v>
      </c>
      <c r="O857" s="10">
        <f>IF($N857="","No","Yes")</f>
        <v/>
      </c>
      <c r="P857" s="12">
        <f>IF(OR($F857="",$G857=""),0,IF(AND($F857&lt;=README!$B$4,README!$B$4&lt;=$G857),1,0))</f>
        <v/>
      </c>
      <c r="Q857" s="12">
        <f>IF(OR($F857="",$G857=""),0,IF(AND($F857&lt;=DATE(README!$B$5,12,31),$G857&gt;=DATE(README!$B$5,1,1)),1,0))</f>
        <v/>
      </c>
      <c r="R857" s="10" t="inlineStr">
        <is>
          <t>GUT-VEH0011</t>
        </is>
      </c>
      <c r="S857" s="11" t="n">
        <v>45475</v>
      </c>
      <c r="T857" s="10" t="inlineStr">
        <is>
          <t>3</t>
        </is>
      </c>
      <c r="U857" s="10" t="inlineStr">
        <is>
          <t>VEHICLE</t>
        </is>
      </c>
      <c r="V857" s="10" t="inlineStr">
        <is>
          <t>T</t>
        </is>
      </c>
      <c r="W857" s="10" t="inlineStr">
        <is>
          <t>VIVEK B</t>
        </is>
      </c>
    </row>
    <row r="858">
      <c r="A858" s="10" t="inlineStr">
        <is>
          <t>TN58BP3434</t>
        </is>
      </c>
      <c r="B858" s="10" t="inlineStr">
        <is>
          <t>WOVEN</t>
        </is>
      </c>
      <c r="C858" s="10" t="inlineStr">
        <is>
          <t>ROAD TAX</t>
        </is>
      </c>
      <c r="D858" s="10" t="inlineStr">
        <is>
          <t>ROAD TAX</t>
        </is>
      </c>
      <c r="E858" s="10" t="inlineStr">
        <is>
          <t>YEARLY</t>
        </is>
      </c>
      <c r="F858" s="11" t="n">
        <v>45383</v>
      </c>
      <c r="G858" s="11" t="n">
        <v>45747</v>
      </c>
      <c r="H858" s="12">
        <f>IF(OR($F858="",$G858=""),"",$G858-$F858+1)</f>
        <v/>
      </c>
      <c r="I858" s="10">
        <f>IF($F858="","",IF(MONTH($F858)&gt;=4,YEAR($F858)&amp;"-"&amp;TEXT(YEAR($F858)+1-2000,"00"),YEAR($F858)-1&amp;"-"&amp;TEXT(YEAR($F858)-2000,"00")))</f>
        <v/>
      </c>
      <c r="J858" s="13" t="n">
        <v>32724</v>
      </c>
      <c r="K858" s="14">
        <f>IFERROR($L858/$J858,"")</f>
        <v/>
      </c>
      <c r="L858" s="13" t="n">
        <v>32724</v>
      </c>
      <c r="M858" s="13">
        <f>IFERROR($L858/$H858,"")</f>
        <v/>
      </c>
      <c r="N858" s="11" t="n">
        <v>45569</v>
      </c>
      <c r="O858" s="10">
        <f>IF($N858="","No","Yes")</f>
        <v/>
      </c>
      <c r="P858" s="12">
        <f>IF(OR($F858="",$G858=""),0,IF(AND($F858&lt;=README!$B$4,README!$B$4&lt;=$G858),1,0))</f>
        <v/>
      </c>
      <c r="Q858" s="12">
        <f>IF(OR($F858="",$G858=""),0,IF(AND($F858&lt;=DATE(README!$B$5,12,31),$G858&gt;=DATE(README!$B$5,1,1)),1,0))</f>
        <v/>
      </c>
      <c r="R858" s="10" t="inlineStr">
        <is>
          <t>GUT-VEH0011</t>
        </is>
      </c>
      <c r="S858" s="11" t="n">
        <v>45475</v>
      </c>
      <c r="T858" s="10" t="inlineStr">
        <is>
          <t>3</t>
        </is>
      </c>
      <c r="U858" s="10" t="inlineStr">
        <is>
          <t>VEHICLE</t>
        </is>
      </c>
      <c r="V858" s="10" t="inlineStr">
        <is>
          <t>T</t>
        </is>
      </c>
      <c r="W858" s="10" t="inlineStr">
        <is>
          <t>VIVEK B</t>
        </is>
      </c>
    </row>
    <row r="859">
      <c r="A859" s="10" t="inlineStr">
        <is>
          <t>TN58BP3434</t>
        </is>
      </c>
      <c r="B859" s="10" t="inlineStr">
        <is>
          <t>WOVEN</t>
        </is>
      </c>
      <c r="C859" s="10" t="inlineStr">
        <is>
          <t>ROAD TAX</t>
        </is>
      </c>
      <c r="D859" s="10" t="inlineStr">
        <is>
          <t>ROAD TAX</t>
        </is>
      </c>
      <c r="E859" s="10" t="inlineStr">
        <is>
          <t>YEARLY</t>
        </is>
      </c>
      <c r="F859" s="11" t="n">
        <v>45383</v>
      </c>
      <c r="G859" s="11" t="n">
        <v>45747</v>
      </c>
      <c r="H859" s="12">
        <f>IF(OR($F859="",$G859=""),"",$G859-$F859+1)</f>
        <v/>
      </c>
      <c r="I859" s="10">
        <f>IF($F859="","",IF(MONTH($F859)&gt;=4,YEAR($F859)&amp;"-"&amp;TEXT(YEAR($F859)+1-2000,"00"),YEAR($F859)-1&amp;"-"&amp;TEXT(YEAR($F859)-2000,"00")))</f>
        <v/>
      </c>
      <c r="J859" s="13" t="n">
        <v>32724</v>
      </c>
      <c r="K859" s="14">
        <f>IFERROR($L859/$J859,"")</f>
        <v/>
      </c>
      <c r="L859" s="13" t="n">
        <v>32724</v>
      </c>
      <c r="M859" s="13">
        <f>IFERROR($L859/$H859,"")</f>
        <v/>
      </c>
      <c r="N859" s="11" t="n">
        <v>45481</v>
      </c>
      <c r="O859" s="10">
        <f>IF($N859="","No","Yes")</f>
        <v/>
      </c>
      <c r="P859" s="12">
        <f>IF(OR($F859="",$G859=""),0,IF(AND($F859&lt;=README!$B$4,README!$B$4&lt;=$G859),1,0))</f>
        <v/>
      </c>
      <c r="Q859" s="12">
        <f>IF(OR($F859="",$G859=""),0,IF(AND($F859&lt;=DATE(README!$B$5,12,31),$G859&gt;=DATE(README!$B$5,1,1)),1,0))</f>
        <v/>
      </c>
      <c r="R859" s="10" t="inlineStr">
        <is>
          <t>GUT-VEH0011</t>
        </is>
      </c>
      <c r="S859" s="11" t="n">
        <v>45475</v>
      </c>
      <c r="T859" s="10" t="inlineStr">
        <is>
          <t>3</t>
        </is>
      </c>
      <c r="U859" s="10" t="inlineStr">
        <is>
          <t>VEHICLE</t>
        </is>
      </c>
      <c r="V859" s="10" t="inlineStr">
        <is>
          <t>T</t>
        </is>
      </c>
      <c r="W859" s="10" t="inlineStr">
        <is>
          <t>VIVEK B</t>
        </is>
      </c>
    </row>
    <row r="860">
      <c r="A860" s="10" t="inlineStr">
        <is>
          <t>TN58BP3434</t>
        </is>
      </c>
      <c r="B860" s="10" t="inlineStr">
        <is>
          <t>WOVEN</t>
        </is>
      </c>
      <c r="C860" s="10" t="inlineStr">
        <is>
          <t>TYRE</t>
        </is>
      </c>
      <c r="D860" s="10" t="inlineStr">
        <is>
          <t>TYRE</t>
        </is>
      </c>
      <c r="E860" s="10" t="inlineStr">
        <is>
          <t>YEARLY</t>
        </is>
      </c>
      <c r="F860" s="11" t="n">
        <v>45383</v>
      </c>
      <c r="G860" s="11" t="n">
        <v>45747</v>
      </c>
      <c r="H860" s="12">
        <f>IF(OR($F860="",$G860=""),"",$G860-$F860+1)</f>
        <v/>
      </c>
      <c r="I860" s="10">
        <f>IF($F860="","",IF(MONTH($F860)&gt;=4,YEAR($F860)&amp;"-"&amp;TEXT(YEAR($F860)+1-2000,"00"),YEAR($F860)-1&amp;"-"&amp;TEXT(YEAR($F860)-2000,"00")))</f>
        <v/>
      </c>
      <c r="J860" s="13" t="n">
        <v>30200</v>
      </c>
      <c r="K860" s="14">
        <f>IFERROR($L860/$J860,"")</f>
        <v/>
      </c>
      <c r="L860" s="13" t="n">
        <v>30200</v>
      </c>
      <c r="M860" s="13">
        <f>IFERROR($L860/$H860,"")</f>
        <v/>
      </c>
      <c r="N860" s="11" t="n">
        <v>45652</v>
      </c>
      <c r="O860" s="10">
        <f>IF($N860="","No","Yes")</f>
        <v/>
      </c>
      <c r="P860" s="12">
        <f>IF(OR($F860="",$G860=""),0,IF(AND($F860&lt;=README!$B$4,README!$B$4&lt;=$G860),1,0))</f>
        <v/>
      </c>
      <c r="Q860" s="12">
        <f>IF(OR($F860="",$G860=""),0,IF(AND($F860&lt;=DATE(README!$B$5,12,31),$G860&gt;=DATE(README!$B$5,1,1)),1,0))</f>
        <v/>
      </c>
      <c r="R860" s="10" t="inlineStr">
        <is>
          <t>GUT-VEH0006</t>
        </is>
      </c>
      <c r="S860" s="11" t="n">
        <v>45437</v>
      </c>
      <c r="T860" s="10" t="inlineStr">
        <is>
          <t>3</t>
        </is>
      </c>
      <c r="U860" s="10" t="inlineStr">
        <is>
          <t>VEHICLE</t>
        </is>
      </c>
      <c r="V860" s="10" t="inlineStr">
        <is>
          <t>T</t>
        </is>
      </c>
      <c r="W860" s="10" t="inlineStr">
        <is>
          <t>VIVEK B</t>
        </is>
      </c>
    </row>
    <row r="861">
      <c r="A861" s="10" t="inlineStr">
        <is>
          <t>TN58BP3434</t>
        </is>
      </c>
      <c r="B861" s="10" t="inlineStr">
        <is>
          <t>WOVEN</t>
        </is>
      </c>
      <c r="C861" s="10" t="inlineStr">
        <is>
          <t>VEHICLE INSURANCE</t>
        </is>
      </c>
      <c r="D861" s="10" t="inlineStr">
        <is>
          <t>VEHICLE INSURANCE</t>
        </is>
      </c>
      <c r="E861" s="10" t="inlineStr">
        <is>
          <t>YEARLY</t>
        </is>
      </c>
      <c r="F861" s="11" t="n">
        <v>45383</v>
      </c>
      <c r="G861" s="11" t="n">
        <v>45747</v>
      </c>
      <c r="H861" s="12">
        <f>IF(OR($F861="",$G861=""),"",$G861-$F861+1)</f>
        <v/>
      </c>
      <c r="I861" s="10">
        <f>IF($F861="","",IF(MONTH($F861)&gt;=4,YEAR($F861)&amp;"-"&amp;TEXT(YEAR($F861)+1-2000,"00"),YEAR($F861)-1&amp;"-"&amp;TEXT(YEAR($F861)-2000,"00")))</f>
        <v/>
      </c>
      <c r="J861" s="13" t="n">
        <v>82408</v>
      </c>
      <c r="K861" s="14">
        <f>IFERROR($L861/$J861,"")</f>
        <v/>
      </c>
      <c r="L861" s="13" t="n">
        <v>0</v>
      </c>
      <c r="M861" s="13">
        <f>IFERROR($L861/$H861,"")</f>
        <v/>
      </c>
      <c r="N861" s="11" t="n"/>
      <c r="O861" s="10">
        <f>IF($N861="","No","Yes")</f>
        <v/>
      </c>
      <c r="P861" s="12">
        <f>IF(OR($F861="",$G861=""),0,IF(AND($F861&lt;=README!$B$4,README!$B$4&lt;=$G861),1,0))</f>
        <v/>
      </c>
      <c r="Q861" s="12">
        <f>IF(OR($F861="",$G861=""),0,IF(AND($F861&lt;=DATE(README!$B$5,12,31),$G861&gt;=DATE(README!$B$5,1,1)),1,0))</f>
        <v/>
      </c>
      <c r="R861" s="10" t="inlineStr">
        <is>
          <t>GUT-VEH0012</t>
        </is>
      </c>
      <c r="S861" s="11" t="n">
        <v>45478</v>
      </c>
      <c r="T861" s="10" t="inlineStr">
        <is>
          <t>3</t>
        </is>
      </c>
      <c r="U861" s="10" t="inlineStr">
        <is>
          <t>VEHICLE</t>
        </is>
      </c>
      <c r="V861" s="10" t="inlineStr">
        <is>
          <t>T</t>
        </is>
      </c>
      <c r="W861" s="10" t="inlineStr">
        <is>
          <t>VIVEK B</t>
        </is>
      </c>
    </row>
    <row r="862">
      <c r="A862" s="10" t="inlineStr">
        <is>
          <t>TN58BP3434</t>
        </is>
      </c>
      <c r="B862" s="10" t="inlineStr">
        <is>
          <t>WOVEN</t>
        </is>
      </c>
      <c r="C862" s="10" t="inlineStr">
        <is>
          <t>VEHICLE OUTSIDE SERVICES</t>
        </is>
      </c>
      <c r="D862" s="10" t="inlineStr">
        <is>
          <t xml:space="preserve">MAINTENANCE SERVICE </t>
        </is>
      </c>
      <c r="E862" s="10" t="inlineStr">
        <is>
          <t>YEARLY</t>
        </is>
      </c>
      <c r="F862" s="11" t="n">
        <v>45383</v>
      </c>
      <c r="G862" s="11" t="n">
        <v>45747</v>
      </c>
      <c r="H862" s="12">
        <f>IF(OR($F862="",$G862=""),"",$G862-$F862+1)</f>
        <v/>
      </c>
      <c r="I862" s="10">
        <f>IF($F862="","",IF(MONTH($F862)&gt;=4,YEAR($F862)&amp;"-"&amp;TEXT(YEAR($F862)+1-2000,"00"),YEAR($F862)-1&amp;"-"&amp;TEXT(YEAR($F862)-2000,"00")))</f>
        <v/>
      </c>
      <c r="J862" s="13" t="n">
        <v>44830</v>
      </c>
      <c r="K862" s="14">
        <f>IFERROR($L862/$J862,"")</f>
        <v/>
      </c>
      <c r="L862" s="13" t="n">
        <v>44830</v>
      </c>
      <c r="M862" s="13">
        <f>IFERROR($L862/$H862,"")</f>
        <v/>
      </c>
      <c r="N862" s="11" t="n">
        <v>45652</v>
      </c>
      <c r="O862" s="10">
        <f>IF($N862="","No","Yes")</f>
        <v/>
      </c>
      <c r="P862" s="12">
        <f>IF(OR($F862="",$G862=""),0,IF(AND($F862&lt;=README!$B$4,README!$B$4&lt;=$G862),1,0))</f>
        <v/>
      </c>
      <c r="Q862" s="12">
        <f>IF(OR($F862="",$G862=""),0,IF(AND($F862&lt;=DATE(README!$B$5,12,31),$G862&gt;=DATE(README!$B$5,1,1)),1,0))</f>
        <v/>
      </c>
      <c r="R862" s="10" t="inlineStr">
        <is>
          <t>GUT-VEH0013</t>
        </is>
      </c>
      <c r="S862" s="11" t="n">
        <v>45527</v>
      </c>
      <c r="T862" s="10" t="inlineStr">
        <is>
          <t>3</t>
        </is>
      </c>
      <c r="U862" s="10" t="inlineStr">
        <is>
          <t>VEHICLE</t>
        </is>
      </c>
      <c r="V862" s="10" t="inlineStr">
        <is>
          <t>T</t>
        </is>
      </c>
      <c r="W862" s="10" t="inlineStr">
        <is>
          <t>VIVEK B</t>
        </is>
      </c>
    </row>
    <row r="863">
      <c r="A863" s="10" t="inlineStr">
        <is>
          <t>TN58BP3434</t>
        </is>
      </c>
      <c r="B863" s="10" t="inlineStr">
        <is>
          <t>WOVEN</t>
        </is>
      </c>
      <c r="C863" s="10" t="inlineStr">
        <is>
          <t>RTO EXPENSE</t>
        </is>
      </c>
      <c r="D863" s="10" t="inlineStr">
        <is>
          <t>RTO EXPENSE</t>
        </is>
      </c>
      <c r="E863" s="10" t="inlineStr">
        <is>
          <t>YEARLY</t>
        </is>
      </c>
      <c r="F863" s="11" t="n">
        <v>45748</v>
      </c>
      <c r="G863" s="11" t="n">
        <v>46112</v>
      </c>
      <c r="H863" s="12">
        <f>IF(OR($F863="",$G863=""),"",$G863-$F863+1)</f>
        <v/>
      </c>
      <c r="I863" s="10">
        <f>IF($F863="","",IF(MONTH($F863)&gt;=4,YEAR($F863)&amp;"-"&amp;TEXT(YEAR($F863)+1-2000,"00"),YEAR($F863)-1&amp;"-"&amp;TEXT(YEAR($F863)-2000,"00")))</f>
        <v/>
      </c>
      <c r="J863" s="13" t="n">
        <v>12500</v>
      </c>
      <c r="K863" s="14">
        <f>IFERROR($L863/$J863,"")</f>
        <v/>
      </c>
      <c r="L863" s="13" t="n">
        <v>12500</v>
      </c>
      <c r="M863" s="13">
        <f>IFERROR($L863/$H863,"")</f>
        <v/>
      </c>
      <c r="N863" s="11" t="n">
        <v>46028</v>
      </c>
      <c r="O863" s="10">
        <f>IF($N863="","No","Yes")</f>
        <v/>
      </c>
      <c r="P863" s="12">
        <f>IF(OR($F863="",$G863=""),0,IF(AND($F863&lt;=README!$B$4,README!$B$4&lt;=$G863),1,0))</f>
        <v/>
      </c>
      <c r="Q863" s="12">
        <f>IF(OR($F863="",$G863=""),0,IF(AND($F863&lt;=DATE(README!$B$5,12,31),$G863&gt;=DATE(README!$B$5,1,1)),1,0))</f>
        <v/>
      </c>
      <c r="R863" s="10" t="inlineStr">
        <is>
          <t>GUT-VEH0024</t>
        </is>
      </c>
      <c r="S863" s="11" t="n">
        <v>45939</v>
      </c>
      <c r="T863" s="10" t="inlineStr">
        <is>
          <t>5</t>
        </is>
      </c>
      <c r="U863" s="10" t="inlineStr">
        <is>
          <t>VEHICLE</t>
        </is>
      </c>
      <c r="V863" s="10" t="inlineStr">
        <is>
          <t>T</t>
        </is>
      </c>
      <c r="W863" s="10" t="inlineStr">
        <is>
          <t>VIVEK B</t>
        </is>
      </c>
    </row>
    <row r="864">
      <c r="A864" s="10" t="inlineStr">
        <is>
          <t>TN58BP3434</t>
        </is>
      </c>
      <c r="B864" s="10" t="inlineStr">
        <is>
          <t>WOVEN</t>
        </is>
      </c>
      <c r="C864" s="10" t="inlineStr">
        <is>
          <t>TYRE</t>
        </is>
      </c>
      <c r="D864" s="10" t="inlineStr">
        <is>
          <t>TYRE</t>
        </is>
      </c>
      <c r="E864" s="10" t="inlineStr">
        <is>
          <t>YEARLY</t>
        </is>
      </c>
      <c r="F864" s="11" t="n">
        <v>45748</v>
      </c>
      <c r="G864" s="11" t="n">
        <v>46112</v>
      </c>
      <c r="H864" s="12">
        <f>IF(OR($F864="",$G864=""),"",$G864-$F864+1)</f>
        <v/>
      </c>
      <c r="I864" s="10">
        <f>IF($F864="","",IF(MONTH($F864)&gt;=4,YEAR($F864)&amp;"-"&amp;TEXT(YEAR($F864)+1-2000,"00"),YEAR($F864)-1&amp;"-"&amp;TEXT(YEAR($F864)-2000,"00")))</f>
        <v/>
      </c>
      <c r="J864" s="13" t="n">
        <v>30300</v>
      </c>
      <c r="K864" s="14">
        <f>IFERROR($L864/$J864,"")</f>
        <v/>
      </c>
      <c r="L864" s="13" t="n">
        <v>30300</v>
      </c>
      <c r="M864" s="13">
        <f>IFERROR($L864/$H864,"")</f>
        <v/>
      </c>
      <c r="N864" s="11" t="n">
        <v>45986</v>
      </c>
      <c r="O864" s="10">
        <f>IF($N864="","No","Yes")</f>
        <v/>
      </c>
      <c r="P864" s="12">
        <f>IF(OR($F864="",$G864=""),0,IF(AND($F864&lt;=README!$B$4,README!$B$4&lt;=$G864),1,0))</f>
        <v/>
      </c>
      <c r="Q864" s="12">
        <f>IF(OR($F864="",$G864=""),0,IF(AND($F864&lt;=DATE(README!$B$5,12,31),$G864&gt;=DATE(README!$B$5,1,1)),1,0))</f>
        <v/>
      </c>
      <c r="R864" s="10" t="inlineStr">
        <is>
          <t>GUT-VEH0026</t>
        </is>
      </c>
      <c r="S864" s="11" t="n">
        <v>45957</v>
      </c>
      <c r="T864" s="10" t="inlineStr">
        <is>
          <t>5</t>
        </is>
      </c>
      <c r="U864" s="10" t="inlineStr">
        <is>
          <t>VEHICLE</t>
        </is>
      </c>
      <c r="V864" s="10" t="inlineStr">
        <is>
          <t>T</t>
        </is>
      </c>
      <c r="W864" s="10" t="inlineStr">
        <is>
          <t>VIVEK B</t>
        </is>
      </c>
    </row>
    <row r="865">
      <c r="A865" s="10" t="inlineStr">
        <is>
          <t>TN58BP3434</t>
        </is>
      </c>
      <c r="B865" s="10" t="inlineStr">
        <is>
          <t>WOVEN</t>
        </is>
      </c>
      <c r="C865" s="10" t="inlineStr">
        <is>
          <t>VEHICLE INSURANCE</t>
        </is>
      </c>
      <c r="D865" s="10" t="inlineStr">
        <is>
          <t>VEHICLE INSURANCE</t>
        </is>
      </c>
      <c r="E865" s="10" t="inlineStr">
        <is>
          <t>YEARLY</t>
        </is>
      </c>
      <c r="F865" s="11" t="n">
        <v>45748</v>
      </c>
      <c r="G865" s="11" t="n">
        <v>46112</v>
      </c>
      <c r="H865" s="12">
        <f>IF(OR($F865="",$G865=""),"",$G865-$F865+1)</f>
        <v/>
      </c>
      <c r="I865" s="10">
        <f>IF($F865="","",IF(MONTH($F865)&gt;=4,YEAR($F865)&amp;"-"&amp;TEXT(YEAR($F865)+1-2000,"00"),YEAR($F865)-1&amp;"-"&amp;TEXT(YEAR($F865)-2000,"00")))</f>
        <v/>
      </c>
      <c r="J865" s="13" t="n">
        <v>78244</v>
      </c>
      <c r="K865" s="14">
        <f>IFERROR($L865/$J865,"")</f>
        <v/>
      </c>
      <c r="L865" s="13" t="n">
        <v>78244</v>
      </c>
      <c r="M865" s="13">
        <f>IFERROR($L865/$H865,"")</f>
        <v/>
      </c>
      <c r="N865" s="11" t="n">
        <v>45826</v>
      </c>
      <c r="O865" s="10">
        <f>IF($N865="","No","Yes")</f>
        <v/>
      </c>
      <c r="P865" s="12">
        <f>IF(OR($F865="",$G865=""),0,IF(AND($F865&lt;=README!$B$4,README!$B$4&lt;=$G865),1,0))</f>
        <v/>
      </c>
      <c r="Q865" s="12">
        <f>IF(OR($F865="",$G865=""),0,IF(AND($F865&lt;=DATE(README!$B$5,12,31),$G865&gt;=DATE(README!$B$5,1,1)),1,0))</f>
        <v/>
      </c>
      <c r="R865" s="10" t="inlineStr">
        <is>
          <t>GUT-VEH0019</t>
        </is>
      </c>
      <c r="S865" s="11" t="n">
        <v>45799</v>
      </c>
      <c r="T865" s="10" t="inlineStr">
        <is>
          <t>5</t>
        </is>
      </c>
      <c r="U865" s="10" t="inlineStr">
        <is>
          <t>VEHICLE</t>
        </is>
      </c>
      <c r="V865" s="10" t="inlineStr">
        <is>
          <t>T</t>
        </is>
      </c>
      <c r="W865" s="10" t="inlineStr">
        <is>
          <t>VIVEK B</t>
        </is>
      </c>
    </row>
    <row r="866">
      <c r="A866" s="10" t="inlineStr">
        <is>
          <t>TN58BP3434</t>
        </is>
      </c>
      <c r="B866" s="10" t="inlineStr"/>
      <c r="C866" s="10" t="inlineStr">
        <is>
          <t>VEHICLE OUTSIDE SERVICES</t>
        </is>
      </c>
      <c r="D866" s="10" t="inlineStr">
        <is>
          <t xml:space="preserve">MAINTENANCE SERVICE </t>
        </is>
      </c>
      <c r="E866" s="10" t="inlineStr">
        <is>
          <t>YEARLY</t>
        </is>
      </c>
      <c r="F866" s="11" t="n">
        <v>45748</v>
      </c>
      <c r="G866" s="11" t="n">
        <v>46112</v>
      </c>
      <c r="H866" s="12">
        <f>IF(OR($F866="",$G866=""),"",$G866-$F866+1)</f>
        <v/>
      </c>
      <c r="I866" s="10">
        <f>IF($F866="","",IF(MONTH($F866)&gt;=4,YEAR($F866)&amp;"-"&amp;TEXT(YEAR($F866)+1-2000,"00"),YEAR($F866)-1&amp;"-"&amp;TEXT(YEAR($F866)-2000,"00")))</f>
        <v/>
      </c>
      <c r="J866" s="13" t="n">
        <v>21000</v>
      </c>
      <c r="K866" s="14">
        <f>IFERROR($L866/$J866,"")</f>
        <v/>
      </c>
      <c r="L866" s="13" t="n">
        <v>21000</v>
      </c>
      <c r="M866" s="13">
        <f>IFERROR($L866/$H866,"")</f>
        <v/>
      </c>
      <c r="N866" s="11" t="n">
        <v>45812</v>
      </c>
      <c r="O866" s="10">
        <f>IF($N866="","No","Yes")</f>
        <v/>
      </c>
      <c r="P866" s="12">
        <f>IF(OR($F866="",$G866=""),0,IF(AND($F866&lt;=README!$B$4,README!$B$4&lt;=$G866),1,0))</f>
        <v/>
      </c>
      <c r="Q866" s="12">
        <f>IF(OR($F866="",$G866=""),0,IF(AND($F866&lt;=DATE(README!$B$5,12,31),$G866&gt;=DATE(README!$B$5,1,1)),1,0))</f>
        <v/>
      </c>
      <c r="R866" s="10" t="inlineStr">
        <is>
          <t>GUT-VEH0021</t>
        </is>
      </c>
      <c r="S866" s="11" t="n">
        <v>45812</v>
      </c>
      <c r="T866" s="10" t="inlineStr">
        <is>
          <t>5</t>
        </is>
      </c>
      <c r="U866" s="10" t="inlineStr">
        <is>
          <t>VEHICLE</t>
        </is>
      </c>
      <c r="V866" s="10" t="inlineStr">
        <is>
          <t>T</t>
        </is>
      </c>
      <c r="W866" s="10" t="inlineStr">
        <is>
          <t>VIVEK B</t>
        </is>
      </c>
    </row>
    <row r="867">
      <c r="A867" s="10" t="inlineStr">
        <is>
          <t>TN58BP3434</t>
        </is>
      </c>
      <c r="B867" s="10" t="inlineStr">
        <is>
          <t>WOVEN</t>
        </is>
      </c>
      <c r="C867" s="10" t="inlineStr">
        <is>
          <t>ROAD TAX</t>
        </is>
      </c>
      <c r="D867" s="10" t="inlineStr">
        <is>
          <t>ROAD TAX</t>
        </is>
      </c>
      <c r="E867" s="10" t="inlineStr">
        <is>
          <t>QUARTER - IV</t>
        </is>
      </c>
      <c r="F867" s="11" t="n">
        <v>46023</v>
      </c>
      <c r="G867" s="11" t="n">
        <v>46112</v>
      </c>
      <c r="H867" s="12">
        <f>IF(OR($F867="",$G867=""),"",$G867-$F867+1)</f>
        <v/>
      </c>
      <c r="I867" s="10">
        <f>IF($F867="","",IF(MONTH($F867)&gt;=4,YEAR($F867)&amp;"-"&amp;TEXT(YEAR($F867)+1-2000,"00"),YEAR($F867)-1&amp;"-"&amp;TEXT(YEAR($F867)-2000,"00")))</f>
        <v/>
      </c>
      <c r="J867" s="13" t="n">
        <v>32734</v>
      </c>
      <c r="K867" s="14">
        <f>IFERROR($L867/$J867,"")</f>
        <v/>
      </c>
      <c r="L867" s="13" t="n">
        <v>32734</v>
      </c>
      <c r="M867" s="13">
        <f>IFERROR($L867/$H867,"")</f>
        <v/>
      </c>
      <c r="N867" s="11" t="n">
        <v>46065</v>
      </c>
      <c r="O867" s="10">
        <f>IF($N867="","No","Yes")</f>
        <v/>
      </c>
      <c r="P867" s="12">
        <f>IF(OR($F867="",$G867=""),0,IF(AND($F867&lt;=README!$B$4,README!$B$4&lt;=$G867),1,0))</f>
        <v/>
      </c>
      <c r="Q867" s="12">
        <f>IF(OR($F867="",$G867=""),0,IF(AND($F867&lt;=DATE(README!$B$5,12,31),$G867&gt;=DATE(README!$B$5,1,1)),1,0))</f>
        <v/>
      </c>
      <c r="R867" s="10" t="inlineStr">
        <is>
          <t>GUT-VEH0016</t>
        </is>
      </c>
      <c r="S867" s="11" t="n">
        <v>46023</v>
      </c>
      <c r="T867" s="10" t="inlineStr">
        <is>
          <t>5</t>
        </is>
      </c>
      <c r="U867" s="10" t="inlineStr">
        <is>
          <t>VEHICLE</t>
        </is>
      </c>
      <c r="V867" s="10" t="inlineStr">
        <is>
          <t>T</t>
        </is>
      </c>
      <c r="W867" s="10" t="inlineStr">
        <is>
          <t>VIVEK B</t>
        </is>
      </c>
    </row>
    <row r="868">
      <c r="A868" s="10" t="inlineStr">
        <is>
          <t>TN58BP3434</t>
        </is>
      </c>
      <c r="B868" s="10" t="inlineStr">
        <is>
          <t>WOVEN</t>
        </is>
      </c>
      <c r="C868" s="10" t="inlineStr">
        <is>
          <t>FC WORK</t>
        </is>
      </c>
      <c r="D868" s="10" t="inlineStr">
        <is>
          <t>FC WORK</t>
        </is>
      </c>
      <c r="E868" s="10" t="inlineStr">
        <is>
          <t>FEBRUARY</t>
        </is>
      </c>
      <c r="F868" s="11" t="n">
        <v>46054</v>
      </c>
      <c r="G868" s="11" t="n">
        <v>46081</v>
      </c>
      <c r="H868" s="12">
        <f>IF(OR($F868="",$G868=""),"",$G868-$F868+1)</f>
        <v/>
      </c>
      <c r="I868" s="10">
        <f>IF($F868="","",IF(MONTH($F868)&gt;=4,YEAR($F868)&amp;"-"&amp;TEXT(YEAR($F868)+1-2000,"00"),YEAR($F868)-1&amp;"-"&amp;TEXT(YEAR($F868)-2000,"00")))</f>
        <v/>
      </c>
      <c r="J868" s="13" t="n">
        <v>41710</v>
      </c>
      <c r="K868" s="14">
        <f>IFERROR($L868/$J868,"")</f>
        <v/>
      </c>
      <c r="L868" s="13" t="n">
        <v>41710</v>
      </c>
      <c r="M868" s="13">
        <f>IFERROR($L868/$H868,"")</f>
        <v/>
      </c>
      <c r="N868" s="11" t="n">
        <v>46065</v>
      </c>
      <c r="O868" s="10">
        <f>IF($N868="","No","Yes")</f>
        <v/>
      </c>
      <c r="P868" s="12">
        <f>IF(OR($F868="",$G868=""),0,IF(AND($F868&lt;=README!$B$4,README!$B$4&lt;=$G868),1,0))</f>
        <v/>
      </c>
      <c r="Q868" s="12">
        <f>IF(OR($F868="",$G868=""),0,IF(AND($F868&lt;=DATE(README!$B$5,12,31),$G868&gt;=DATE(README!$B$5,1,1)),1,0))</f>
        <v/>
      </c>
      <c r="R868" s="10" t="inlineStr">
        <is>
          <t>GUT-VEH0025</t>
        </is>
      </c>
      <c r="S868" s="11" t="n">
        <v>45941</v>
      </c>
      <c r="T868" s="10" t="inlineStr">
        <is>
          <t>5</t>
        </is>
      </c>
      <c r="U868" s="10" t="inlineStr">
        <is>
          <t>VEHICLE</t>
        </is>
      </c>
      <c r="V868" s="10" t="inlineStr">
        <is>
          <t>T</t>
        </is>
      </c>
      <c r="W868" s="10" t="inlineStr">
        <is>
          <t>VIVEK B</t>
        </is>
      </c>
    </row>
    <row r="869">
      <c r="A869" s="10" t="inlineStr">
        <is>
          <t>TN58BP3434</t>
        </is>
      </c>
      <c r="B869" s="10" t="inlineStr">
        <is>
          <t>WOVEN</t>
        </is>
      </c>
      <c r="C869" s="10" t="inlineStr">
        <is>
          <t>ROAD TAX</t>
        </is>
      </c>
      <c r="D869" s="10" t="inlineStr">
        <is>
          <t>ROAD TAX</t>
        </is>
      </c>
      <c r="E869" s="10" t="inlineStr">
        <is>
          <t>QUARTER - I</t>
        </is>
      </c>
      <c r="F869" s="11" t="n">
        <v>46113</v>
      </c>
      <c r="G869" s="11" t="n">
        <v>46203</v>
      </c>
      <c r="H869" s="12">
        <f>IF(OR($F869="",$G869=""),"",$G869-$F869+1)</f>
        <v/>
      </c>
      <c r="I869" s="10">
        <f>IF($F869="","",IF(MONTH($F869)&gt;=4,YEAR($F869)&amp;"-"&amp;TEXT(YEAR($F869)+1-2000,"00"),YEAR($F869)-1&amp;"-"&amp;TEXT(YEAR($F869)-2000,"00")))</f>
        <v/>
      </c>
      <c r="J869" s="13" t="n">
        <v>32734</v>
      </c>
      <c r="K869" s="14">
        <f>IFERROR($L869/$J869,"")</f>
        <v/>
      </c>
      <c r="L869" s="13" t="n">
        <v>32734</v>
      </c>
      <c r="M869" s="13">
        <f>IFERROR($L869/$H869,"")</f>
        <v/>
      </c>
      <c r="N869" s="11" t="n">
        <v>46088</v>
      </c>
      <c r="O869" s="10">
        <f>IF($N869="","No","Yes")</f>
        <v/>
      </c>
      <c r="P869" s="12">
        <f>IF(OR($F869="",$G869=""),0,IF(AND($F869&lt;=README!$B$4,README!$B$4&lt;=$G869),1,0))</f>
        <v/>
      </c>
      <c r="Q869" s="12">
        <f>IF(OR($F869="",$G869=""),0,IF(AND($F869&lt;=DATE(README!$B$5,12,31),$G869&gt;=DATE(README!$B$5,1,1)),1,0))</f>
        <v/>
      </c>
      <c r="R869" s="10" t="inlineStr">
        <is>
          <t>GUT-VEH0029</t>
        </is>
      </c>
      <c r="S869" s="11" t="n">
        <v>46087</v>
      </c>
      <c r="T869" s="10" t="inlineStr">
        <is>
          <t>5</t>
        </is>
      </c>
      <c r="U869" s="10" t="inlineStr">
        <is>
          <t>VEHICLE</t>
        </is>
      </c>
      <c r="V869" s="10" t="inlineStr">
        <is>
          <t>T</t>
        </is>
      </c>
      <c r="W869" s="10" t="inlineStr">
        <is>
          <t>VIVEK B</t>
        </is>
      </c>
    </row>
    <row r="870">
      <c r="A870" s="10" t="inlineStr">
        <is>
          <t>TN58BP3434</t>
        </is>
      </c>
      <c r="B870" s="10" t="inlineStr">
        <is>
          <t>WOVEN</t>
        </is>
      </c>
      <c r="C870" s="10" t="inlineStr">
        <is>
          <t>VEHICLE INSURANCE</t>
        </is>
      </c>
      <c r="D870" s="10" t="inlineStr">
        <is>
          <t>VEHICLE INSURANCE</t>
        </is>
      </c>
      <c r="E870" s="10" t="inlineStr">
        <is>
          <t>YEARLY</t>
        </is>
      </c>
      <c r="F870" s="11" t="n">
        <v>46113</v>
      </c>
      <c r="G870" s="11" t="n">
        <v>46477</v>
      </c>
      <c r="H870" s="12">
        <f>IF(OR($F870="",$G870=""),"",$G870-$F870+1)</f>
        <v/>
      </c>
      <c r="I870" s="10">
        <f>IF($F870="","",IF(MONTH($F870)&gt;=4,YEAR($F870)&amp;"-"&amp;TEXT(YEAR($F870)+1-2000,"00"),YEAR($F870)-1&amp;"-"&amp;TEXT(YEAR($F870)-2000,"00")))</f>
        <v/>
      </c>
      <c r="J870" s="13" t="n">
        <v>78142</v>
      </c>
      <c r="K870" s="14">
        <f>IFERROR($L870/$J870,"")</f>
        <v/>
      </c>
      <c r="L870" s="13" t="n">
        <v>78142</v>
      </c>
      <c r="M870" s="13">
        <f>IFERROR($L870/$H870,"")</f>
        <v/>
      </c>
      <c r="N870" s="11" t="n">
        <v>46167</v>
      </c>
      <c r="O870" s="10">
        <f>IF($N870="","No","Yes")</f>
        <v/>
      </c>
      <c r="P870" s="12">
        <f>IF(OR($F870="",$G870=""),0,IF(AND($F870&lt;=README!$B$4,README!$B$4&lt;=$G870),1,0))</f>
        <v/>
      </c>
      <c r="Q870" s="12">
        <f>IF(OR($F870="",$G870=""),0,IF(AND($F870&lt;=DATE(README!$B$5,12,31),$G870&gt;=DATE(README!$B$5,1,1)),1,0))</f>
        <v/>
      </c>
      <c r="R870" s="10" t="inlineStr">
        <is>
          <t>GUT-VEH0035</t>
        </is>
      </c>
      <c r="S870" s="11" t="n">
        <v>46162</v>
      </c>
      <c r="T870" s="10" t="inlineStr">
        <is>
          <t>5</t>
        </is>
      </c>
      <c r="U870" s="10" t="inlineStr">
        <is>
          <t>VEHICLE</t>
        </is>
      </c>
      <c r="V870" s="10" t="inlineStr">
        <is>
          <t>T</t>
        </is>
      </c>
      <c r="W870" s="10" t="inlineStr">
        <is>
          <t>VIVEK B</t>
        </is>
      </c>
    </row>
    <row r="871">
      <c r="A871" s="10" t="inlineStr">
        <is>
          <t>TN58BP3434</t>
        </is>
      </c>
      <c r="B871" s="10" t="inlineStr">
        <is>
          <t>WOVEN</t>
        </is>
      </c>
      <c r="C871" s="10" t="inlineStr">
        <is>
          <t>ROAD TAX</t>
        </is>
      </c>
      <c r="D871" s="10" t="inlineStr">
        <is>
          <t>ROAD TAX</t>
        </is>
      </c>
      <c r="E871" s="10" t="inlineStr">
        <is>
          <t>QUARTER - II</t>
        </is>
      </c>
      <c r="F871" s="11" t="n">
        <v>46204</v>
      </c>
      <c r="G871" s="11" t="n">
        <v>46295</v>
      </c>
      <c r="H871" s="12">
        <f>IF(OR($F871="",$G871=""),"",$G871-$F871+1)</f>
        <v/>
      </c>
      <c r="I871" s="10">
        <f>IF($F871="","",IF(MONTH($F871)&gt;=4,YEAR($F871)&amp;"-"&amp;TEXT(YEAR($F871)+1-2000,"00"),YEAR($F871)-1&amp;"-"&amp;TEXT(YEAR($F871)-2000,"00")))</f>
        <v/>
      </c>
      <c r="J871" s="13" t="n">
        <v>32734</v>
      </c>
      <c r="K871" s="14">
        <f>IFERROR($L871/$J871,"")</f>
        <v/>
      </c>
      <c r="L871" s="13" t="n">
        <v>32734</v>
      </c>
      <c r="M871" s="13">
        <f>IFERROR($L871/$H871,"")</f>
        <v/>
      </c>
      <c r="N871" s="11" t="n">
        <v>46196</v>
      </c>
      <c r="O871" s="10">
        <f>IF($N871="","No","Yes")</f>
        <v/>
      </c>
      <c r="P871" s="12">
        <f>IF(OR($F871="",$G871=""),0,IF(AND($F871&lt;=README!$B$4,README!$B$4&lt;=$G871),1,0))</f>
        <v/>
      </c>
      <c r="Q871" s="12">
        <f>IF(OR($F871="",$G871=""),0,IF(AND($F871&lt;=DATE(README!$B$5,12,31),$G871&gt;=DATE(README!$B$5,1,1)),1,0))</f>
        <v/>
      </c>
      <c r="R871" s="10" t="inlineStr">
        <is>
          <t>GUT-VEH0038</t>
        </is>
      </c>
      <c r="S871" s="11" t="n">
        <v>46193</v>
      </c>
      <c r="T871" s="10" t="inlineStr">
        <is>
          <t>5</t>
        </is>
      </c>
      <c r="U871" s="10" t="inlineStr">
        <is>
          <t>VEHICLE</t>
        </is>
      </c>
      <c r="V871" s="10" t="inlineStr">
        <is>
          <t>T</t>
        </is>
      </c>
      <c r="W871" s="10" t="inlineStr">
        <is>
          <t>VIVEK B</t>
        </is>
      </c>
    </row>
    <row r="872">
      <c r="A872" s="10" t="inlineStr">
        <is>
          <t>TN58BP3636</t>
        </is>
      </c>
      <c r="B872" s="10" t="inlineStr">
        <is>
          <t>WOVEN</t>
        </is>
      </c>
      <c r="C872" s="10" t="inlineStr">
        <is>
          <t>ADBLU</t>
        </is>
      </c>
      <c r="D872" s="10" t="inlineStr">
        <is>
          <t>ADBLU</t>
        </is>
      </c>
      <c r="E872" s="10" t="inlineStr">
        <is>
          <t>YEARLY</t>
        </is>
      </c>
      <c r="F872" s="11" t="n">
        <v>45383</v>
      </c>
      <c r="G872" s="11" t="n">
        <v>45747</v>
      </c>
      <c r="H872" s="12">
        <f>IF(OR($F872="",$G872=""),"",$G872-$F872+1)</f>
        <v/>
      </c>
      <c r="I872" s="10">
        <f>IF($F872="","",IF(MONTH($F872)&gt;=4,YEAR($F872)&amp;"-"&amp;TEXT(YEAR($F872)+1-2000,"00"),YEAR($F872)-1&amp;"-"&amp;TEXT(YEAR($F872)-2000,"00")))</f>
        <v/>
      </c>
      <c r="J872" s="13" t="n">
        <v>61</v>
      </c>
      <c r="K872" s="14">
        <f>IFERROR($L872/$J872,"")</f>
        <v/>
      </c>
      <c r="L872" s="13" t="n">
        <v>2806</v>
      </c>
      <c r="M872" s="13">
        <f>IFERROR($L872/$H872,"")</f>
        <v/>
      </c>
      <c r="N872" s="11" t="n">
        <v>45623</v>
      </c>
      <c r="O872" s="10">
        <f>IF($N872="","No","Yes")</f>
        <v/>
      </c>
      <c r="P872" s="12">
        <f>IF(OR($F872="",$G872=""),0,IF(AND($F872&lt;=README!$B$4,README!$B$4&lt;=$G872),1,0))</f>
        <v/>
      </c>
      <c r="Q872" s="12">
        <f>IF(OR($F872="",$G872=""),0,IF(AND($F872&lt;=DATE(README!$B$5,12,31),$G872&gt;=DATE(README!$B$5,1,1)),1,0))</f>
        <v/>
      </c>
      <c r="R872" s="10" t="inlineStr">
        <is>
          <t>GUT-VEH0008</t>
        </is>
      </c>
      <c r="S872" s="11" t="n">
        <v>45475</v>
      </c>
      <c r="T872" s="10" t="inlineStr">
        <is>
          <t>3</t>
        </is>
      </c>
      <c r="U872" s="10" t="inlineStr">
        <is>
          <t>VEHICLE</t>
        </is>
      </c>
      <c r="V872" s="10" t="inlineStr">
        <is>
          <t>T</t>
        </is>
      </c>
      <c r="W872" s="10" t="inlineStr">
        <is>
          <t>VIVEK B</t>
        </is>
      </c>
    </row>
    <row r="873">
      <c r="A873" s="10" t="inlineStr">
        <is>
          <t>TN58BP3636</t>
        </is>
      </c>
      <c r="B873" s="10" t="inlineStr">
        <is>
          <t>WOVEN</t>
        </is>
      </c>
      <c r="C873" s="10" t="inlineStr">
        <is>
          <t>ADBLU</t>
        </is>
      </c>
      <c r="D873" s="10" t="inlineStr">
        <is>
          <t>ADBLU</t>
        </is>
      </c>
      <c r="E873" s="10" t="inlineStr">
        <is>
          <t>YEARLY</t>
        </is>
      </c>
      <c r="F873" s="11" t="n">
        <v>45383</v>
      </c>
      <c r="G873" s="11" t="n">
        <v>45747</v>
      </c>
      <c r="H873" s="12">
        <f>IF(OR($F873="",$G873=""),"",$G873-$F873+1)</f>
        <v/>
      </c>
      <c r="I873" s="10">
        <f>IF($F873="","",IF(MONTH($F873)&gt;=4,YEAR($F873)&amp;"-"&amp;TEXT(YEAR($F873)+1-2000,"00"),YEAR($F873)-1&amp;"-"&amp;TEXT(YEAR($F873)-2000,"00")))</f>
        <v/>
      </c>
      <c r="J873" s="13" t="n">
        <v>61</v>
      </c>
      <c r="K873" s="14">
        <f>IFERROR($L873/$J873,"")</f>
        <v/>
      </c>
      <c r="L873" s="13" t="n">
        <v>3050</v>
      </c>
      <c r="M873" s="13">
        <f>IFERROR($L873/$H873,"")</f>
        <v/>
      </c>
      <c r="N873" s="11" t="n">
        <v>45700</v>
      </c>
      <c r="O873" s="10">
        <f>IF($N873="","No","Yes")</f>
        <v/>
      </c>
      <c r="P873" s="12">
        <f>IF(OR($F873="",$G873=""),0,IF(AND($F873&lt;=README!$B$4,README!$B$4&lt;=$G873),1,0))</f>
        <v/>
      </c>
      <c r="Q873" s="12">
        <f>IF(OR($F873="",$G873=""),0,IF(AND($F873&lt;=DATE(README!$B$5,12,31),$G873&gt;=DATE(README!$B$5,1,1)),1,0))</f>
        <v/>
      </c>
      <c r="R873" s="10" t="inlineStr">
        <is>
          <t>GUT-VEH0008</t>
        </is>
      </c>
      <c r="S873" s="11" t="n">
        <v>45475</v>
      </c>
      <c r="T873" s="10" t="inlineStr">
        <is>
          <t>3</t>
        </is>
      </c>
      <c r="U873" s="10" t="inlineStr">
        <is>
          <t>VEHICLE</t>
        </is>
      </c>
      <c r="V873" s="10" t="inlineStr">
        <is>
          <t>T</t>
        </is>
      </c>
      <c r="W873" s="10" t="inlineStr">
        <is>
          <t>VIVEK B</t>
        </is>
      </c>
    </row>
    <row r="874">
      <c r="A874" s="10" t="inlineStr">
        <is>
          <t>TN58BP3636</t>
        </is>
      </c>
      <c r="B874" s="10" t="inlineStr">
        <is>
          <t>WOVEN</t>
        </is>
      </c>
      <c r="C874" s="10" t="inlineStr">
        <is>
          <t>ADBLU</t>
        </is>
      </c>
      <c r="D874" s="10" t="inlineStr">
        <is>
          <t>ADBLU</t>
        </is>
      </c>
      <c r="E874" s="10" t="inlineStr">
        <is>
          <t>YEARLY</t>
        </is>
      </c>
      <c r="F874" s="11" t="n">
        <v>45383</v>
      </c>
      <c r="G874" s="11" t="n">
        <v>45747</v>
      </c>
      <c r="H874" s="12">
        <f>IF(OR($F874="",$G874=""),"",$G874-$F874+1)</f>
        <v/>
      </c>
      <c r="I874" s="10">
        <f>IF($F874="","",IF(MONTH($F874)&gt;=4,YEAR($F874)&amp;"-"&amp;TEXT(YEAR($F874)+1-2000,"00"),YEAR($F874)-1&amp;"-"&amp;TEXT(YEAR($F874)-2000,"00")))</f>
        <v/>
      </c>
      <c r="J874" s="13" t="n">
        <v>61</v>
      </c>
      <c r="K874" s="14">
        <f>IFERROR($L874/$J874,"")</f>
        <v/>
      </c>
      <c r="L874" s="13" t="n">
        <v>2806</v>
      </c>
      <c r="M874" s="13">
        <f>IFERROR($L874/$H874,"")</f>
        <v/>
      </c>
      <c r="N874" s="11" t="n">
        <v>45602</v>
      </c>
      <c r="O874" s="10">
        <f>IF($N874="","No","Yes")</f>
        <v/>
      </c>
      <c r="P874" s="12">
        <f>IF(OR($F874="",$G874=""),0,IF(AND($F874&lt;=README!$B$4,README!$B$4&lt;=$G874),1,0))</f>
        <v/>
      </c>
      <c r="Q874" s="12">
        <f>IF(OR($F874="",$G874=""),0,IF(AND($F874&lt;=DATE(README!$B$5,12,31),$G874&gt;=DATE(README!$B$5,1,1)),1,0))</f>
        <v/>
      </c>
      <c r="R874" s="10" t="inlineStr">
        <is>
          <t>GUT-VEH0008</t>
        </is>
      </c>
      <c r="S874" s="11" t="n">
        <v>45475</v>
      </c>
      <c r="T874" s="10" t="inlineStr">
        <is>
          <t>3</t>
        </is>
      </c>
      <c r="U874" s="10" t="inlineStr">
        <is>
          <t>VEHICLE</t>
        </is>
      </c>
      <c r="V874" s="10" t="inlineStr">
        <is>
          <t>T</t>
        </is>
      </c>
      <c r="W874" s="10" t="inlineStr">
        <is>
          <t>VIVEK B</t>
        </is>
      </c>
    </row>
    <row r="875">
      <c r="A875" s="10" t="inlineStr">
        <is>
          <t>TN58BP3636</t>
        </is>
      </c>
      <c r="B875" s="10" t="inlineStr">
        <is>
          <t>WOVEN</t>
        </is>
      </c>
      <c r="C875" s="10" t="inlineStr">
        <is>
          <t>ADBLU</t>
        </is>
      </c>
      <c r="D875" s="10" t="inlineStr">
        <is>
          <t>ADBLU</t>
        </is>
      </c>
      <c r="E875" s="10" t="inlineStr">
        <is>
          <t>YEARLY</t>
        </is>
      </c>
      <c r="F875" s="11" t="n">
        <v>45383</v>
      </c>
      <c r="G875" s="11" t="n">
        <v>45747</v>
      </c>
      <c r="H875" s="12">
        <f>IF(OR($F875="",$G875=""),"",$G875-$F875+1)</f>
        <v/>
      </c>
      <c r="I875" s="10">
        <f>IF($F875="","",IF(MONTH($F875)&gt;=4,YEAR($F875)&amp;"-"&amp;TEXT(YEAR($F875)+1-2000,"00"),YEAR($F875)-1&amp;"-"&amp;TEXT(YEAR($F875)-2000,"00")))</f>
        <v/>
      </c>
      <c r="J875" s="13" t="n">
        <v>61</v>
      </c>
      <c r="K875" s="14">
        <f>IFERROR($L875/$J875,"")</f>
        <v/>
      </c>
      <c r="L875" s="13" t="n">
        <v>2806</v>
      </c>
      <c r="M875" s="13">
        <f>IFERROR($L875/$H875,"")</f>
        <v/>
      </c>
      <c r="N875" s="11" t="n">
        <v>45479</v>
      </c>
      <c r="O875" s="10">
        <f>IF($N875="","No","Yes")</f>
        <v/>
      </c>
      <c r="P875" s="12">
        <f>IF(OR($F875="",$G875=""),0,IF(AND($F875&lt;=README!$B$4,README!$B$4&lt;=$G875),1,0))</f>
        <v/>
      </c>
      <c r="Q875" s="12">
        <f>IF(OR($F875="",$G875=""),0,IF(AND($F875&lt;=DATE(README!$B$5,12,31),$G875&gt;=DATE(README!$B$5,1,1)),1,0))</f>
        <v/>
      </c>
      <c r="R875" s="10" t="inlineStr">
        <is>
          <t>GUT-VEH0008</t>
        </is>
      </c>
      <c r="S875" s="11" t="n">
        <v>45475</v>
      </c>
      <c r="T875" s="10" t="inlineStr">
        <is>
          <t>3</t>
        </is>
      </c>
      <c r="U875" s="10" t="inlineStr">
        <is>
          <t>VEHICLE</t>
        </is>
      </c>
      <c r="V875" s="10" t="inlineStr">
        <is>
          <t>T</t>
        </is>
      </c>
      <c r="W875" s="10" t="inlineStr">
        <is>
          <t>VIVEK B</t>
        </is>
      </c>
    </row>
    <row r="876">
      <c r="A876" s="10" t="inlineStr">
        <is>
          <t>TN58BP3636</t>
        </is>
      </c>
      <c r="B876" s="10" t="inlineStr">
        <is>
          <t>WOVEN</t>
        </is>
      </c>
      <c r="C876" s="10" t="inlineStr">
        <is>
          <t>ADBLU</t>
        </is>
      </c>
      <c r="D876" s="10" t="inlineStr">
        <is>
          <t>ADBLU</t>
        </is>
      </c>
      <c r="E876" s="10" t="inlineStr">
        <is>
          <t>YEARLY</t>
        </is>
      </c>
      <c r="F876" s="11" t="n">
        <v>45383</v>
      </c>
      <c r="G876" s="11" t="n">
        <v>45747</v>
      </c>
      <c r="H876" s="12">
        <f>IF(OR($F876="",$G876=""),"",$G876-$F876+1)</f>
        <v/>
      </c>
      <c r="I876" s="10">
        <f>IF($F876="","",IF(MONTH($F876)&gt;=4,YEAR($F876)&amp;"-"&amp;TEXT(YEAR($F876)+1-2000,"00"),YEAR($F876)-1&amp;"-"&amp;TEXT(YEAR($F876)-2000,"00")))</f>
        <v/>
      </c>
      <c r="J876" s="13" t="n">
        <v>61</v>
      </c>
      <c r="K876" s="14">
        <f>IFERROR($L876/$J876,"")</f>
        <v/>
      </c>
      <c r="L876" s="13" t="n">
        <v>3050</v>
      </c>
      <c r="M876" s="13">
        <f>IFERROR($L876/$H876,"")</f>
        <v/>
      </c>
      <c r="N876" s="11" t="n">
        <v>45700</v>
      </c>
      <c r="O876" s="10">
        <f>IF($N876="","No","Yes")</f>
        <v/>
      </c>
      <c r="P876" s="12">
        <f>IF(OR($F876="",$G876=""),0,IF(AND($F876&lt;=README!$B$4,README!$B$4&lt;=$G876),1,0))</f>
        <v/>
      </c>
      <c r="Q876" s="12">
        <f>IF(OR($F876="",$G876=""),0,IF(AND($F876&lt;=DATE(README!$B$5,12,31),$G876&gt;=DATE(README!$B$5,1,1)),1,0))</f>
        <v/>
      </c>
      <c r="R876" s="10" t="inlineStr">
        <is>
          <t>GUT-VEH0008</t>
        </is>
      </c>
      <c r="S876" s="11" t="n">
        <v>45475</v>
      </c>
      <c r="T876" s="10" t="inlineStr">
        <is>
          <t>3</t>
        </is>
      </c>
      <c r="U876" s="10" t="inlineStr">
        <is>
          <t>VEHICLE</t>
        </is>
      </c>
      <c r="V876" s="10" t="inlineStr">
        <is>
          <t>T</t>
        </is>
      </c>
      <c r="W876" s="10" t="inlineStr">
        <is>
          <t>VIVEK B</t>
        </is>
      </c>
    </row>
    <row r="877">
      <c r="A877" s="10" t="inlineStr">
        <is>
          <t>TN58BP3636</t>
        </is>
      </c>
      <c r="B877" s="10" t="inlineStr">
        <is>
          <t>WOVEN</t>
        </is>
      </c>
      <c r="C877" s="10" t="inlineStr">
        <is>
          <t>FC WORK</t>
        </is>
      </c>
      <c r="D877" s="10" t="inlineStr">
        <is>
          <t>FC WORK</t>
        </is>
      </c>
      <c r="E877" s="10" t="inlineStr">
        <is>
          <t>YEARLY</t>
        </is>
      </c>
      <c r="F877" s="11" t="n">
        <v>45383</v>
      </c>
      <c r="G877" s="11" t="n">
        <v>45747</v>
      </c>
      <c r="H877" s="12">
        <f>IF(OR($F877="",$G877=""),"",$G877-$F877+1)</f>
        <v/>
      </c>
      <c r="I877" s="10">
        <f>IF($F877="","",IF(MONTH($F877)&gt;=4,YEAR($F877)&amp;"-"&amp;TEXT(YEAR($F877)+1-2000,"00"),YEAR($F877)-1&amp;"-"&amp;TEXT(YEAR($F877)-2000,"00")))</f>
        <v/>
      </c>
      <c r="J877" s="13" t="n">
        <v>35000</v>
      </c>
      <c r="K877" s="14">
        <f>IFERROR($L877/$J877,"")</f>
        <v/>
      </c>
      <c r="L877" s="13" t="n">
        <v>35000</v>
      </c>
      <c r="M877" s="13">
        <f>IFERROR($L877/$H877,"")</f>
        <v/>
      </c>
      <c r="N877" s="11" t="n">
        <v>45490</v>
      </c>
      <c r="O877" s="10">
        <f>IF($N877="","No","Yes")</f>
        <v/>
      </c>
      <c r="P877" s="12">
        <f>IF(OR($F877="",$G877=""),0,IF(AND($F877&lt;=README!$B$4,README!$B$4&lt;=$G877),1,0))</f>
        <v/>
      </c>
      <c r="Q877" s="12">
        <f>IF(OR($F877="",$G877=""),0,IF(AND($F877&lt;=DATE(README!$B$5,12,31),$G877&gt;=DATE(README!$B$5,1,1)),1,0))</f>
        <v/>
      </c>
      <c r="R877" s="10" t="inlineStr">
        <is>
          <t>GUT-VEH0009</t>
        </is>
      </c>
      <c r="S877" s="11" t="n">
        <v>45475</v>
      </c>
      <c r="T877" s="10" t="inlineStr">
        <is>
          <t>3</t>
        </is>
      </c>
      <c r="U877" s="10" t="inlineStr">
        <is>
          <t>VEHICLE</t>
        </is>
      </c>
      <c r="V877" s="10" t="inlineStr">
        <is>
          <t>T</t>
        </is>
      </c>
      <c r="W877" s="10" t="inlineStr">
        <is>
          <t>VIVEK B</t>
        </is>
      </c>
    </row>
    <row r="878">
      <c r="A878" s="10" t="inlineStr">
        <is>
          <t>TN58BP3636</t>
        </is>
      </c>
      <c r="B878" s="10" t="inlineStr">
        <is>
          <t>WOVEN</t>
        </is>
      </c>
      <c r="C878" s="10" t="inlineStr">
        <is>
          <t>ROAD TAX</t>
        </is>
      </c>
      <c r="D878" s="10" t="inlineStr">
        <is>
          <t>ROAD TAX</t>
        </is>
      </c>
      <c r="E878" s="10" t="inlineStr">
        <is>
          <t>YEARLY</t>
        </is>
      </c>
      <c r="F878" s="11" t="n">
        <v>45383</v>
      </c>
      <c r="G878" s="11" t="n">
        <v>45747</v>
      </c>
      <c r="H878" s="12">
        <f>IF(OR($F878="",$G878=""),"",$G878-$F878+1)</f>
        <v/>
      </c>
      <c r="I878" s="10">
        <f>IF($F878="","",IF(MONTH($F878)&gt;=4,YEAR($F878)&amp;"-"&amp;TEXT(YEAR($F878)+1-2000,"00"),YEAR($F878)-1&amp;"-"&amp;TEXT(YEAR($F878)-2000,"00")))</f>
        <v/>
      </c>
      <c r="J878" s="13" t="n">
        <v>32724</v>
      </c>
      <c r="K878" s="14">
        <f>IFERROR($L878/$J878,"")</f>
        <v/>
      </c>
      <c r="L878" s="13" t="n">
        <v>32724</v>
      </c>
      <c r="M878" s="13">
        <f>IFERROR($L878/$H878,"")</f>
        <v/>
      </c>
      <c r="N878" s="11" t="n">
        <v>45727</v>
      </c>
      <c r="O878" s="10">
        <f>IF($N878="","No","Yes")</f>
        <v/>
      </c>
      <c r="P878" s="12">
        <f>IF(OR($F878="",$G878=""),0,IF(AND($F878&lt;=README!$B$4,README!$B$4&lt;=$G878),1,0))</f>
        <v/>
      </c>
      <c r="Q878" s="12">
        <f>IF(OR($F878="",$G878=""),0,IF(AND($F878&lt;=DATE(README!$B$5,12,31),$G878&gt;=DATE(README!$B$5,1,1)),1,0))</f>
        <v/>
      </c>
      <c r="R878" s="10" t="inlineStr">
        <is>
          <t>GUT-VEH0016</t>
        </is>
      </c>
      <c r="S878" s="11" t="n">
        <v>46023</v>
      </c>
      <c r="T878" s="10" t="inlineStr">
        <is>
          <t>5</t>
        </is>
      </c>
      <c r="U878" s="10" t="inlineStr">
        <is>
          <t>VEHICLE</t>
        </is>
      </c>
      <c r="V878" s="10" t="inlineStr">
        <is>
          <t>T</t>
        </is>
      </c>
      <c r="W878" s="10" t="inlineStr">
        <is>
          <t>VIVEK B</t>
        </is>
      </c>
    </row>
    <row r="879">
      <c r="A879" s="10" t="inlineStr">
        <is>
          <t>TN58BP3636</t>
        </is>
      </c>
      <c r="B879" s="10" t="inlineStr">
        <is>
          <t>WOVEN</t>
        </is>
      </c>
      <c r="C879" s="10" t="inlineStr">
        <is>
          <t>ROAD TAX</t>
        </is>
      </c>
      <c r="D879" s="10" t="inlineStr">
        <is>
          <t>ROAD TAX</t>
        </is>
      </c>
      <c r="E879" s="10" t="inlineStr">
        <is>
          <t>YEARLY</t>
        </is>
      </c>
      <c r="F879" s="11" t="n">
        <v>45383</v>
      </c>
      <c r="G879" s="11" t="n">
        <v>45747</v>
      </c>
      <c r="H879" s="12">
        <f>IF(OR($F879="",$G879=""),"",$G879-$F879+1)</f>
        <v/>
      </c>
      <c r="I879" s="10">
        <f>IF($F879="","",IF(MONTH($F879)&gt;=4,YEAR($F879)&amp;"-"&amp;TEXT(YEAR($F879)+1-2000,"00"),YEAR($F879)-1&amp;"-"&amp;TEXT(YEAR($F879)-2000,"00")))</f>
        <v/>
      </c>
      <c r="J879" s="13" t="n">
        <v>32734</v>
      </c>
      <c r="K879" s="14">
        <f>IFERROR($L879/$J879,"")</f>
        <v/>
      </c>
      <c r="L879" s="13" t="n">
        <v>32734</v>
      </c>
      <c r="M879" s="13">
        <f>IFERROR($L879/$H879,"")</f>
        <v/>
      </c>
      <c r="N879" s="11" t="n">
        <v>45910</v>
      </c>
      <c r="O879" s="10">
        <f>IF($N879="","No","Yes")</f>
        <v/>
      </c>
      <c r="P879" s="12">
        <f>IF(OR($F879="",$G879=""),0,IF(AND($F879&lt;=README!$B$4,README!$B$4&lt;=$G879),1,0))</f>
        <v/>
      </c>
      <c r="Q879" s="12">
        <f>IF(OR($F879="",$G879=""),0,IF(AND($F879&lt;=DATE(README!$B$5,12,31),$G879&gt;=DATE(README!$B$5,1,1)),1,0))</f>
        <v/>
      </c>
      <c r="R879" s="10" t="inlineStr">
        <is>
          <t>GUT-VEH0016</t>
        </is>
      </c>
      <c r="S879" s="11" t="n">
        <v>46023</v>
      </c>
      <c r="T879" s="10" t="inlineStr">
        <is>
          <t>5</t>
        </is>
      </c>
      <c r="U879" s="10" t="inlineStr">
        <is>
          <t>VEHICLE</t>
        </is>
      </c>
      <c r="V879" s="10" t="inlineStr">
        <is>
          <t>T</t>
        </is>
      </c>
      <c r="W879" s="10" t="inlineStr">
        <is>
          <t>VIVEK B</t>
        </is>
      </c>
    </row>
    <row r="880">
      <c r="A880" s="10" t="inlineStr">
        <is>
          <t>TN58BP3636</t>
        </is>
      </c>
      <c r="B880" s="10" t="inlineStr">
        <is>
          <t>WOVEN</t>
        </is>
      </c>
      <c r="C880" s="10" t="inlineStr">
        <is>
          <t>ROAD TAX</t>
        </is>
      </c>
      <c r="D880" s="10" t="inlineStr">
        <is>
          <t>ROAD TAX</t>
        </is>
      </c>
      <c r="E880" s="10" t="inlineStr">
        <is>
          <t>YEARLY</t>
        </is>
      </c>
      <c r="F880" s="11" t="n">
        <v>45383</v>
      </c>
      <c r="G880" s="11" t="n">
        <v>45747</v>
      </c>
      <c r="H880" s="12">
        <f>IF(OR($F880="",$G880=""),"",$G880-$F880+1)</f>
        <v/>
      </c>
      <c r="I880" s="10">
        <f>IF($F880="","",IF(MONTH($F880)&gt;=4,YEAR($F880)&amp;"-"&amp;TEXT(YEAR($F880)+1-2000,"00"),YEAR($F880)-1&amp;"-"&amp;TEXT(YEAR($F880)-2000,"00")))</f>
        <v/>
      </c>
      <c r="J880" s="13" t="n">
        <v>32724</v>
      </c>
      <c r="K880" s="14">
        <f>IFERROR($L880/$J880,"")</f>
        <v/>
      </c>
      <c r="L880" s="13" t="n">
        <v>32724</v>
      </c>
      <c r="M880" s="13">
        <f>IFERROR($L880/$H880,"")</f>
        <v/>
      </c>
      <c r="N880" s="11" t="n">
        <v>45840</v>
      </c>
      <c r="O880" s="10">
        <f>IF($N880="","No","Yes")</f>
        <v/>
      </c>
      <c r="P880" s="12">
        <f>IF(OR($F880="",$G880=""),0,IF(AND($F880&lt;=README!$B$4,README!$B$4&lt;=$G880),1,0))</f>
        <v/>
      </c>
      <c r="Q880" s="12">
        <f>IF(OR($F880="",$G880=""),0,IF(AND($F880&lt;=DATE(README!$B$5,12,31),$G880&gt;=DATE(README!$B$5,1,1)),1,0))</f>
        <v/>
      </c>
      <c r="R880" s="10" t="inlineStr">
        <is>
          <t>GUT-VEH0016</t>
        </is>
      </c>
      <c r="S880" s="11" t="n">
        <v>46023</v>
      </c>
      <c r="T880" s="10" t="inlineStr">
        <is>
          <t>5</t>
        </is>
      </c>
      <c r="U880" s="10" t="inlineStr">
        <is>
          <t>VEHICLE</t>
        </is>
      </c>
      <c r="V880" s="10" t="inlineStr">
        <is>
          <t>T</t>
        </is>
      </c>
      <c r="W880" s="10" t="inlineStr">
        <is>
          <t>VIVEK B</t>
        </is>
      </c>
    </row>
    <row r="881">
      <c r="A881" s="10" t="inlineStr">
        <is>
          <t>TN58BP3636</t>
        </is>
      </c>
      <c r="B881" s="10" t="inlineStr">
        <is>
          <t>WOVEN</t>
        </is>
      </c>
      <c r="C881" s="10" t="inlineStr">
        <is>
          <t>ROAD TAX</t>
        </is>
      </c>
      <c r="D881" s="10" t="inlineStr">
        <is>
          <t>ROAD TAX</t>
        </is>
      </c>
      <c r="E881" s="10" t="inlineStr">
        <is>
          <t>YEARLY</t>
        </is>
      </c>
      <c r="F881" s="11" t="n">
        <v>45383</v>
      </c>
      <c r="G881" s="11" t="n">
        <v>45747</v>
      </c>
      <c r="H881" s="12">
        <f>IF(OR($F881="",$G881=""),"",$G881-$F881+1)</f>
        <v/>
      </c>
      <c r="I881" s="10">
        <f>IF($F881="","",IF(MONTH($F881)&gt;=4,YEAR($F881)&amp;"-"&amp;TEXT(YEAR($F881)+1-2000,"00"),YEAR($F881)-1&amp;"-"&amp;TEXT(YEAR($F881)-2000,"00")))</f>
        <v/>
      </c>
      <c r="J881" s="13" t="n">
        <v>32724</v>
      </c>
      <c r="K881" s="14">
        <f>IFERROR($L881/$J881,"")</f>
        <v/>
      </c>
      <c r="L881" s="13" t="n">
        <v>32724</v>
      </c>
      <c r="M881" s="13">
        <f>IFERROR($L881/$H881,"")</f>
        <v/>
      </c>
      <c r="N881" s="11" t="n">
        <v>45649</v>
      </c>
      <c r="O881" s="10">
        <f>IF($N881="","No","Yes")</f>
        <v/>
      </c>
      <c r="P881" s="12">
        <f>IF(OR($F881="",$G881=""),0,IF(AND($F881&lt;=README!$B$4,README!$B$4&lt;=$G881),1,0))</f>
        <v/>
      </c>
      <c r="Q881" s="12">
        <f>IF(OR($F881="",$G881=""),0,IF(AND($F881&lt;=DATE(README!$B$5,12,31),$G881&gt;=DATE(README!$B$5,1,1)),1,0))</f>
        <v/>
      </c>
      <c r="R881" s="10" t="inlineStr">
        <is>
          <t>GUT-VEH0011</t>
        </is>
      </c>
      <c r="S881" s="11" t="n">
        <v>45475</v>
      </c>
      <c r="T881" s="10" t="inlineStr">
        <is>
          <t>3</t>
        </is>
      </c>
      <c r="U881" s="10" t="inlineStr">
        <is>
          <t>VEHICLE</t>
        </is>
      </c>
      <c r="V881" s="10" t="inlineStr">
        <is>
          <t>T</t>
        </is>
      </c>
      <c r="W881" s="10" t="inlineStr">
        <is>
          <t>VIVEK B</t>
        </is>
      </c>
    </row>
    <row r="882">
      <c r="A882" s="10" t="inlineStr">
        <is>
          <t>TN58BP3636</t>
        </is>
      </c>
      <c r="B882" s="10" t="inlineStr">
        <is>
          <t>WOVEN</t>
        </is>
      </c>
      <c r="C882" s="10" t="inlineStr">
        <is>
          <t>ROAD TAX</t>
        </is>
      </c>
      <c r="D882" s="10" t="inlineStr">
        <is>
          <t>ROAD TAX</t>
        </is>
      </c>
      <c r="E882" s="10" t="inlineStr">
        <is>
          <t>YEARLY</t>
        </is>
      </c>
      <c r="F882" s="11" t="n">
        <v>45383</v>
      </c>
      <c r="G882" s="11" t="n">
        <v>45747</v>
      </c>
      <c r="H882" s="12">
        <f>IF(OR($F882="",$G882=""),"",$G882-$F882+1)</f>
        <v/>
      </c>
      <c r="I882" s="10">
        <f>IF($F882="","",IF(MONTH($F882)&gt;=4,YEAR($F882)&amp;"-"&amp;TEXT(YEAR($F882)+1-2000,"00"),YEAR($F882)-1&amp;"-"&amp;TEXT(YEAR($F882)-2000,"00")))</f>
        <v/>
      </c>
      <c r="J882" s="13" t="n">
        <v>32724</v>
      </c>
      <c r="K882" s="14">
        <f>IFERROR($L882/$J882,"")</f>
        <v/>
      </c>
      <c r="L882" s="13" t="n">
        <v>32724</v>
      </c>
      <c r="M882" s="13">
        <f>IFERROR($L882/$H882,"")</f>
        <v/>
      </c>
      <c r="N882" s="11" t="n">
        <v>45569</v>
      </c>
      <c r="O882" s="10">
        <f>IF($N882="","No","Yes")</f>
        <v/>
      </c>
      <c r="P882" s="12">
        <f>IF(OR($F882="",$G882=""),0,IF(AND($F882&lt;=README!$B$4,README!$B$4&lt;=$G882),1,0))</f>
        <v/>
      </c>
      <c r="Q882" s="12">
        <f>IF(OR($F882="",$G882=""),0,IF(AND($F882&lt;=DATE(README!$B$5,12,31),$G882&gt;=DATE(README!$B$5,1,1)),1,0))</f>
        <v/>
      </c>
      <c r="R882" s="10" t="inlineStr">
        <is>
          <t>GUT-VEH0011</t>
        </is>
      </c>
      <c r="S882" s="11" t="n">
        <v>45475</v>
      </c>
      <c r="T882" s="10" t="inlineStr">
        <is>
          <t>3</t>
        </is>
      </c>
      <c r="U882" s="10" t="inlineStr">
        <is>
          <t>VEHICLE</t>
        </is>
      </c>
      <c r="V882" s="10" t="inlineStr">
        <is>
          <t>T</t>
        </is>
      </c>
      <c r="W882" s="10" t="inlineStr">
        <is>
          <t>VIVEK B</t>
        </is>
      </c>
    </row>
    <row r="883">
      <c r="A883" s="10" t="inlineStr">
        <is>
          <t>TN58BP3636</t>
        </is>
      </c>
      <c r="B883" s="10" t="inlineStr">
        <is>
          <t>WOVEN</t>
        </is>
      </c>
      <c r="C883" s="10" t="inlineStr">
        <is>
          <t>ROAD TAX</t>
        </is>
      </c>
      <c r="D883" s="10" t="inlineStr">
        <is>
          <t>ROAD TAX</t>
        </is>
      </c>
      <c r="E883" s="10" t="inlineStr">
        <is>
          <t>YEARLY</t>
        </is>
      </c>
      <c r="F883" s="11" t="n">
        <v>45383</v>
      </c>
      <c r="G883" s="11" t="n">
        <v>45747</v>
      </c>
      <c r="H883" s="12">
        <f>IF(OR($F883="",$G883=""),"",$G883-$F883+1)</f>
        <v/>
      </c>
      <c r="I883" s="10">
        <f>IF($F883="","",IF(MONTH($F883)&gt;=4,YEAR($F883)&amp;"-"&amp;TEXT(YEAR($F883)+1-2000,"00"),YEAR($F883)-1&amp;"-"&amp;TEXT(YEAR($F883)-2000,"00")))</f>
        <v/>
      </c>
      <c r="J883" s="13" t="n">
        <v>32724</v>
      </c>
      <c r="K883" s="14">
        <f>IFERROR($L883/$J883,"")</f>
        <v/>
      </c>
      <c r="L883" s="13" t="n">
        <v>32724</v>
      </c>
      <c r="M883" s="13">
        <f>IFERROR($L883/$H883,"")</f>
        <v/>
      </c>
      <c r="N883" s="11" t="n">
        <v>45481</v>
      </c>
      <c r="O883" s="10">
        <f>IF($N883="","No","Yes")</f>
        <v/>
      </c>
      <c r="P883" s="12">
        <f>IF(OR($F883="",$G883=""),0,IF(AND($F883&lt;=README!$B$4,README!$B$4&lt;=$G883),1,0))</f>
        <v/>
      </c>
      <c r="Q883" s="12">
        <f>IF(OR($F883="",$G883=""),0,IF(AND($F883&lt;=DATE(README!$B$5,12,31),$G883&gt;=DATE(README!$B$5,1,1)),1,0))</f>
        <v/>
      </c>
      <c r="R883" s="10" t="inlineStr">
        <is>
          <t>GUT-VEH0011</t>
        </is>
      </c>
      <c r="S883" s="11" t="n">
        <v>45475</v>
      </c>
      <c r="T883" s="10" t="inlineStr">
        <is>
          <t>3</t>
        </is>
      </c>
      <c r="U883" s="10" t="inlineStr">
        <is>
          <t>VEHICLE</t>
        </is>
      </c>
      <c r="V883" s="10" t="inlineStr">
        <is>
          <t>T</t>
        </is>
      </c>
      <c r="W883" s="10" t="inlineStr">
        <is>
          <t>VIVEK B</t>
        </is>
      </c>
    </row>
    <row r="884">
      <c r="A884" s="10" t="inlineStr">
        <is>
          <t>TN58BP3636</t>
        </is>
      </c>
      <c r="B884" s="10" t="inlineStr">
        <is>
          <t>WOVEN</t>
        </is>
      </c>
      <c r="C884" s="10" t="inlineStr">
        <is>
          <t>RTO EXPENSE</t>
        </is>
      </c>
      <c r="D884" s="10" t="inlineStr">
        <is>
          <t>RTO EXPENSE</t>
        </is>
      </c>
      <c r="E884" s="10" t="inlineStr">
        <is>
          <t>YEARLY</t>
        </is>
      </c>
      <c r="F884" s="11" t="n">
        <v>45383</v>
      </c>
      <c r="G884" s="11" t="n">
        <v>45747</v>
      </c>
      <c r="H884" s="12">
        <f>IF(OR($F884="",$G884=""),"",$G884-$F884+1)</f>
        <v/>
      </c>
      <c r="I884" s="10">
        <f>IF($F884="","",IF(MONTH($F884)&gt;=4,YEAR($F884)&amp;"-"&amp;TEXT(YEAR($F884)+1-2000,"00"),YEAR($F884)-1&amp;"-"&amp;TEXT(YEAR($F884)-2000,"00")))</f>
        <v/>
      </c>
      <c r="J884" s="13" t="n">
        <v>12500</v>
      </c>
      <c r="K884" s="14">
        <f>IFERROR($L884/$J884,"")</f>
        <v/>
      </c>
      <c r="L884" s="13" t="n">
        <v>12500</v>
      </c>
      <c r="M884" s="13">
        <f>IFERROR($L884/$H884,"")</f>
        <v/>
      </c>
      <c r="N884" s="11" t="n">
        <v>45490</v>
      </c>
      <c r="O884" s="10">
        <f>IF($N884="","No","Yes")</f>
        <v/>
      </c>
      <c r="P884" s="12">
        <f>IF(OR($F884="",$G884=""),0,IF(AND($F884&lt;=README!$B$4,README!$B$4&lt;=$G884),1,0))</f>
        <v/>
      </c>
      <c r="Q884" s="12">
        <f>IF(OR($F884="",$G884=""),0,IF(AND($F884&lt;=DATE(README!$B$5,12,31),$G884&gt;=DATE(README!$B$5,1,1)),1,0))</f>
        <v/>
      </c>
      <c r="R884" s="10" t="inlineStr">
        <is>
          <t>GUT-VEH0010</t>
        </is>
      </c>
      <c r="S884" s="11" t="n">
        <v>45475</v>
      </c>
      <c r="T884" s="10" t="inlineStr">
        <is>
          <t>3</t>
        </is>
      </c>
      <c r="U884" s="10" t="inlineStr">
        <is>
          <t>VEHICLE</t>
        </is>
      </c>
      <c r="V884" s="10" t="inlineStr">
        <is>
          <t>T</t>
        </is>
      </c>
      <c r="W884" s="10" t="inlineStr">
        <is>
          <t>VIVEK B</t>
        </is>
      </c>
    </row>
    <row r="885">
      <c r="A885" s="10" t="inlineStr">
        <is>
          <t>TN58BP3636</t>
        </is>
      </c>
      <c r="B885" s="10" t="inlineStr">
        <is>
          <t>WOVEN</t>
        </is>
      </c>
      <c r="C885" s="10" t="inlineStr">
        <is>
          <t>TYRE</t>
        </is>
      </c>
      <c r="D885" s="10" t="inlineStr">
        <is>
          <t>TYRE</t>
        </is>
      </c>
      <c r="E885" s="10" t="inlineStr">
        <is>
          <t>YEARLY</t>
        </is>
      </c>
      <c r="F885" s="11" t="n">
        <v>45383</v>
      </c>
      <c r="G885" s="11" t="n">
        <v>45747</v>
      </c>
      <c r="H885" s="12">
        <f>IF(OR($F885="",$G885=""),"",$G885-$F885+1)</f>
        <v/>
      </c>
      <c r="I885" s="10">
        <f>IF($F885="","",IF(MONTH($F885)&gt;=4,YEAR($F885)&amp;"-"&amp;TEXT(YEAR($F885)+1-2000,"00"),YEAR($F885)-1&amp;"-"&amp;TEXT(YEAR($F885)-2000,"00")))</f>
        <v/>
      </c>
      <c r="J885" s="13" t="n">
        <v>30200</v>
      </c>
      <c r="K885" s="14">
        <f>IFERROR($L885/$J885,"")</f>
        <v/>
      </c>
      <c r="L885" s="13" t="n">
        <v>30200</v>
      </c>
      <c r="M885" s="13">
        <f>IFERROR($L885/$H885,"")</f>
        <v/>
      </c>
      <c r="N885" s="11" t="n">
        <v>45505</v>
      </c>
      <c r="O885" s="10">
        <f>IF($N885="","No","Yes")</f>
        <v/>
      </c>
      <c r="P885" s="12">
        <f>IF(OR($F885="",$G885=""),0,IF(AND($F885&lt;=README!$B$4,README!$B$4&lt;=$G885),1,0))</f>
        <v/>
      </c>
      <c r="Q885" s="12">
        <f>IF(OR($F885="",$G885=""),0,IF(AND($F885&lt;=DATE(README!$B$5,12,31),$G885&gt;=DATE(README!$B$5,1,1)),1,0))</f>
        <v/>
      </c>
      <c r="R885" s="10" t="inlineStr">
        <is>
          <t>GUT-VEH0006</t>
        </is>
      </c>
      <c r="S885" s="11" t="n">
        <v>45437</v>
      </c>
      <c r="T885" s="10" t="inlineStr">
        <is>
          <t>3</t>
        </is>
      </c>
      <c r="U885" s="10" t="inlineStr">
        <is>
          <t>VEHICLE</t>
        </is>
      </c>
      <c r="V885" s="10" t="inlineStr">
        <is>
          <t>T</t>
        </is>
      </c>
      <c r="W885" s="10" t="inlineStr">
        <is>
          <t>VIVEK B</t>
        </is>
      </c>
    </row>
    <row r="886">
      <c r="A886" s="10" t="inlineStr">
        <is>
          <t>TN58BP3636</t>
        </is>
      </c>
      <c r="B886" s="10" t="inlineStr">
        <is>
          <t>WOVEN</t>
        </is>
      </c>
      <c r="C886" s="10" t="inlineStr">
        <is>
          <t>VEHICLE INSURANCE</t>
        </is>
      </c>
      <c r="D886" s="10" t="inlineStr">
        <is>
          <t>VEHICLE INSURANCE</t>
        </is>
      </c>
      <c r="E886" s="10" t="inlineStr">
        <is>
          <t>YEARLY</t>
        </is>
      </c>
      <c r="F886" s="11" t="n">
        <v>45383</v>
      </c>
      <c r="G886" s="11" t="n">
        <v>45747</v>
      </c>
      <c r="H886" s="12">
        <f>IF(OR($F886="",$G886=""),"",$G886-$F886+1)</f>
        <v/>
      </c>
      <c r="I886" s="10">
        <f>IF($F886="","",IF(MONTH($F886)&gt;=4,YEAR($F886)&amp;"-"&amp;TEXT(YEAR($F886)+1-2000,"00"),YEAR($F886)-1&amp;"-"&amp;TEXT(YEAR($F886)-2000,"00")))</f>
        <v/>
      </c>
      <c r="J886" s="13" t="n">
        <v>81142</v>
      </c>
      <c r="K886" s="14">
        <f>IFERROR($L886/$J886,"")</f>
        <v/>
      </c>
      <c r="L886" s="13" t="n">
        <v>0</v>
      </c>
      <c r="M886" s="13">
        <f>IFERROR($L886/$H886,"")</f>
        <v/>
      </c>
      <c r="N886" s="11" t="n"/>
      <c r="O886" s="10">
        <f>IF($N886="","No","Yes")</f>
        <v/>
      </c>
      <c r="P886" s="12">
        <f>IF(OR($F886="",$G886=""),0,IF(AND($F886&lt;=README!$B$4,README!$B$4&lt;=$G886),1,0))</f>
        <v/>
      </c>
      <c r="Q886" s="12">
        <f>IF(OR($F886="",$G886=""),0,IF(AND($F886&lt;=DATE(README!$B$5,12,31),$G886&gt;=DATE(README!$B$5,1,1)),1,0))</f>
        <v/>
      </c>
      <c r="R886" s="10" t="inlineStr">
        <is>
          <t>GUT-VEH0012</t>
        </is>
      </c>
      <c r="S886" s="11" t="n">
        <v>45478</v>
      </c>
      <c r="T886" s="10" t="inlineStr">
        <is>
          <t>3</t>
        </is>
      </c>
      <c r="U886" s="10" t="inlineStr">
        <is>
          <t>VEHICLE</t>
        </is>
      </c>
      <c r="V886" s="10" t="inlineStr">
        <is>
          <t>T</t>
        </is>
      </c>
      <c r="W886" s="10" t="inlineStr">
        <is>
          <t>VIVEK B</t>
        </is>
      </c>
    </row>
    <row r="887">
      <c r="A887" s="10" t="inlineStr">
        <is>
          <t>TN58BP3636</t>
        </is>
      </c>
      <c r="B887" s="10" t="inlineStr">
        <is>
          <t>WOVEN</t>
        </is>
      </c>
      <c r="C887" s="10" t="inlineStr">
        <is>
          <t>VEHICLE OUTSIDE SERVICES</t>
        </is>
      </c>
      <c r="D887" s="10" t="inlineStr">
        <is>
          <t xml:space="preserve">MAINTENANCE SERVICE </t>
        </is>
      </c>
      <c r="E887" s="10" t="inlineStr">
        <is>
          <t>YEARLY</t>
        </is>
      </c>
      <c r="F887" s="11" t="n">
        <v>45383</v>
      </c>
      <c r="G887" s="11" t="n">
        <v>45747</v>
      </c>
      <c r="H887" s="12">
        <f>IF(OR($F887="",$G887=""),"",$G887-$F887+1)</f>
        <v/>
      </c>
      <c r="I887" s="10">
        <f>IF($F887="","",IF(MONTH($F887)&gt;=4,YEAR($F887)&amp;"-"&amp;TEXT(YEAR($F887)+1-2000,"00"),YEAR($F887)-1&amp;"-"&amp;TEXT(YEAR($F887)-2000,"00")))</f>
        <v/>
      </c>
      <c r="J887" s="13" t="n">
        <v>20183.13</v>
      </c>
      <c r="K887" s="14">
        <f>IFERROR($L887/$J887,"")</f>
        <v/>
      </c>
      <c r="L887" s="13" t="n">
        <v>20183.13</v>
      </c>
      <c r="M887" s="13">
        <f>IFERROR($L887/$H887,"")</f>
        <v/>
      </c>
      <c r="N887" s="11" t="n">
        <v>45528</v>
      </c>
      <c r="O887" s="10">
        <f>IF($N887="","No","Yes")</f>
        <v/>
      </c>
      <c r="P887" s="12">
        <f>IF(OR($F887="",$G887=""),0,IF(AND($F887&lt;=README!$B$4,README!$B$4&lt;=$G887),1,0))</f>
        <v/>
      </c>
      <c r="Q887" s="12">
        <f>IF(OR($F887="",$G887=""),0,IF(AND($F887&lt;=DATE(README!$B$5,12,31),$G887&gt;=DATE(README!$B$5,1,1)),1,0))</f>
        <v/>
      </c>
      <c r="R887" s="10" t="inlineStr">
        <is>
          <t>GUT-VEH0013</t>
        </is>
      </c>
      <c r="S887" s="11" t="n">
        <v>45527</v>
      </c>
      <c r="T887" s="10" t="inlineStr">
        <is>
          <t>3</t>
        </is>
      </c>
      <c r="U887" s="10" t="inlineStr">
        <is>
          <t>VEHICLE</t>
        </is>
      </c>
      <c r="V887" s="10" t="inlineStr">
        <is>
          <t>T</t>
        </is>
      </c>
      <c r="W887" s="10" t="inlineStr">
        <is>
          <t>VIVEK B</t>
        </is>
      </c>
    </row>
    <row r="888">
      <c r="A888" s="10" t="inlineStr">
        <is>
          <t>TN58BP3636</t>
        </is>
      </c>
      <c r="B888" s="10" t="inlineStr">
        <is>
          <t>WOVEN</t>
        </is>
      </c>
      <c r="C888" s="10" t="inlineStr">
        <is>
          <t>VEHICLE INSURANCE</t>
        </is>
      </c>
      <c r="D888" s="10" t="inlineStr">
        <is>
          <t>VEHICLE INSURANCE</t>
        </is>
      </c>
      <c r="E888" s="10" t="inlineStr">
        <is>
          <t>YEARLY</t>
        </is>
      </c>
      <c r="F888" s="11" t="n">
        <v>45748</v>
      </c>
      <c r="G888" s="11" t="n">
        <v>46112</v>
      </c>
      <c r="H888" s="12">
        <f>IF(OR($F888="",$G888=""),"",$G888-$F888+1)</f>
        <v/>
      </c>
      <c r="I888" s="10">
        <f>IF($F888="","",IF(MONTH($F888)&gt;=4,YEAR($F888)&amp;"-"&amp;TEXT(YEAR($F888)+1-2000,"00"),YEAR($F888)-1&amp;"-"&amp;TEXT(YEAR($F888)-2000,"00")))</f>
        <v/>
      </c>
      <c r="J888" s="13" t="n">
        <v>79431</v>
      </c>
      <c r="K888" s="14">
        <f>IFERROR($L888/$J888,"")</f>
        <v/>
      </c>
      <c r="L888" s="13" t="n">
        <v>79431</v>
      </c>
      <c r="M888" s="13">
        <f>IFERROR($L888/$H888,"")</f>
        <v/>
      </c>
      <c r="N888" s="11" t="n">
        <v>45799</v>
      </c>
      <c r="O888" s="10">
        <f>IF($N888="","No","Yes")</f>
        <v/>
      </c>
      <c r="P888" s="12">
        <f>IF(OR($F888="",$G888=""),0,IF(AND($F888&lt;=README!$B$4,README!$B$4&lt;=$G888),1,0))</f>
        <v/>
      </c>
      <c r="Q888" s="12">
        <f>IF(OR($F888="",$G888=""),0,IF(AND($F888&lt;=DATE(README!$B$5,12,31),$G888&gt;=DATE(README!$B$5,1,1)),1,0))</f>
        <v/>
      </c>
      <c r="R888" s="10" t="inlineStr">
        <is>
          <t>GUT-VEH0019</t>
        </is>
      </c>
      <c r="S888" s="11" t="n">
        <v>45799</v>
      </c>
      <c r="T888" s="10" t="inlineStr">
        <is>
          <t>5</t>
        </is>
      </c>
      <c r="U888" s="10" t="inlineStr">
        <is>
          <t>VEHICLE</t>
        </is>
      </c>
      <c r="V888" s="10" t="inlineStr">
        <is>
          <t>T</t>
        </is>
      </c>
      <c r="W888" s="10" t="inlineStr">
        <is>
          <t>VIVEK B</t>
        </is>
      </c>
    </row>
    <row r="889">
      <c r="A889" s="10" t="inlineStr">
        <is>
          <t>TN58BP3636</t>
        </is>
      </c>
      <c r="B889" s="10" t="inlineStr"/>
      <c r="C889" s="10" t="inlineStr">
        <is>
          <t>VEHICLE OUTSIDE SERVICES</t>
        </is>
      </c>
      <c r="D889" s="10" t="inlineStr">
        <is>
          <t xml:space="preserve">MAINTENANCE SERVICE </t>
        </is>
      </c>
      <c r="E889" s="10" t="inlineStr">
        <is>
          <t>DECEMBER</t>
        </is>
      </c>
      <c r="F889" s="11" t="n">
        <v>45992</v>
      </c>
      <c r="G889" s="11" t="n">
        <v>46022</v>
      </c>
      <c r="H889" s="12">
        <f>IF(OR($F889="",$G889=""),"",$G889-$F889+1)</f>
        <v/>
      </c>
      <c r="I889" s="10">
        <f>IF($F889="","",IF(MONTH($F889)&gt;=4,YEAR($F889)&amp;"-"&amp;TEXT(YEAR($F889)+1-2000,"00"),YEAR($F889)-1&amp;"-"&amp;TEXT(YEAR($F889)-2000,"00")))</f>
        <v/>
      </c>
      <c r="J889" s="13" t="n">
        <v>18326.99</v>
      </c>
      <c r="K889" s="14">
        <f>IFERROR($L889/$J889,"")</f>
        <v/>
      </c>
      <c r="L889" s="13" t="n">
        <v>18326.99</v>
      </c>
      <c r="M889" s="13">
        <f>IFERROR($L889/$H889,"")</f>
        <v/>
      </c>
      <c r="N889" s="11" t="n">
        <v>46001</v>
      </c>
      <c r="O889" s="10">
        <f>IF($N889="","No","Yes")</f>
        <v/>
      </c>
      <c r="P889" s="12">
        <f>IF(OR($F889="",$G889=""),0,IF(AND($F889&lt;=README!$B$4,README!$B$4&lt;=$G889),1,0))</f>
        <v/>
      </c>
      <c r="Q889" s="12">
        <f>IF(OR($F889="",$G889=""),0,IF(AND($F889&lt;=DATE(README!$B$5,12,31),$G889&gt;=DATE(README!$B$5,1,1)),1,0))</f>
        <v/>
      </c>
      <c r="R889" s="10" t="inlineStr">
        <is>
          <t>GUT-VEH0021</t>
        </is>
      </c>
      <c r="S889" s="11" t="n">
        <v>45812</v>
      </c>
      <c r="T889" s="10" t="inlineStr">
        <is>
          <t>5</t>
        </is>
      </c>
      <c r="U889" s="10" t="inlineStr">
        <is>
          <t>VEHICLE</t>
        </is>
      </c>
      <c r="V889" s="10" t="inlineStr">
        <is>
          <t>T</t>
        </is>
      </c>
      <c r="W889" s="10" t="inlineStr">
        <is>
          <t>VIVEK B</t>
        </is>
      </c>
    </row>
    <row r="890">
      <c r="A890" s="10" t="inlineStr">
        <is>
          <t>TN58BP3636</t>
        </is>
      </c>
      <c r="B890" s="10" t="inlineStr">
        <is>
          <t>WOVEN</t>
        </is>
      </c>
      <c r="C890" s="10" t="inlineStr">
        <is>
          <t>ROAD TAX</t>
        </is>
      </c>
      <c r="D890" s="10" t="inlineStr">
        <is>
          <t>ROAD TAX</t>
        </is>
      </c>
      <c r="E890" s="10" t="inlineStr">
        <is>
          <t>QUARTER - IV</t>
        </is>
      </c>
      <c r="F890" s="11" t="n">
        <v>46023</v>
      </c>
      <c r="G890" s="11" t="n">
        <v>46112</v>
      </c>
      <c r="H890" s="12">
        <f>IF(OR($F890="",$G890=""),"",$G890-$F890+1)</f>
        <v/>
      </c>
      <c r="I890" s="10">
        <f>IF($F890="","",IF(MONTH($F890)&gt;=4,YEAR($F890)&amp;"-"&amp;TEXT(YEAR($F890)+1-2000,"00"),YEAR($F890)-1&amp;"-"&amp;TEXT(YEAR($F890)-2000,"00")))</f>
        <v/>
      </c>
      <c r="J890" s="13" t="n">
        <v>32734</v>
      </c>
      <c r="K890" s="14">
        <f>IFERROR($L890/$J890,"")</f>
        <v/>
      </c>
      <c r="L890" s="13" t="n">
        <v>32734</v>
      </c>
      <c r="M890" s="13">
        <f>IFERROR($L890/$H890,"")</f>
        <v/>
      </c>
      <c r="N890" s="11" t="n">
        <v>46065</v>
      </c>
      <c r="O890" s="10">
        <f>IF($N890="","No","Yes")</f>
        <v/>
      </c>
      <c r="P890" s="12">
        <f>IF(OR($F890="",$G890=""),0,IF(AND($F890&lt;=README!$B$4,README!$B$4&lt;=$G890),1,0))</f>
        <v/>
      </c>
      <c r="Q890" s="12">
        <f>IF(OR($F890="",$G890=""),0,IF(AND($F890&lt;=DATE(README!$B$5,12,31),$G890&gt;=DATE(README!$B$5,1,1)),1,0))</f>
        <v/>
      </c>
      <c r="R890" s="10" t="inlineStr">
        <is>
          <t>GUT-VEH0016</t>
        </is>
      </c>
      <c r="S890" s="11" t="n">
        <v>46023</v>
      </c>
      <c r="T890" s="10" t="inlineStr">
        <is>
          <t>5</t>
        </is>
      </c>
      <c r="U890" s="10" t="inlineStr">
        <is>
          <t>VEHICLE</t>
        </is>
      </c>
      <c r="V890" s="10" t="inlineStr">
        <is>
          <t>T</t>
        </is>
      </c>
      <c r="W890" s="10" t="inlineStr">
        <is>
          <t>VIVEK B</t>
        </is>
      </c>
    </row>
    <row r="891">
      <c r="A891" s="10" t="inlineStr">
        <is>
          <t>TN58BP3636</t>
        </is>
      </c>
      <c r="B891" s="10" t="inlineStr">
        <is>
          <t>WOVEN</t>
        </is>
      </c>
      <c r="C891" s="10" t="inlineStr">
        <is>
          <t>TYRE</t>
        </is>
      </c>
      <c r="D891" s="10" t="inlineStr">
        <is>
          <t>TYRE</t>
        </is>
      </c>
      <c r="E891" s="10" t="inlineStr">
        <is>
          <t>FEBRUARY</t>
        </is>
      </c>
      <c r="F891" s="11" t="n">
        <v>46054</v>
      </c>
      <c r="G891" s="11" t="n">
        <v>46081</v>
      </c>
      <c r="H891" s="12">
        <f>IF(OR($F891="",$G891=""),"",$G891-$F891+1)</f>
        <v/>
      </c>
      <c r="I891" s="10">
        <f>IF($F891="","",IF(MONTH($F891)&gt;=4,YEAR($F891)&amp;"-"&amp;TEXT(YEAR($F891)+1-2000,"00"),YEAR($F891)-1&amp;"-"&amp;TEXT(YEAR($F891)-2000,"00")))</f>
        <v/>
      </c>
      <c r="J891" s="13" t="n">
        <v>30300</v>
      </c>
      <c r="K891" s="14">
        <f>IFERROR($L891/$J891,"")</f>
        <v/>
      </c>
      <c r="L891" s="13" t="n">
        <v>30300</v>
      </c>
      <c r="M891" s="13">
        <f>IFERROR($L891/$H891,"")</f>
        <v/>
      </c>
      <c r="N891" s="11" t="n">
        <v>46072</v>
      </c>
      <c r="O891" s="10">
        <f>IF($N891="","No","Yes")</f>
        <v/>
      </c>
      <c r="P891" s="12">
        <f>IF(OR($F891="",$G891=""),0,IF(AND($F891&lt;=README!$B$4,README!$B$4&lt;=$G891),1,0))</f>
        <v/>
      </c>
      <c r="Q891" s="12">
        <f>IF(OR($F891="",$G891=""),0,IF(AND($F891&lt;=DATE(README!$B$5,12,31),$G891&gt;=DATE(README!$B$5,1,1)),1,0))</f>
        <v/>
      </c>
      <c r="R891" s="10" t="inlineStr">
        <is>
          <t>GUT-VEH0026</t>
        </is>
      </c>
      <c r="S891" s="11" t="n">
        <v>45957</v>
      </c>
      <c r="T891" s="10" t="inlineStr">
        <is>
          <t>5</t>
        </is>
      </c>
      <c r="U891" s="10" t="inlineStr">
        <is>
          <t>VEHICLE</t>
        </is>
      </c>
      <c r="V891" s="10" t="inlineStr">
        <is>
          <t>T</t>
        </is>
      </c>
      <c r="W891" s="10" t="inlineStr">
        <is>
          <t>VIVEK B</t>
        </is>
      </c>
    </row>
    <row r="892">
      <c r="A892" s="10" t="inlineStr">
        <is>
          <t>TN58BP3636</t>
        </is>
      </c>
      <c r="B892" s="10" t="inlineStr"/>
      <c r="C892" s="10" t="inlineStr">
        <is>
          <t>VEHICLE OUTSIDE SERVICES</t>
        </is>
      </c>
      <c r="D892" s="10" t="inlineStr">
        <is>
          <t>POLICE STATION - VEHICLE</t>
        </is>
      </c>
      <c r="E892" s="10" t="inlineStr">
        <is>
          <t>MARCH</t>
        </is>
      </c>
      <c r="F892" s="11" t="n">
        <v>46082</v>
      </c>
      <c r="G892" s="11" t="n">
        <v>46112</v>
      </c>
      <c r="H892" s="12">
        <f>IF(OR($F892="",$G892=""),"",$G892-$F892+1)</f>
        <v/>
      </c>
      <c r="I892" s="10">
        <f>IF($F892="","",IF(MONTH($F892)&gt;=4,YEAR($F892)&amp;"-"&amp;TEXT(YEAR($F892)+1-2000,"00"),YEAR($F892)-1&amp;"-"&amp;TEXT(YEAR($F892)-2000,"00")))</f>
        <v/>
      </c>
      <c r="J892" s="13" t="n">
        <v>20000</v>
      </c>
      <c r="K892" s="14">
        <f>IFERROR($L892/$J892,"")</f>
        <v/>
      </c>
      <c r="L892" s="13" t="n">
        <v>20000</v>
      </c>
      <c r="M892" s="13">
        <f>IFERROR($L892/$H892,"")</f>
        <v/>
      </c>
      <c r="N892" s="11" t="n">
        <v>46092</v>
      </c>
      <c r="O892" s="10">
        <f>IF($N892="","No","Yes")</f>
        <v/>
      </c>
      <c r="P892" s="12">
        <f>IF(OR($F892="",$G892=""),0,IF(AND($F892&lt;=README!$B$4,README!$B$4&lt;=$G892),1,0))</f>
        <v/>
      </c>
      <c r="Q892" s="12">
        <f>IF(OR($F892="",$G892=""),0,IF(AND($F892&lt;=DATE(README!$B$5,12,31),$G892&gt;=DATE(README!$B$5,1,1)),1,0))</f>
        <v/>
      </c>
      <c r="R892" s="10" t="inlineStr">
        <is>
          <t>GUT-VEH0021</t>
        </is>
      </c>
      <c r="S892" s="11" t="n">
        <v>45812</v>
      </c>
      <c r="T892" s="10" t="inlineStr">
        <is>
          <t>5</t>
        </is>
      </c>
      <c r="U892" s="10" t="inlineStr">
        <is>
          <t>VEHICLE</t>
        </is>
      </c>
      <c r="V892" s="10" t="inlineStr">
        <is>
          <t>T</t>
        </is>
      </c>
      <c r="W892" s="10" t="inlineStr">
        <is>
          <t>VIVEK B</t>
        </is>
      </c>
    </row>
    <row r="893">
      <c r="A893" s="10" t="inlineStr">
        <is>
          <t>TN58BP3636</t>
        </is>
      </c>
      <c r="B893" s="10" t="inlineStr">
        <is>
          <t>WOVEN</t>
        </is>
      </c>
      <c r="C893" s="10" t="inlineStr">
        <is>
          <t>ROAD TAX</t>
        </is>
      </c>
      <c r="D893" s="10" t="inlineStr">
        <is>
          <t>ROAD TAX</t>
        </is>
      </c>
      <c r="E893" s="10" t="inlineStr">
        <is>
          <t>QUARTER - I</t>
        </is>
      </c>
      <c r="F893" s="11" t="n">
        <v>46113</v>
      </c>
      <c r="G893" s="11" t="n">
        <v>46203</v>
      </c>
      <c r="H893" s="12">
        <f>IF(OR($F893="",$G893=""),"",$G893-$F893+1)</f>
        <v/>
      </c>
      <c r="I893" s="10">
        <f>IF($F893="","",IF(MONTH($F893)&gt;=4,YEAR($F893)&amp;"-"&amp;TEXT(YEAR($F893)+1-2000,"00"),YEAR($F893)-1&amp;"-"&amp;TEXT(YEAR($F893)-2000,"00")))</f>
        <v/>
      </c>
      <c r="J893" s="13" t="n">
        <v>32734</v>
      </c>
      <c r="K893" s="14">
        <f>IFERROR($L893/$J893,"")</f>
        <v/>
      </c>
      <c r="L893" s="13" t="n">
        <v>32734</v>
      </c>
      <c r="M893" s="13">
        <f>IFERROR($L893/$H893,"")</f>
        <v/>
      </c>
      <c r="N893" s="11" t="n">
        <v>46088</v>
      </c>
      <c r="O893" s="10">
        <f>IF($N893="","No","Yes")</f>
        <v/>
      </c>
      <c r="P893" s="12">
        <f>IF(OR($F893="",$G893=""),0,IF(AND($F893&lt;=README!$B$4,README!$B$4&lt;=$G893),1,0))</f>
        <v/>
      </c>
      <c r="Q893" s="12">
        <f>IF(OR($F893="",$G893=""),0,IF(AND($F893&lt;=DATE(README!$B$5,12,31),$G893&gt;=DATE(README!$B$5,1,1)),1,0))</f>
        <v/>
      </c>
      <c r="R893" s="10" t="inlineStr">
        <is>
          <t>GUT-VEH0029</t>
        </is>
      </c>
      <c r="S893" s="11" t="n">
        <v>46087</v>
      </c>
      <c r="T893" s="10" t="inlineStr">
        <is>
          <t>5</t>
        </is>
      </c>
      <c r="U893" s="10" t="inlineStr">
        <is>
          <t>VEHICLE</t>
        </is>
      </c>
      <c r="V893" s="10" t="inlineStr">
        <is>
          <t>T</t>
        </is>
      </c>
      <c r="W893" s="10" t="inlineStr">
        <is>
          <t>VIVEK B</t>
        </is>
      </c>
    </row>
    <row r="894">
      <c r="A894" s="10" t="inlineStr">
        <is>
          <t>TN58BP3636</t>
        </is>
      </c>
      <c r="B894" s="10" t="inlineStr">
        <is>
          <t>WOVEN</t>
        </is>
      </c>
      <c r="C894" s="10" t="inlineStr">
        <is>
          <t>VEHICLE INSURANCE</t>
        </is>
      </c>
      <c r="D894" s="10" t="inlineStr">
        <is>
          <t>VEHICLE INSURANCE</t>
        </is>
      </c>
      <c r="E894" s="10" t="inlineStr">
        <is>
          <t>YEARLY</t>
        </is>
      </c>
      <c r="F894" s="11" t="n">
        <v>46113</v>
      </c>
      <c r="G894" s="11" t="n">
        <v>46477</v>
      </c>
      <c r="H894" s="12">
        <f>IF(OR($F894="",$G894=""),"",$G894-$F894+1)</f>
        <v/>
      </c>
      <c r="I894" s="10">
        <f>IF($F894="","",IF(MONTH($F894)&gt;=4,YEAR($F894)&amp;"-"&amp;TEXT(YEAR($F894)+1-2000,"00"),YEAR($F894)-1&amp;"-"&amp;TEXT(YEAR($F894)-2000,"00")))</f>
        <v/>
      </c>
      <c r="J894" s="13" t="n">
        <v>78636</v>
      </c>
      <c r="K894" s="14">
        <f>IFERROR($L894/$J894,"")</f>
        <v/>
      </c>
      <c r="L894" s="13" t="n">
        <v>78636</v>
      </c>
      <c r="M894" s="13">
        <f>IFERROR($L894/$H894,"")</f>
        <v/>
      </c>
      <c r="N894" s="11" t="n">
        <v>46167</v>
      </c>
      <c r="O894" s="10">
        <f>IF($N894="","No","Yes")</f>
        <v/>
      </c>
      <c r="P894" s="12">
        <f>IF(OR($F894="",$G894=""),0,IF(AND($F894&lt;=README!$B$4,README!$B$4&lt;=$G894),1,0))</f>
        <v/>
      </c>
      <c r="Q894" s="12">
        <f>IF(OR($F894="",$G894=""),0,IF(AND($F894&lt;=DATE(README!$B$5,12,31),$G894&gt;=DATE(README!$B$5,1,1)),1,0))</f>
        <v/>
      </c>
      <c r="R894" s="10" t="inlineStr">
        <is>
          <t>GUT-VEH0035</t>
        </is>
      </c>
      <c r="S894" s="11" t="n">
        <v>46162</v>
      </c>
      <c r="T894" s="10" t="inlineStr">
        <is>
          <t>5</t>
        </is>
      </c>
      <c r="U894" s="10" t="inlineStr">
        <is>
          <t>VEHICLE</t>
        </is>
      </c>
      <c r="V894" s="10" t="inlineStr">
        <is>
          <t>T</t>
        </is>
      </c>
      <c r="W894" s="10" t="inlineStr">
        <is>
          <t>VIVEK B</t>
        </is>
      </c>
    </row>
    <row r="895">
      <c r="A895" s="10" t="inlineStr">
        <is>
          <t>TN58BP3636</t>
        </is>
      </c>
      <c r="B895" s="10" t="inlineStr">
        <is>
          <t>WOVEN</t>
        </is>
      </c>
      <c r="C895" s="10" t="inlineStr">
        <is>
          <t>ROAD TAX</t>
        </is>
      </c>
      <c r="D895" s="10" t="inlineStr">
        <is>
          <t>ROAD TAX</t>
        </is>
      </c>
      <c r="E895" s="10" t="inlineStr">
        <is>
          <t>QUARTER - II</t>
        </is>
      </c>
      <c r="F895" s="11" t="n">
        <v>46204</v>
      </c>
      <c r="G895" s="11" t="n">
        <v>46295</v>
      </c>
      <c r="H895" s="12">
        <f>IF(OR($F895="",$G895=""),"",$G895-$F895+1)</f>
        <v/>
      </c>
      <c r="I895" s="10">
        <f>IF($F895="","",IF(MONTH($F895)&gt;=4,YEAR($F895)&amp;"-"&amp;TEXT(YEAR($F895)+1-2000,"00"),YEAR($F895)-1&amp;"-"&amp;TEXT(YEAR($F895)-2000,"00")))</f>
        <v/>
      </c>
      <c r="J895" s="13" t="n">
        <v>32734</v>
      </c>
      <c r="K895" s="14">
        <f>IFERROR($L895/$J895,"")</f>
        <v/>
      </c>
      <c r="L895" s="13" t="n">
        <v>32734</v>
      </c>
      <c r="M895" s="13">
        <f>IFERROR($L895/$H895,"")</f>
        <v/>
      </c>
      <c r="N895" s="11" t="n">
        <v>46196</v>
      </c>
      <c r="O895" s="10">
        <f>IF($N895="","No","Yes")</f>
        <v/>
      </c>
      <c r="P895" s="12">
        <f>IF(OR($F895="",$G895=""),0,IF(AND($F895&lt;=README!$B$4,README!$B$4&lt;=$G895),1,0))</f>
        <v/>
      </c>
      <c r="Q895" s="12">
        <f>IF(OR($F895="",$G895=""),0,IF(AND($F895&lt;=DATE(README!$B$5,12,31),$G895&gt;=DATE(README!$B$5,1,1)),1,0))</f>
        <v/>
      </c>
      <c r="R895" s="10" t="inlineStr">
        <is>
          <t>GUT-VEH0038</t>
        </is>
      </c>
      <c r="S895" s="11" t="n">
        <v>46193</v>
      </c>
      <c r="T895" s="10" t="inlineStr">
        <is>
          <t>5</t>
        </is>
      </c>
      <c r="U895" s="10" t="inlineStr">
        <is>
          <t>VEHICLE</t>
        </is>
      </c>
      <c r="V895" s="10" t="inlineStr">
        <is>
          <t>T</t>
        </is>
      </c>
      <c r="W895" s="10" t="inlineStr">
        <is>
          <t>VIVEK B</t>
        </is>
      </c>
    </row>
    <row r="896">
      <c r="A896" s="10" t="inlineStr">
        <is>
          <t>TN58BQ3434</t>
        </is>
      </c>
      <c r="B896" s="10" t="inlineStr">
        <is>
          <t>SOCKS</t>
        </is>
      </c>
      <c r="C896" s="10" t="inlineStr">
        <is>
          <t>TYRE</t>
        </is>
      </c>
      <c r="D896" s="10" t="inlineStr">
        <is>
          <t>TYRE</t>
        </is>
      </c>
      <c r="E896" s="10" t="inlineStr">
        <is>
          <t>YEARLY</t>
        </is>
      </c>
      <c r="F896" s="11" t="n">
        <v>45748</v>
      </c>
      <c r="G896" s="11" t="n">
        <v>46112</v>
      </c>
      <c r="H896" s="12">
        <f>IF(OR($F896="",$G896=""),"",$G896-$F896+1)</f>
        <v/>
      </c>
      <c r="I896" s="10">
        <f>IF($F896="","",IF(MONTH($F896)&gt;=4,YEAR($F896)&amp;"-"&amp;TEXT(YEAR($F896)+1-2000,"00"),YEAR($F896)-1&amp;"-"&amp;TEXT(YEAR($F896)-2000,"00")))</f>
        <v/>
      </c>
      <c r="J896" s="13" t="n">
        <v>37500</v>
      </c>
      <c r="K896" s="14">
        <f>IFERROR($L896/$J896,"")</f>
        <v/>
      </c>
      <c r="L896" s="13" t="n">
        <v>37500</v>
      </c>
      <c r="M896" s="13">
        <f>IFERROR($L896/$H896,"")</f>
        <v/>
      </c>
      <c r="N896" s="11" t="n">
        <v>45986</v>
      </c>
      <c r="O896" s="10">
        <f>IF($N896="","No","Yes")</f>
        <v/>
      </c>
      <c r="P896" s="12">
        <f>IF(OR($F896="",$G896=""),0,IF(AND($F896&lt;=README!$B$4,README!$B$4&lt;=$G896),1,0))</f>
        <v/>
      </c>
      <c r="Q896" s="12">
        <f>IF(OR($F896="",$G896=""),0,IF(AND($F896&lt;=DATE(README!$B$5,12,31),$G896&gt;=DATE(README!$B$5,1,1)),1,0))</f>
        <v/>
      </c>
      <c r="R896" s="10" t="inlineStr">
        <is>
          <t>GUP-VEH0025</t>
        </is>
      </c>
      <c r="S896" s="11" t="n">
        <v>45957</v>
      </c>
      <c r="T896" s="10" t="inlineStr">
        <is>
          <t>726</t>
        </is>
      </c>
      <c r="U896" s="10" t="inlineStr">
        <is>
          <t>VEHICLE</t>
        </is>
      </c>
      <c r="V896" s="10" t="inlineStr">
        <is>
          <t>T</t>
        </is>
      </c>
      <c r="W896" s="10" t="inlineStr">
        <is>
          <t>VIVEK B</t>
        </is>
      </c>
    </row>
    <row r="897">
      <c r="A897" s="10" t="inlineStr">
        <is>
          <t>TN58BQ3434</t>
        </is>
      </c>
      <c r="B897" s="10" t="inlineStr">
        <is>
          <t>SOCKS</t>
        </is>
      </c>
      <c r="C897" s="10" t="inlineStr">
        <is>
          <t>VEHICLE INSURANCE</t>
        </is>
      </c>
      <c r="D897" s="10" t="inlineStr">
        <is>
          <t>VEHICLE INSURANCE</t>
        </is>
      </c>
      <c r="E897" s="10" t="inlineStr">
        <is>
          <t>YEARLY</t>
        </is>
      </c>
      <c r="F897" s="11" t="n">
        <v>45748</v>
      </c>
      <c r="G897" s="11" t="n">
        <v>46112</v>
      </c>
      <c r="H897" s="12">
        <f>IF(OR($F897="",$G897=""),"",$G897-$F897+1)</f>
        <v/>
      </c>
      <c r="I897" s="10">
        <f>IF($F897="","",IF(MONTH($F897)&gt;=4,YEAR($F897)&amp;"-"&amp;TEXT(YEAR($F897)+1-2000,"00"),YEAR($F897)-1&amp;"-"&amp;TEXT(YEAR($F897)-2000,"00")))</f>
        <v/>
      </c>
      <c r="J897" s="13" t="n">
        <v>82653</v>
      </c>
      <c r="K897" s="14">
        <f>IFERROR($L897/$J897,"")</f>
        <v/>
      </c>
      <c r="L897" s="13" t="n">
        <v>82653</v>
      </c>
      <c r="M897" s="13">
        <f>IFERROR($L897/$H897,"")</f>
        <v/>
      </c>
      <c r="N897" s="11" t="n">
        <v>45881</v>
      </c>
      <c r="O897" s="10">
        <f>IF($N897="","No","Yes")</f>
        <v/>
      </c>
      <c r="P897" s="12">
        <f>IF(OR($F897="",$G897=""),0,IF(AND($F897&lt;=README!$B$4,README!$B$4&lt;=$G897),1,0))</f>
        <v/>
      </c>
      <c r="Q897" s="12">
        <f>IF(OR($F897="",$G897=""),0,IF(AND($F897&lt;=DATE(README!$B$5,12,31),$G897&gt;=DATE(README!$B$5,1,1)),1,0))</f>
        <v/>
      </c>
      <c r="R897" s="10" t="inlineStr">
        <is>
          <t>GUP-VEH0020</t>
        </is>
      </c>
      <c r="S897" s="11" t="n">
        <v>45799</v>
      </c>
      <c r="T897" s="10" t="inlineStr">
        <is>
          <t>645</t>
        </is>
      </c>
      <c r="U897" s="10" t="inlineStr">
        <is>
          <t>VEHICLE</t>
        </is>
      </c>
      <c r="V897" s="10" t="inlineStr">
        <is>
          <t>T</t>
        </is>
      </c>
      <c r="W897" s="10" t="inlineStr">
        <is>
          <t>VIVEK B</t>
        </is>
      </c>
    </row>
    <row r="898">
      <c r="A898" s="10" t="inlineStr">
        <is>
          <t>TN58BQ3434</t>
        </is>
      </c>
      <c r="B898" s="10" t="inlineStr">
        <is>
          <t>GENERAL</t>
        </is>
      </c>
      <c r="C898" s="10" t="inlineStr">
        <is>
          <t>VEHICLE OUTSIDE SERVICES</t>
        </is>
      </c>
      <c r="D898" s="10" t="inlineStr">
        <is>
          <t xml:space="preserve">MAINTENANCE SERVICE </t>
        </is>
      </c>
      <c r="E898" s="10" t="inlineStr">
        <is>
          <t>YEARLY</t>
        </is>
      </c>
      <c r="F898" s="11" t="n">
        <v>45748</v>
      </c>
      <c r="G898" s="11" t="n">
        <v>46112</v>
      </c>
      <c r="H898" s="12">
        <f>IF(OR($F898="",$G898=""),"",$G898-$F898+1)</f>
        <v/>
      </c>
      <c r="I898" s="10">
        <f>IF($F898="","",IF(MONTH($F898)&gt;=4,YEAR($F898)&amp;"-"&amp;TEXT(YEAR($F898)+1-2000,"00"),YEAR($F898)-1&amp;"-"&amp;TEXT(YEAR($F898)-2000,"00")))</f>
        <v/>
      </c>
      <c r="J898" s="13" t="n">
        <v>29172.94</v>
      </c>
      <c r="K898" s="14">
        <f>IFERROR($L898/$J898,"")</f>
        <v/>
      </c>
      <c r="L898" s="13" t="n">
        <v>29172.94</v>
      </c>
      <c r="M898" s="13">
        <f>IFERROR($L898/$H898,"")</f>
        <v/>
      </c>
      <c r="N898" s="11" t="n">
        <v>45968</v>
      </c>
      <c r="O898" s="10">
        <f>IF($N898="","No","Yes")</f>
        <v/>
      </c>
      <c r="P898" s="12">
        <f>IF(OR($F898="",$G898=""),0,IF(AND($F898&lt;=README!$B$4,README!$B$4&lt;=$G898),1,0))</f>
        <v/>
      </c>
      <c r="Q898" s="12">
        <f>IF(OR($F898="",$G898=""),0,IF(AND($F898&lt;=DATE(README!$B$5,12,31),$G898&gt;=DATE(README!$B$5,1,1)),1,0))</f>
        <v/>
      </c>
      <c r="R898" s="10" t="inlineStr">
        <is>
          <t>GUP-VEH0019</t>
        </is>
      </c>
      <c r="S898" s="11" t="n">
        <v>45777</v>
      </c>
      <c r="T898" s="10" t="inlineStr">
        <is>
          <t>638</t>
        </is>
      </c>
      <c r="U898" s="10" t="inlineStr">
        <is>
          <t>VEHICLE</t>
        </is>
      </c>
      <c r="V898" s="10" t="inlineStr">
        <is>
          <t>T</t>
        </is>
      </c>
      <c r="W898" s="10" t="inlineStr">
        <is>
          <t>VIVEK B</t>
        </is>
      </c>
    </row>
    <row r="899">
      <c r="A899" s="10" t="inlineStr">
        <is>
          <t>TN58BQ3434</t>
        </is>
      </c>
      <c r="B899" s="10" t="inlineStr">
        <is>
          <t>GENERAL</t>
        </is>
      </c>
      <c r="C899" s="10" t="inlineStr">
        <is>
          <t>VEHICLE OUTSIDE SERVICES</t>
        </is>
      </c>
      <c r="D899" s="10" t="inlineStr">
        <is>
          <t>GLASS STICKERS</t>
        </is>
      </c>
      <c r="E899" s="10" t="inlineStr">
        <is>
          <t>YEARLY</t>
        </is>
      </c>
      <c r="F899" s="11" t="n">
        <v>45748</v>
      </c>
      <c r="G899" s="11" t="n">
        <v>46112</v>
      </c>
      <c r="H899" s="12">
        <f>IF(OR($F899="",$G899=""),"",$G899-$F899+1)</f>
        <v/>
      </c>
      <c r="I899" s="10">
        <f>IF($F899="","",IF(MONTH($F899)&gt;=4,YEAR($F899)&amp;"-"&amp;TEXT(YEAR($F899)+1-2000,"00"),YEAR($F899)-1&amp;"-"&amp;TEXT(YEAR($F899)-2000,"00")))</f>
        <v/>
      </c>
      <c r="J899" s="13" t="n">
        <v>5340</v>
      </c>
      <c r="K899" s="14">
        <f>IFERROR($L899/$J899,"")</f>
        <v/>
      </c>
      <c r="L899" s="13" t="n">
        <v>5340</v>
      </c>
      <c r="M899" s="13">
        <f>IFERROR($L899/$H899,"")</f>
        <v/>
      </c>
      <c r="N899" s="11" t="n">
        <v>45850</v>
      </c>
      <c r="O899" s="10">
        <f>IF($N899="","No","Yes")</f>
        <v/>
      </c>
      <c r="P899" s="12">
        <f>IF(OR($F899="",$G899=""),0,IF(AND($F899&lt;=README!$B$4,README!$B$4&lt;=$G899),1,0))</f>
        <v/>
      </c>
      <c r="Q899" s="12">
        <f>IF(OR($F899="",$G899=""),0,IF(AND($F899&lt;=DATE(README!$B$5,12,31),$G899&gt;=DATE(README!$B$5,1,1)),1,0))</f>
        <v/>
      </c>
      <c r="R899" s="10" t="inlineStr">
        <is>
          <t>GUP-VEH0019</t>
        </is>
      </c>
      <c r="S899" s="11" t="n">
        <v>45777</v>
      </c>
      <c r="T899" s="10" t="inlineStr">
        <is>
          <t>638</t>
        </is>
      </c>
      <c r="U899" s="10" t="inlineStr">
        <is>
          <t>VEHICLE</t>
        </is>
      </c>
      <c r="V899" s="10" t="inlineStr">
        <is>
          <t>T</t>
        </is>
      </c>
      <c r="W899" s="10" t="inlineStr">
        <is>
          <t>VIVEK B</t>
        </is>
      </c>
    </row>
    <row r="900">
      <c r="A900" s="10" t="inlineStr">
        <is>
          <t>TN58BQ3434</t>
        </is>
      </c>
      <c r="B900" s="10" t="inlineStr">
        <is>
          <t>SOCKS</t>
        </is>
      </c>
      <c r="C900" s="10" t="inlineStr">
        <is>
          <t>ROAD TAX</t>
        </is>
      </c>
      <c r="D900" s="10" t="inlineStr">
        <is>
          <t>ROAD TAX</t>
        </is>
      </c>
      <c r="E900" s="10" t="inlineStr">
        <is>
          <t>QUARTER - II</t>
        </is>
      </c>
      <c r="F900" s="11" t="n">
        <v>45839</v>
      </c>
      <c r="G900" s="11" t="n">
        <v>45930</v>
      </c>
      <c r="H900" s="12">
        <f>IF(OR($F900="",$G900=""),"",$G900-$F900+1)</f>
        <v/>
      </c>
      <c r="I900" s="10">
        <f>IF($F900="","",IF(MONTH($F900)&gt;=4,YEAR($F900)&amp;"-"&amp;TEXT(YEAR($F900)+1-2000,"00"),YEAR($F900)-1&amp;"-"&amp;TEXT(YEAR($F900)-2000,"00")))</f>
        <v/>
      </c>
      <c r="J900" s="13" t="n">
        <v>32724</v>
      </c>
      <c r="K900" s="14">
        <f>IFERROR($L900/$J900,"")</f>
        <v/>
      </c>
      <c r="L900" s="13" t="n">
        <v>32724</v>
      </c>
      <c r="M900" s="13">
        <f>IFERROR($L900/$H900,"")</f>
        <v/>
      </c>
      <c r="N900" s="11" t="n">
        <v>46030</v>
      </c>
      <c r="O900" s="10">
        <f>IF($N900="","No","Yes")</f>
        <v/>
      </c>
      <c r="P900" s="12">
        <f>IF(OR($F900="",$G900=""),0,IF(AND($F900&lt;=README!$B$4,README!$B$4&lt;=$G900),1,0))</f>
        <v/>
      </c>
      <c r="Q900" s="12">
        <f>IF(OR($F900="",$G900=""),0,IF(AND($F900&lt;=DATE(README!$B$5,12,31),$G900&gt;=DATE(README!$B$5,1,1)),1,0))</f>
        <v/>
      </c>
      <c r="R900" s="10" t="inlineStr">
        <is>
          <t>GUP-VEH0014</t>
        </is>
      </c>
      <c r="S900" s="11" t="n">
        <v>45748</v>
      </c>
      <c r="T900" s="10" t="inlineStr">
        <is>
          <t>609</t>
        </is>
      </c>
      <c r="U900" s="10" t="inlineStr">
        <is>
          <t>VEHICLE</t>
        </is>
      </c>
      <c r="V900" s="10" t="inlineStr">
        <is>
          <t>T</t>
        </is>
      </c>
      <c r="W900" s="10" t="inlineStr">
        <is>
          <t>VIVEK B</t>
        </is>
      </c>
    </row>
    <row r="901">
      <c r="A901" s="10" t="inlineStr">
        <is>
          <t>TN58BQ3434</t>
        </is>
      </c>
      <c r="B901" s="10" t="inlineStr">
        <is>
          <t>SOCKS</t>
        </is>
      </c>
      <c r="C901" s="10" t="inlineStr">
        <is>
          <t>ROAD TAX</t>
        </is>
      </c>
      <c r="D901" s="10" t="inlineStr">
        <is>
          <t>ROAD TAX</t>
        </is>
      </c>
      <c r="E901" s="10" t="inlineStr">
        <is>
          <t>QUARTER - III</t>
        </is>
      </c>
      <c r="F901" s="11" t="n">
        <v>45931</v>
      </c>
      <c r="G901" s="11" t="n">
        <v>46022</v>
      </c>
      <c r="H901" s="12">
        <f>IF(OR($F901="",$G901=""),"",$G901-$F901+1)</f>
        <v/>
      </c>
      <c r="I901" s="10">
        <f>IF($F901="","",IF(MONTH($F901)&gt;=4,YEAR($F901)&amp;"-"&amp;TEXT(YEAR($F901)+1-2000,"00"),YEAR($F901)-1&amp;"-"&amp;TEXT(YEAR($F901)-2000,"00")))</f>
        <v/>
      </c>
      <c r="J901" s="13" t="n">
        <v>32734</v>
      </c>
      <c r="K901" s="14">
        <f>IFERROR($L901/$J901,"")</f>
        <v/>
      </c>
      <c r="L901" s="13" t="n">
        <v>32734</v>
      </c>
      <c r="M901" s="13">
        <f>IFERROR($L901/$H901,"")</f>
        <v/>
      </c>
      <c r="N901" s="11" t="n">
        <v>46030</v>
      </c>
      <c r="O901" s="10">
        <f>IF($N901="","No","Yes")</f>
        <v/>
      </c>
      <c r="P901" s="12">
        <f>IF(OR($F901="",$G901=""),0,IF(AND($F901&lt;=README!$B$4,README!$B$4&lt;=$G901),1,0))</f>
        <v/>
      </c>
      <c r="Q901" s="12">
        <f>IF(OR($F901="",$G901=""),0,IF(AND($F901&lt;=DATE(README!$B$5,12,31),$G901&gt;=DATE(README!$B$5,1,1)),1,0))</f>
        <v/>
      </c>
      <c r="R901" s="10" t="inlineStr">
        <is>
          <t>GUP-VEH0014</t>
        </is>
      </c>
      <c r="S901" s="11" t="n">
        <v>45748</v>
      </c>
      <c r="T901" s="10" t="inlineStr">
        <is>
          <t>609</t>
        </is>
      </c>
      <c r="U901" s="10" t="inlineStr">
        <is>
          <t>VEHICLE</t>
        </is>
      </c>
      <c r="V901" s="10" t="inlineStr">
        <is>
          <t>T</t>
        </is>
      </c>
      <c r="W901" s="10" t="inlineStr">
        <is>
          <t>VIVEK B</t>
        </is>
      </c>
    </row>
    <row r="902">
      <c r="A902" s="10" t="inlineStr">
        <is>
          <t>TN58BQ3434</t>
        </is>
      </c>
      <c r="B902" s="10" t="inlineStr">
        <is>
          <t>SOCKS</t>
        </is>
      </c>
      <c r="C902" s="10" t="inlineStr">
        <is>
          <t>ROAD TAX</t>
        </is>
      </c>
      <c r="D902" s="10" t="inlineStr">
        <is>
          <t>ROAD TAX</t>
        </is>
      </c>
      <c r="E902" s="10" t="inlineStr">
        <is>
          <t>QUARTER - IV</t>
        </is>
      </c>
      <c r="F902" s="11" t="n">
        <v>46023</v>
      </c>
      <c r="G902" s="11" t="n">
        <v>46112</v>
      </c>
      <c r="H902" s="12">
        <f>IF(OR($F902="",$G902=""),"",$G902-$F902+1)</f>
        <v/>
      </c>
      <c r="I902" s="10">
        <f>IF($F902="","",IF(MONTH($F902)&gt;=4,YEAR($F902)&amp;"-"&amp;TEXT(YEAR($F902)+1-2000,"00"),YEAR($F902)-1&amp;"-"&amp;TEXT(YEAR($F902)-2000,"00")))</f>
        <v/>
      </c>
      <c r="J902" s="13" t="n">
        <v>32734</v>
      </c>
      <c r="K902" s="14">
        <f>IFERROR($L902/$J902,"")</f>
        <v/>
      </c>
      <c r="L902" s="13" t="n">
        <v>32734</v>
      </c>
      <c r="M902" s="13">
        <f>IFERROR($L902/$H902,"")</f>
        <v/>
      </c>
      <c r="N902" s="11" t="n">
        <v>46030</v>
      </c>
      <c r="O902" s="10">
        <f>IF($N902="","No","Yes")</f>
        <v/>
      </c>
      <c r="P902" s="12">
        <f>IF(OR($F902="",$G902=""),0,IF(AND($F902&lt;=README!$B$4,README!$B$4&lt;=$G902),1,0))</f>
        <v/>
      </c>
      <c r="Q902" s="12">
        <f>IF(OR($F902="",$G902=""),0,IF(AND($F902&lt;=DATE(README!$B$5,12,31),$G902&gt;=DATE(README!$B$5,1,1)),1,0))</f>
        <v/>
      </c>
      <c r="R902" s="10" t="inlineStr">
        <is>
          <t>GUP-VEH0014</t>
        </is>
      </c>
      <c r="S902" s="11" t="n">
        <v>45748</v>
      </c>
      <c r="T902" s="10" t="inlineStr">
        <is>
          <t>609</t>
        </is>
      </c>
      <c r="U902" s="10" t="inlineStr">
        <is>
          <t>VEHICLE</t>
        </is>
      </c>
      <c r="V902" s="10" t="inlineStr">
        <is>
          <t>T</t>
        </is>
      </c>
      <c r="W902" s="10" t="inlineStr">
        <is>
          <t>VIVEK B</t>
        </is>
      </c>
    </row>
    <row r="903">
      <c r="A903" s="10" t="inlineStr">
        <is>
          <t>TN58BQ3434</t>
        </is>
      </c>
      <c r="B903" s="10" t="inlineStr">
        <is>
          <t>SOCKS</t>
        </is>
      </c>
      <c r="C903" s="10" t="inlineStr">
        <is>
          <t>ROAD TAX</t>
        </is>
      </c>
      <c r="D903" s="10" t="inlineStr">
        <is>
          <t>ROAD TAX</t>
        </is>
      </c>
      <c r="E903" s="10" t="inlineStr">
        <is>
          <t>QUARTER - I</t>
        </is>
      </c>
      <c r="F903" s="11" t="n">
        <v>46113</v>
      </c>
      <c r="G903" s="11" t="n">
        <v>46203</v>
      </c>
      <c r="H903" s="12">
        <f>IF(OR($F903="",$G903=""),"",$G903-$F903+1)</f>
        <v/>
      </c>
      <c r="I903" s="10">
        <f>IF($F903="","",IF(MONTH($F903)&gt;=4,YEAR($F903)&amp;"-"&amp;TEXT(YEAR($F903)+1-2000,"00"),YEAR($F903)-1&amp;"-"&amp;TEXT(YEAR($F903)-2000,"00")))</f>
        <v/>
      </c>
      <c r="J903" s="13" t="n">
        <v>32734</v>
      </c>
      <c r="K903" s="14">
        <f>IFERROR($L903/$J903,"")</f>
        <v/>
      </c>
      <c r="L903" s="13" t="n">
        <v>32734</v>
      </c>
      <c r="M903" s="13">
        <f>IFERROR($L903/$H903,"")</f>
        <v/>
      </c>
      <c r="N903" s="11" t="n">
        <v>46088</v>
      </c>
      <c r="O903" s="10">
        <f>IF($N903="","No","Yes")</f>
        <v/>
      </c>
      <c r="P903" s="12">
        <f>IF(OR($F903="",$G903=""),0,IF(AND($F903&lt;=README!$B$4,README!$B$4&lt;=$G903),1,0))</f>
        <v/>
      </c>
      <c r="Q903" s="12">
        <f>IF(OR($F903="",$G903=""),0,IF(AND($F903&lt;=DATE(README!$B$5,12,31),$G903&gt;=DATE(README!$B$5,1,1)),1,0))</f>
        <v/>
      </c>
      <c r="R903" s="10" t="inlineStr">
        <is>
          <t>GUP-VEH0030</t>
        </is>
      </c>
      <c r="S903" s="11" t="n">
        <v>46113</v>
      </c>
      <c r="T903" s="10" t="inlineStr">
        <is>
          <t>796</t>
        </is>
      </c>
      <c r="U903" s="10" t="inlineStr">
        <is>
          <t>VEHICLE</t>
        </is>
      </c>
      <c r="V903" s="10" t="inlineStr">
        <is>
          <t>T</t>
        </is>
      </c>
      <c r="W903" s="10" t="inlineStr">
        <is>
          <t>VIVEK B</t>
        </is>
      </c>
    </row>
    <row r="904">
      <c r="A904" s="10" t="inlineStr">
        <is>
          <t>TN58BQ3434</t>
        </is>
      </c>
      <c r="B904" s="10" t="inlineStr">
        <is>
          <t>SOCKS</t>
        </is>
      </c>
      <c r="C904" s="10" t="inlineStr">
        <is>
          <t>VEHICLE INSURANCE</t>
        </is>
      </c>
      <c r="D904" s="10" t="inlineStr">
        <is>
          <t>VEHICLE INSURANCE</t>
        </is>
      </c>
      <c r="E904" s="10" t="inlineStr">
        <is>
          <t>YEARLY</t>
        </is>
      </c>
      <c r="F904" s="11" t="n">
        <v>46113</v>
      </c>
      <c r="G904" s="11" t="n">
        <v>46477</v>
      </c>
      <c r="H904" s="12">
        <f>IF(OR($F904="",$G904=""),"",$G904-$F904+1)</f>
        <v/>
      </c>
      <c r="I904" s="10">
        <f>IF($F904="","",IF(MONTH($F904)&gt;=4,YEAR($F904)&amp;"-"&amp;TEXT(YEAR($F904)+1-2000,"00"),YEAR($F904)-1&amp;"-"&amp;TEXT(YEAR($F904)-2000,"00")))</f>
        <v/>
      </c>
      <c r="J904" s="13" t="n">
        <v>80970</v>
      </c>
      <c r="K904" s="14">
        <f>IFERROR($L904/$J904,"")</f>
        <v/>
      </c>
      <c r="L904" s="13" t="n">
        <v>80970</v>
      </c>
      <c r="M904" s="13">
        <f>IFERROR($L904/$H904,"")</f>
        <v/>
      </c>
      <c r="N904" s="11" t="n">
        <v>46219</v>
      </c>
      <c r="O904" s="10">
        <f>IF($N904="","No","Yes")</f>
        <v/>
      </c>
      <c r="P904" s="12">
        <f>IF(OR($F904="",$G904=""),0,IF(AND($F904&lt;=README!$B$4,README!$B$4&lt;=$G904),1,0))</f>
        <v/>
      </c>
      <c r="Q904" s="12">
        <f>IF(OR($F904="",$G904=""),0,IF(AND($F904&lt;=DATE(README!$B$5,12,31),$G904&gt;=DATE(README!$B$5,1,1)),1,0))</f>
        <v/>
      </c>
      <c r="R904" s="10" t="inlineStr">
        <is>
          <t>GUP-VEH0038</t>
        </is>
      </c>
      <c r="S904" s="11" t="n">
        <v>46162</v>
      </c>
      <c r="T904" s="10" t="inlineStr">
        <is>
          <t>859</t>
        </is>
      </c>
      <c r="U904" s="10" t="inlineStr">
        <is>
          <t>VEHICLE</t>
        </is>
      </c>
      <c r="V904" s="10" t="inlineStr">
        <is>
          <t>T</t>
        </is>
      </c>
      <c r="W904" s="10" t="inlineStr">
        <is>
          <t>VIVEK B</t>
        </is>
      </c>
    </row>
    <row r="905">
      <c r="A905" s="10" t="inlineStr">
        <is>
          <t>TN58BQ3434</t>
        </is>
      </c>
      <c r="B905" s="10" t="inlineStr">
        <is>
          <t>SOCKS</t>
        </is>
      </c>
      <c r="C905" s="10" t="inlineStr">
        <is>
          <t>VEHICLE OUTSIDE SERVICES</t>
        </is>
      </c>
      <c r="D905" s="10" t="inlineStr">
        <is>
          <t xml:space="preserve">MAINTENANCE SERVICE </t>
        </is>
      </c>
      <c r="E905" s="10" t="inlineStr">
        <is>
          <t>APRIL</t>
        </is>
      </c>
      <c r="F905" s="11" t="n">
        <v>46113</v>
      </c>
      <c r="G905" s="11" t="n">
        <v>46142</v>
      </c>
      <c r="H905" s="12">
        <f>IF(OR($F905="",$G905=""),"",$G905-$F905+1)</f>
        <v/>
      </c>
      <c r="I905" s="10">
        <f>IF($F905="","",IF(MONTH($F905)&gt;=4,YEAR($F905)&amp;"-"&amp;TEXT(YEAR($F905)+1-2000,"00"),YEAR($F905)-1&amp;"-"&amp;TEXT(YEAR($F905)-2000,"00")))</f>
        <v/>
      </c>
      <c r="J905" s="13" t="n">
        <v>54740.93</v>
      </c>
      <c r="K905" s="14">
        <f>IFERROR($L905/$J905,"")</f>
        <v/>
      </c>
      <c r="L905" s="13" t="n">
        <v>54740.93</v>
      </c>
      <c r="M905" s="13">
        <f>IFERROR($L905/$H905,"")</f>
        <v/>
      </c>
      <c r="N905" s="11" t="n">
        <v>46137</v>
      </c>
      <c r="O905" s="10">
        <f>IF($N905="","No","Yes")</f>
        <v/>
      </c>
      <c r="P905" s="12">
        <f>IF(OR($F905="",$G905=""),0,IF(AND($F905&lt;=README!$B$4,README!$B$4&lt;=$G905),1,0))</f>
        <v/>
      </c>
      <c r="Q905" s="12">
        <f>IF(OR($F905="",$G905=""),0,IF(AND($F905&lt;=DATE(README!$B$5,12,31),$G905&gt;=DATE(README!$B$5,1,1)),1,0))</f>
        <v/>
      </c>
      <c r="R905" s="10" t="inlineStr">
        <is>
          <t>GUP-VEH0031</t>
        </is>
      </c>
      <c r="S905" s="11" t="n">
        <v>46114</v>
      </c>
      <c r="T905" s="10" t="inlineStr">
        <is>
          <t>810</t>
        </is>
      </c>
      <c r="U905" s="10" t="inlineStr">
        <is>
          <t>VEHICLE</t>
        </is>
      </c>
      <c r="V905" s="10" t="inlineStr">
        <is>
          <t>T</t>
        </is>
      </c>
      <c r="W905" s="10" t="inlineStr">
        <is>
          <t>VIVEK B</t>
        </is>
      </c>
    </row>
    <row r="906">
      <c r="A906" s="10" t="inlineStr">
        <is>
          <t>TN58BQ3434</t>
        </is>
      </c>
      <c r="B906" s="10" t="inlineStr">
        <is>
          <t>SOCKS</t>
        </is>
      </c>
      <c r="C906" s="10" t="inlineStr">
        <is>
          <t>ROAD TAX</t>
        </is>
      </c>
      <c r="D906" s="10" t="inlineStr">
        <is>
          <t>ROAD TAX</t>
        </is>
      </c>
      <c r="E906" s="10" t="inlineStr">
        <is>
          <t>QUARTER - II</t>
        </is>
      </c>
      <c r="F906" s="11" t="n">
        <v>46204</v>
      </c>
      <c r="G906" s="11" t="n">
        <v>46295</v>
      </c>
      <c r="H906" s="12">
        <f>IF(OR($F906="",$G906=""),"",$G906-$F906+1)</f>
        <v/>
      </c>
      <c r="I906" s="10">
        <f>IF($F906="","",IF(MONTH($F906)&gt;=4,YEAR($F906)&amp;"-"&amp;TEXT(YEAR($F906)+1-2000,"00"),YEAR($F906)-1&amp;"-"&amp;TEXT(YEAR($F906)-2000,"00")))</f>
        <v/>
      </c>
      <c r="J906" s="13" t="n">
        <v>34700</v>
      </c>
      <c r="K906" s="14">
        <f>IFERROR($L906/$J906,"")</f>
        <v/>
      </c>
      <c r="L906" s="13" t="n">
        <v>34700</v>
      </c>
      <c r="M906" s="13">
        <f>IFERROR($L906/$H906,"")</f>
        <v/>
      </c>
      <c r="N906" s="11" t="n">
        <v>46196</v>
      </c>
      <c r="O906" s="10">
        <f>IF($N906="","No","Yes")</f>
        <v/>
      </c>
      <c r="P906" s="12">
        <f>IF(OR($F906="",$G906=""),0,IF(AND($F906&lt;=README!$B$4,README!$B$4&lt;=$G906),1,0))</f>
        <v/>
      </c>
      <c r="Q906" s="12">
        <f>IF(OR($F906="",$G906=""),0,IF(AND($F906&lt;=DATE(README!$B$5,12,31),$G906&gt;=DATE(README!$B$5,1,1)),1,0))</f>
        <v/>
      </c>
      <c r="R906" s="10" t="inlineStr">
        <is>
          <t>GUP-VEH0030</t>
        </is>
      </c>
      <c r="S906" s="11" t="n">
        <v>46113</v>
      </c>
      <c r="T906" s="10" t="inlineStr">
        <is>
          <t>796</t>
        </is>
      </c>
      <c r="U906" s="10" t="inlineStr">
        <is>
          <t>VEHICLE</t>
        </is>
      </c>
      <c r="V906" s="10" t="inlineStr">
        <is>
          <t>T</t>
        </is>
      </c>
      <c r="W906" s="10" t="inlineStr">
        <is>
          <t>VIVEK B</t>
        </is>
      </c>
    </row>
    <row r="907">
      <c r="A907" s="10" t="inlineStr">
        <is>
          <t>TN58BQ3636</t>
        </is>
      </c>
      <c r="B907" s="10" t="inlineStr">
        <is>
          <t>WOVEN</t>
        </is>
      </c>
      <c r="C907" s="10" t="inlineStr">
        <is>
          <t>ADBLU</t>
        </is>
      </c>
      <c r="D907" s="10" t="inlineStr">
        <is>
          <t>ADBLU</t>
        </is>
      </c>
      <c r="E907" s="10" t="inlineStr">
        <is>
          <t>YEARLY</t>
        </is>
      </c>
      <c r="F907" s="11" t="n">
        <v>45383</v>
      </c>
      <c r="G907" s="11" t="n">
        <v>45747</v>
      </c>
      <c r="H907" s="12">
        <f>IF(OR($F907="",$G907=""),"",$G907-$F907+1)</f>
        <v/>
      </c>
      <c r="I907" s="10">
        <f>IF($F907="","",IF(MONTH($F907)&gt;=4,YEAR($F907)&amp;"-"&amp;TEXT(YEAR($F907)+1-2000,"00"),YEAR($F907)-1&amp;"-"&amp;TEXT(YEAR($F907)-2000,"00")))</f>
        <v/>
      </c>
      <c r="J907" s="13" t="n">
        <v>61</v>
      </c>
      <c r="K907" s="14">
        <f>IFERROR($L907/$J907,"")</f>
        <v/>
      </c>
      <c r="L907" s="13" t="n">
        <v>2318</v>
      </c>
      <c r="M907" s="13">
        <f>IFERROR($L907/$H907,"")</f>
        <v/>
      </c>
      <c r="N907" s="11" t="n">
        <v>45623</v>
      </c>
      <c r="O907" s="10">
        <f>IF($N907="","No","Yes")</f>
        <v/>
      </c>
      <c r="P907" s="12">
        <f>IF(OR($F907="",$G907=""),0,IF(AND($F907&lt;=README!$B$4,README!$B$4&lt;=$G907),1,0))</f>
        <v/>
      </c>
      <c r="Q907" s="12">
        <f>IF(OR($F907="",$G907=""),0,IF(AND($F907&lt;=DATE(README!$B$5,12,31),$G907&gt;=DATE(README!$B$5,1,1)),1,0))</f>
        <v/>
      </c>
      <c r="R907" s="10" t="inlineStr">
        <is>
          <t>GUT-VEH0008</t>
        </is>
      </c>
      <c r="S907" s="11" t="n">
        <v>45475</v>
      </c>
      <c r="T907" s="10" t="inlineStr">
        <is>
          <t>3</t>
        </is>
      </c>
      <c r="U907" s="10" t="inlineStr">
        <is>
          <t>VEHICLE</t>
        </is>
      </c>
      <c r="V907" s="10" t="inlineStr">
        <is>
          <t>T</t>
        </is>
      </c>
      <c r="W907" s="10" t="inlineStr">
        <is>
          <t>VIVEK B</t>
        </is>
      </c>
    </row>
    <row r="908">
      <c r="A908" s="10" t="inlineStr">
        <is>
          <t>TN58BQ3636</t>
        </is>
      </c>
      <c r="B908" s="10" t="inlineStr">
        <is>
          <t>WOVEN</t>
        </is>
      </c>
      <c r="C908" s="10" t="inlineStr">
        <is>
          <t>ADBLU</t>
        </is>
      </c>
      <c r="D908" s="10" t="inlineStr">
        <is>
          <t>ADBLU</t>
        </is>
      </c>
      <c r="E908" s="10" t="inlineStr">
        <is>
          <t>YEARLY</t>
        </is>
      </c>
      <c r="F908" s="11" t="n">
        <v>45383</v>
      </c>
      <c r="G908" s="11" t="n">
        <v>45747</v>
      </c>
      <c r="H908" s="12">
        <f>IF(OR($F908="",$G908=""),"",$G908-$F908+1)</f>
        <v/>
      </c>
      <c r="I908" s="10">
        <f>IF($F908="","",IF(MONTH($F908)&gt;=4,YEAR($F908)&amp;"-"&amp;TEXT(YEAR($F908)+1-2000,"00"),YEAR($F908)-1&amp;"-"&amp;TEXT(YEAR($F908)-2000,"00")))</f>
        <v/>
      </c>
      <c r="J908" s="13" t="n">
        <v>61</v>
      </c>
      <c r="K908" s="14">
        <f>IFERROR($L908/$J908,"")</f>
        <v/>
      </c>
      <c r="L908" s="13" t="n">
        <v>2135</v>
      </c>
      <c r="M908" s="13">
        <f>IFERROR($L908/$H908,"")</f>
        <v/>
      </c>
      <c r="N908" s="11" t="n">
        <v>45602</v>
      </c>
      <c r="O908" s="10">
        <f>IF($N908="","No","Yes")</f>
        <v/>
      </c>
      <c r="P908" s="12">
        <f>IF(OR($F908="",$G908=""),0,IF(AND($F908&lt;=README!$B$4,README!$B$4&lt;=$G908),1,0))</f>
        <v/>
      </c>
      <c r="Q908" s="12">
        <f>IF(OR($F908="",$G908=""),0,IF(AND($F908&lt;=DATE(README!$B$5,12,31),$G908&gt;=DATE(README!$B$5,1,1)),1,0))</f>
        <v/>
      </c>
      <c r="R908" s="10" t="inlineStr">
        <is>
          <t>GUT-VEH0008</t>
        </is>
      </c>
      <c r="S908" s="11" t="n">
        <v>45475</v>
      </c>
      <c r="T908" s="10" t="inlineStr">
        <is>
          <t>3</t>
        </is>
      </c>
      <c r="U908" s="10" t="inlineStr">
        <is>
          <t>VEHICLE</t>
        </is>
      </c>
      <c r="V908" s="10" t="inlineStr">
        <is>
          <t>T</t>
        </is>
      </c>
      <c r="W908" s="10" t="inlineStr">
        <is>
          <t>VIVEK B</t>
        </is>
      </c>
    </row>
    <row r="909">
      <c r="A909" s="10" t="inlineStr">
        <is>
          <t>TN58BQ3636</t>
        </is>
      </c>
      <c r="B909" s="10" t="inlineStr">
        <is>
          <t>WOVEN</t>
        </is>
      </c>
      <c r="C909" s="10" t="inlineStr">
        <is>
          <t>ADBLU</t>
        </is>
      </c>
      <c r="D909" s="10" t="inlineStr">
        <is>
          <t>ADBLU</t>
        </is>
      </c>
      <c r="E909" s="10" t="inlineStr">
        <is>
          <t>YEARLY</t>
        </is>
      </c>
      <c r="F909" s="11" t="n">
        <v>45383</v>
      </c>
      <c r="G909" s="11" t="n">
        <v>45747</v>
      </c>
      <c r="H909" s="12">
        <f>IF(OR($F909="",$G909=""),"",$G909-$F909+1)</f>
        <v/>
      </c>
      <c r="I909" s="10">
        <f>IF($F909="","",IF(MONTH($F909)&gt;=4,YEAR($F909)&amp;"-"&amp;TEXT(YEAR($F909)+1-2000,"00"),YEAR($F909)-1&amp;"-"&amp;TEXT(YEAR($F909)-2000,"00")))</f>
        <v/>
      </c>
      <c r="J909" s="13" t="n">
        <v>61</v>
      </c>
      <c r="K909" s="14">
        <f>IFERROR($L909/$J909,"")</f>
        <v/>
      </c>
      <c r="L909" s="13" t="n">
        <v>1830</v>
      </c>
      <c r="M909" s="13">
        <f>IFERROR($L909/$H909,"")</f>
        <v/>
      </c>
      <c r="N909" s="11" t="n">
        <v>45479</v>
      </c>
      <c r="O909" s="10">
        <f>IF($N909="","No","Yes")</f>
        <v/>
      </c>
      <c r="P909" s="12">
        <f>IF(OR($F909="",$G909=""),0,IF(AND($F909&lt;=README!$B$4,README!$B$4&lt;=$G909),1,0))</f>
        <v/>
      </c>
      <c r="Q909" s="12">
        <f>IF(OR($F909="",$G909=""),0,IF(AND($F909&lt;=DATE(README!$B$5,12,31),$G909&gt;=DATE(README!$B$5,1,1)),1,0))</f>
        <v/>
      </c>
      <c r="R909" s="10" t="inlineStr">
        <is>
          <t>GUT-VEH0008</t>
        </is>
      </c>
      <c r="S909" s="11" t="n">
        <v>45475</v>
      </c>
      <c r="T909" s="10" t="inlineStr">
        <is>
          <t>3</t>
        </is>
      </c>
      <c r="U909" s="10" t="inlineStr">
        <is>
          <t>VEHICLE</t>
        </is>
      </c>
      <c r="V909" s="10" t="inlineStr">
        <is>
          <t>T</t>
        </is>
      </c>
      <c r="W909" s="10" t="inlineStr">
        <is>
          <t>VIVEK B</t>
        </is>
      </c>
    </row>
    <row r="910">
      <c r="A910" s="10" t="inlineStr">
        <is>
          <t>TN58BQ3636</t>
        </is>
      </c>
      <c r="B910" s="10" t="inlineStr">
        <is>
          <t>WOVEN</t>
        </is>
      </c>
      <c r="C910" s="10" t="inlineStr">
        <is>
          <t>ADBLU</t>
        </is>
      </c>
      <c r="D910" s="10" t="inlineStr">
        <is>
          <t>ADBLU</t>
        </is>
      </c>
      <c r="E910" s="10" t="inlineStr">
        <is>
          <t>YEARLY</t>
        </is>
      </c>
      <c r="F910" s="11" t="n">
        <v>45383</v>
      </c>
      <c r="G910" s="11" t="n">
        <v>45747</v>
      </c>
      <c r="H910" s="12">
        <f>IF(OR($F910="",$G910=""),"",$G910-$F910+1)</f>
        <v/>
      </c>
      <c r="I910" s="10">
        <f>IF($F910="","",IF(MONTH($F910)&gt;=4,YEAR($F910)&amp;"-"&amp;TEXT(YEAR($F910)+1-2000,"00"),YEAR($F910)-1&amp;"-"&amp;TEXT(YEAR($F910)-2000,"00")))</f>
        <v/>
      </c>
      <c r="J910" s="13" t="n">
        <v>61</v>
      </c>
      <c r="K910" s="14">
        <f>IFERROR($L910/$J910,"")</f>
        <v/>
      </c>
      <c r="L910" s="13" t="n">
        <v>2440</v>
      </c>
      <c r="M910" s="13">
        <f>IFERROR($L910/$H910,"")</f>
        <v/>
      </c>
      <c r="N910" s="11" t="n">
        <v>45700</v>
      </c>
      <c r="O910" s="10">
        <f>IF($N910="","No","Yes")</f>
        <v/>
      </c>
      <c r="P910" s="12">
        <f>IF(OR($F910="",$G910=""),0,IF(AND($F910&lt;=README!$B$4,README!$B$4&lt;=$G910),1,0))</f>
        <v/>
      </c>
      <c r="Q910" s="12">
        <f>IF(OR($F910="",$G910=""),0,IF(AND($F910&lt;=DATE(README!$B$5,12,31),$G910&gt;=DATE(README!$B$5,1,1)),1,0))</f>
        <v/>
      </c>
      <c r="R910" s="10" t="inlineStr">
        <is>
          <t>GUT-VEH0008</t>
        </is>
      </c>
      <c r="S910" s="11" t="n">
        <v>45475</v>
      </c>
      <c r="T910" s="10" t="inlineStr">
        <is>
          <t>3</t>
        </is>
      </c>
      <c r="U910" s="10" t="inlineStr">
        <is>
          <t>VEHICLE</t>
        </is>
      </c>
      <c r="V910" s="10" t="inlineStr">
        <is>
          <t>T</t>
        </is>
      </c>
      <c r="W910" s="10" t="inlineStr">
        <is>
          <t>VIVEK B</t>
        </is>
      </c>
    </row>
    <row r="911">
      <c r="A911" s="10" t="inlineStr">
        <is>
          <t>TN58BQ3636</t>
        </is>
      </c>
      <c r="B911" s="10" t="inlineStr">
        <is>
          <t>WOVEN</t>
        </is>
      </c>
      <c r="C911" s="10" t="inlineStr">
        <is>
          <t>ADBLU</t>
        </is>
      </c>
      <c r="D911" s="10" t="inlineStr">
        <is>
          <t>ADBLU</t>
        </is>
      </c>
      <c r="E911" s="10" t="inlineStr">
        <is>
          <t>YEARLY</t>
        </is>
      </c>
      <c r="F911" s="11" t="n">
        <v>45383</v>
      </c>
      <c r="G911" s="11" t="n">
        <v>45747</v>
      </c>
      <c r="H911" s="12">
        <f>IF(OR($F911="",$G911=""),"",$G911-$F911+1)</f>
        <v/>
      </c>
      <c r="I911" s="10">
        <f>IF($F911="","",IF(MONTH($F911)&gt;=4,YEAR($F911)&amp;"-"&amp;TEXT(YEAR($F911)+1-2000,"00"),YEAR($F911)-1&amp;"-"&amp;TEXT(YEAR($F911)-2000,"00")))</f>
        <v/>
      </c>
      <c r="J911" s="13" t="n">
        <v>61</v>
      </c>
      <c r="K911" s="14">
        <f>IFERROR($L911/$J911,"")</f>
        <v/>
      </c>
      <c r="L911" s="13" t="n">
        <v>2440</v>
      </c>
      <c r="M911" s="13">
        <f>IFERROR($L911/$H911,"")</f>
        <v/>
      </c>
      <c r="N911" s="11" t="n">
        <v>45700</v>
      </c>
      <c r="O911" s="10">
        <f>IF($N911="","No","Yes")</f>
        <v/>
      </c>
      <c r="P911" s="12">
        <f>IF(OR($F911="",$G911=""),0,IF(AND($F911&lt;=README!$B$4,README!$B$4&lt;=$G911),1,0))</f>
        <v/>
      </c>
      <c r="Q911" s="12">
        <f>IF(OR($F911="",$G911=""),0,IF(AND($F911&lt;=DATE(README!$B$5,12,31),$G911&gt;=DATE(README!$B$5,1,1)),1,0))</f>
        <v/>
      </c>
      <c r="R911" s="10" t="inlineStr">
        <is>
          <t>GUT-VEH0008</t>
        </is>
      </c>
      <c r="S911" s="11" t="n">
        <v>45475</v>
      </c>
      <c r="T911" s="10" t="inlineStr">
        <is>
          <t>3</t>
        </is>
      </c>
      <c r="U911" s="10" t="inlineStr">
        <is>
          <t>VEHICLE</t>
        </is>
      </c>
      <c r="V911" s="10" t="inlineStr">
        <is>
          <t>T</t>
        </is>
      </c>
      <c r="W911" s="10" t="inlineStr">
        <is>
          <t>VIVEK B</t>
        </is>
      </c>
    </row>
    <row r="912">
      <c r="A912" s="10" t="inlineStr">
        <is>
          <t>TN58BQ3636</t>
        </is>
      </c>
      <c r="B912" s="10" t="inlineStr">
        <is>
          <t>WOVEN</t>
        </is>
      </c>
      <c r="C912" s="10" t="inlineStr">
        <is>
          <t>FC WORK</t>
        </is>
      </c>
      <c r="D912" s="10" t="inlineStr">
        <is>
          <t>FC WORK</t>
        </is>
      </c>
      <c r="E912" s="10" t="inlineStr">
        <is>
          <t>YEARLY</t>
        </is>
      </c>
      <c r="F912" s="11" t="n">
        <v>45383</v>
      </c>
      <c r="G912" s="11" t="n">
        <v>45747</v>
      </c>
      <c r="H912" s="12">
        <f>IF(OR($F912="",$G912=""),"",$G912-$F912+1)</f>
        <v/>
      </c>
      <c r="I912" s="10">
        <f>IF($F912="","",IF(MONTH($F912)&gt;=4,YEAR($F912)&amp;"-"&amp;TEXT(YEAR($F912)+1-2000,"00"),YEAR($F912)-1&amp;"-"&amp;TEXT(YEAR($F912)-2000,"00")))</f>
        <v/>
      </c>
      <c r="J912" s="13" t="n">
        <v>35000</v>
      </c>
      <c r="K912" s="14">
        <f>IFERROR($L912/$J912,"")</f>
        <v/>
      </c>
      <c r="L912" s="13" t="n">
        <v>35000</v>
      </c>
      <c r="M912" s="13">
        <f>IFERROR($L912/$H912,"")</f>
        <v/>
      </c>
      <c r="N912" s="11" t="n">
        <v>45490</v>
      </c>
      <c r="O912" s="10">
        <f>IF($N912="","No","Yes")</f>
        <v/>
      </c>
      <c r="P912" s="12">
        <f>IF(OR($F912="",$G912=""),0,IF(AND($F912&lt;=README!$B$4,README!$B$4&lt;=$G912),1,0))</f>
        <v/>
      </c>
      <c r="Q912" s="12">
        <f>IF(OR($F912="",$G912=""),0,IF(AND($F912&lt;=DATE(README!$B$5,12,31),$G912&gt;=DATE(README!$B$5,1,1)),1,0))</f>
        <v/>
      </c>
      <c r="R912" s="10" t="inlineStr">
        <is>
          <t>GUT-VEH0009</t>
        </is>
      </c>
      <c r="S912" s="11" t="n">
        <v>45475</v>
      </c>
      <c r="T912" s="10" t="inlineStr">
        <is>
          <t>3</t>
        </is>
      </c>
      <c r="U912" s="10" t="inlineStr">
        <is>
          <t>VEHICLE</t>
        </is>
      </c>
      <c r="V912" s="10" t="inlineStr">
        <is>
          <t>T</t>
        </is>
      </c>
      <c r="W912" s="10" t="inlineStr">
        <is>
          <t>VIVEK B</t>
        </is>
      </c>
    </row>
    <row r="913">
      <c r="A913" s="10" t="inlineStr">
        <is>
          <t>TN58BQ3636</t>
        </is>
      </c>
      <c r="B913" s="10" t="inlineStr">
        <is>
          <t>WOVEN</t>
        </is>
      </c>
      <c r="C913" s="10" t="inlineStr">
        <is>
          <t>ROAD TAX</t>
        </is>
      </c>
      <c r="D913" s="10" t="inlineStr">
        <is>
          <t>ROAD TAX</t>
        </is>
      </c>
      <c r="E913" s="10" t="inlineStr">
        <is>
          <t>YEARLY</t>
        </is>
      </c>
      <c r="F913" s="11" t="n">
        <v>45383</v>
      </c>
      <c r="G913" s="11" t="n">
        <v>45747</v>
      </c>
      <c r="H913" s="12">
        <f>IF(OR($F913="",$G913=""),"",$G913-$F913+1)</f>
        <v/>
      </c>
      <c r="I913" s="10">
        <f>IF($F913="","",IF(MONTH($F913)&gt;=4,YEAR($F913)&amp;"-"&amp;TEXT(YEAR($F913)+1-2000,"00"),YEAR($F913)-1&amp;"-"&amp;TEXT(YEAR($F913)-2000,"00")))</f>
        <v/>
      </c>
      <c r="J913" s="13" t="n">
        <v>32724</v>
      </c>
      <c r="K913" s="14">
        <f>IFERROR($L913/$J913,"")</f>
        <v/>
      </c>
      <c r="L913" s="13" t="n">
        <v>32724</v>
      </c>
      <c r="M913" s="13">
        <f>IFERROR($L913/$H913,"")</f>
        <v/>
      </c>
      <c r="N913" s="11" t="n">
        <v>45727</v>
      </c>
      <c r="O913" s="10">
        <f>IF($N913="","No","Yes")</f>
        <v/>
      </c>
      <c r="P913" s="12">
        <f>IF(OR($F913="",$G913=""),0,IF(AND($F913&lt;=README!$B$4,README!$B$4&lt;=$G913),1,0))</f>
        <v/>
      </c>
      <c r="Q913" s="12">
        <f>IF(OR($F913="",$G913=""),0,IF(AND($F913&lt;=DATE(README!$B$5,12,31),$G913&gt;=DATE(README!$B$5,1,1)),1,0))</f>
        <v/>
      </c>
      <c r="R913" s="10" t="inlineStr">
        <is>
          <t>GUT-VEH0016</t>
        </is>
      </c>
      <c r="S913" s="11" t="n">
        <v>46023</v>
      </c>
      <c r="T913" s="10" t="inlineStr">
        <is>
          <t>5</t>
        </is>
      </c>
      <c r="U913" s="10" t="inlineStr">
        <is>
          <t>VEHICLE</t>
        </is>
      </c>
      <c r="V913" s="10" t="inlineStr">
        <is>
          <t>T</t>
        </is>
      </c>
      <c r="W913" s="10" t="inlineStr">
        <is>
          <t>VIVEK B</t>
        </is>
      </c>
    </row>
    <row r="914">
      <c r="A914" s="10" t="inlineStr">
        <is>
          <t>TN58BQ3636</t>
        </is>
      </c>
      <c r="B914" s="10" t="inlineStr">
        <is>
          <t>WOVEN</t>
        </is>
      </c>
      <c r="C914" s="10" t="inlineStr">
        <is>
          <t>ROAD TAX</t>
        </is>
      </c>
      <c r="D914" s="10" t="inlineStr">
        <is>
          <t>ROAD TAX</t>
        </is>
      </c>
      <c r="E914" s="10" t="inlineStr">
        <is>
          <t>YEARLY</t>
        </is>
      </c>
      <c r="F914" s="11" t="n">
        <v>45383</v>
      </c>
      <c r="G914" s="11" t="n">
        <v>45747</v>
      </c>
      <c r="H914" s="12">
        <f>IF(OR($F914="",$G914=""),"",$G914-$F914+1)</f>
        <v/>
      </c>
      <c r="I914" s="10">
        <f>IF($F914="","",IF(MONTH($F914)&gt;=4,YEAR($F914)&amp;"-"&amp;TEXT(YEAR($F914)+1-2000,"00"),YEAR($F914)-1&amp;"-"&amp;TEXT(YEAR($F914)-2000,"00")))</f>
        <v/>
      </c>
      <c r="J914" s="13" t="n">
        <v>32734</v>
      </c>
      <c r="K914" s="14">
        <f>IFERROR($L914/$J914,"")</f>
        <v/>
      </c>
      <c r="L914" s="13" t="n">
        <v>32734</v>
      </c>
      <c r="M914" s="13">
        <f>IFERROR($L914/$H914,"")</f>
        <v/>
      </c>
      <c r="N914" s="11" t="n">
        <v>45910</v>
      </c>
      <c r="O914" s="10">
        <f>IF($N914="","No","Yes")</f>
        <v/>
      </c>
      <c r="P914" s="12">
        <f>IF(OR($F914="",$G914=""),0,IF(AND($F914&lt;=README!$B$4,README!$B$4&lt;=$G914),1,0))</f>
        <v/>
      </c>
      <c r="Q914" s="12">
        <f>IF(OR($F914="",$G914=""),0,IF(AND($F914&lt;=DATE(README!$B$5,12,31),$G914&gt;=DATE(README!$B$5,1,1)),1,0))</f>
        <v/>
      </c>
      <c r="R914" s="10" t="inlineStr">
        <is>
          <t>GUT-VEH0016</t>
        </is>
      </c>
      <c r="S914" s="11" t="n">
        <v>46023</v>
      </c>
      <c r="T914" s="10" t="inlineStr">
        <is>
          <t>5</t>
        </is>
      </c>
      <c r="U914" s="10" t="inlineStr">
        <is>
          <t>VEHICLE</t>
        </is>
      </c>
      <c r="V914" s="10" t="inlineStr">
        <is>
          <t>T</t>
        </is>
      </c>
      <c r="W914" s="10" t="inlineStr">
        <is>
          <t>VIVEK B</t>
        </is>
      </c>
    </row>
    <row r="915">
      <c r="A915" s="10" t="inlineStr">
        <is>
          <t>TN58BQ3636</t>
        </is>
      </c>
      <c r="B915" s="10" t="inlineStr">
        <is>
          <t>WOVEN</t>
        </is>
      </c>
      <c r="C915" s="10" t="inlineStr">
        <is>
          <t>ROAD TAX</t>
        </is>
      </c>
      <c r="D915" s="10" t="inlineStr">
        <is>
          <t>ROAD TAX</t>
        </is>
      </c>
      <c r="E915" s="10" t="inlineStr">
        <is>
          <t>YEARLY</t>
        </is>
      </c>
      <c r="F915" s="11" t="n">
        <v>45383</v>
      </c>
      <c r="G915" s="11" t="n">
        <v>45747</v>
      </c>
      <c r="H915" s="12">
        <f>IF(OR($F915="",$G915=""),"",$G915-$F915+1)</f>
        <v/>
      </c>
      <c r="I915" s="10">
        <f>IF($F915="","",IF(MONTH($F915)&gt;=4,YEAR($F915)&amp;"-"&amp;TEXT(YEAR($F915)+1-2000,"00"),YEAR($F915)-1&amp;"-"&amp;TEXT(YEAR($F915)-2000,"00")))</f>
        <v/>
      </c>
      <c r="J915" s="13" t="n">
        <v>32724</v>
      </c>
      <c r="K915" s="14">
        <f>IFERROR($L915/$J915,"")</f>
        <v/>
      </c>
      <c r="L915" s="13" t="n">
        <v>32724</v>
      </c>
      <c r="M915" s="13">
        <f>IFERROR($L915/$H915,"")</f>
        <v/>
      </c>
      <c r="N915" s="11" t="n">
        <v>45840</v>
      </c>
      <c r="O915" s="10">
        <f>IF($N915="","No","Yes")</f>
        <v/>
      </c>
      <c r="P915" s="12">
        <f>IF(OR($F915="",$G915=""),0,IF(AND($F915&lt;=README!$B$4,README!$B$4&lt;=$G915),1,0))</f>
        <v/>
      </c>
      <c r="Q915" s="12">
        <f>IF(OR($F915="",$G915=""),0,IF(AND($F915&lt;=DATE(README!$B$5,12,31),$G915&gt;=DATE(README!$B$5,1,1)),1,0))</f>
        <v/>
      </c>
      <c r="R915" s="10" t="inlineStr">
        <is>
          <t>GUT-VEH0016</t>
        </is>
      </c>
      <c r="S915" s="11" t="n">
        <v>46023</v>
      </c>
      <c r="T915" s="10" t="inlineStr">
        <is>
          <t>5</t>
        </is>
      </c>
      <c r="U915" s="10" t="inlineStr">
        <is>
          <t>VEHICLE</t>
        </is>
      </c>
      <c r="V915" s="10" t="inlineStr">
        <is>
          <t>T</t>
        </is>
      </c>
      <c r="W915" s="10" t="inlineStr">
        <is>
          <t>VIVEK B</t>
        </is>
      </c>
    </row>
    <row r="916">
      <c r="A916" s="10" t="inlineStr">
        <is>
          <t>TN58BQ3636</t>
        </is>
      </c>
      <c r="B916" s="10" t="inlineStr">
        <is>
          <t>WOVEN</t>
        </is>
      </c>
      <c r="C916" s="10" t="inlineStr">
        <is>
          <t>ROAD TAX</t>
        </is>
      </c>
      <c r="D916" s="10" t="inlineStr">
        <is>
          <t>ROAD TAX</t>
        </is>
      </c>
      <c r="E916" s="10" t="inlineStr">
        <is>
          <t>YEARLY</t>
        </is>
      </c>
      <c r="F916" s="11" t="n">
        <v>45383</v>
      </c>
      <c r="G916" s="11" t="n">
        <v>45747</v>
      </c>
      <c r="H916" s="12">
        <f>IF(OR($F916="",$G916=""),"",$G916-$F916+1)</f>
        <v/>
      </c>
      <c r="I916" s="10">
        <f>IF($F916="","",IF(MONTH($F916)&gt;=4,YEAR($F916)&amp;"-"&amp;TEXT(YEAR($F916)+1-2000,"00"),YEAR($F916)-1&amp;"-"&amp;TEXT(YEAR($F916)-2000,"00")))</f>
        <v/>
      </c>
      <c r="J916" s="13" t="n">
        <v>32724</v>
      </c>
      <c r="K916" s="14">
        <f>IFERROR($L916/$J916,"")</f>
        <v/>
      </c>
      <c r="L916" s="13" t="n">
        <v>32724</v>
      </c>
      <c r="M916" s="13">
        <f>IFERROR($L916/$H916,"")</f>
        <v/>
      </c>
      <c r="N916" s="11" t="n">
        <v>45649</v>
      </c>
      <c r="O916" s="10">
        <f>IF($N916="","No","Yes")</f>
        <v/>
      </c>
      <c r="P916" s="12">
        <f>IF(OR($F916="",$G916=""),0,IF(AND($F916&lt;=README!$B$4,README!$B$4&lt;=$G916),1,0))</f>
        <v/>
      </c>
      <c r="Q916" s="12">
        <f>IF(OR($F916="",$G916=""),0,IF(AND($F916&lt;=DATE(README!$B$5,12,31),$G916&gt;=DATE(README!$B$5,1,1)),1,0))</f>
        <v/>
      </c>
      <c r="R916" s="10" t="inlineStr">
        <is>
          <t>GUT-VEH0011</t>
        </is>
      </c>
      <c r="S916" s="11" t="n">
        <v>45475</v>
      </c>
      <c r="T916" s="10" t="inlineStr">
        <is>
          <t>3</t>
        </is>
      </c>
      <c r="U916" s="10" t="inlineStr">
        <is>
          <t>VEHICLE</t>
        </is>
      </c>
      <c r="V916" s="10" t="inlineStr">
        <is>
          <t>T</t>
        </is>
      </c>
      <c r="W916" s="10" t="inlineStr">
        <is>
          <t>VIVEK B</t>
        </is>
      </c>
    </row>
    <row r="917">
      <c r="A917" s="10" t="inlineStr">
        <is>
          <t>TN58BQ3636</t>
        </is>
      </c>
      <c r="B917" s="10" t="inlineStr">
        <is>
          <t>WOVEN</t>
        </is>
      </c>
      <c r="C917" s="10" t="inlineStr">
        <is>
          <t>ROAD TAX</t>
        </is>
      </c>
      <c r="D917" s="10" t="inlineStr">
        <is>
          <t>ROAD TAX</t>
        </is>
      </c>
      <c r="E917" s="10" t="inlineStr">
        <is>
          <t>YEARLY</t>
        </is>
      </c>
      <c r="F917" s="11" t="n">
        <v>45383</v>
      </c>
      <c r="G917" s="11" t="n">
        <v>45747</v>
      </c>
      <c r="H917" s="12">
        <f>IF(OR($F917="",$G917=""),"",$G917-$F917+1)</f>
        <v/>
      </c>
      <c r="I917" s="10">
        <f>IF($F917="","",IF(MONTH($F917)&gt;=4,YEAR($F917)&amp;"-"&amp;TEXT(YEAR($F917)+1-2000,"00"),YEAR($F917)-1&amp;"-"&amp;TEXT(YEAR($F917)-2000,"00")))</f>
        <v/>
      </c>
      <c r="J917" s="13" t="n">
        <v>32724</v>
      </c>
      <c r="K917" s="14">
        <f>IFERROR($L917/$J917,"")</f>
        <v/>
      </c>
      <c r="L917" s="13" t="n">
        <v>32724</v>
      </c>
      <c r="M917" s="13">
        <f>IFERROR($L917/$H917,"")</f>
        <v/>
      </c>
      <c r="N917" s="11" t="n">
        <v>45569</v>
      </c>
      <c r="O917" s="10">
        <f>IF($N917="","No","Yes")</f>
        <v/>
      </c>
      <c r="P917" s="12">
        <f>IF(OR($F917="",$G917=""),0,IF(AND($F917&lt;=README!$B$4,README!$B$4&lt;=$G917),1,0))</f>
        <v/>
      </c>
      <c r="Q917" s="12">
        <f>IF(OR($F917="",$G917=""),0,IF(AND($F917&lt;=DATE(README!$B$5,12,31),$G917&gt;=DATE(README!$B$5,1,1)),1,0))</f>
        <v/>
      </c>
      <c r="R917" s="10" t="inlineStr">
        <is>
          <t>GUT-VEH0011</t>
        </is>
      </c>
      <c r="S917" s="11" t="n">
        <v>45475</v>
      </c>
      <c r="T917" s="10" t="inlineStr">
        <is>
          <t>3</t>
        </is>
      </c>
      <c r="U917" s="10" t="inlineStr">
        <is>
          <t>VEHICLE</t>
        </is>
      </c>
      <c r="V917" s="10" t="inlineStr">
        <is>
          <t>T</t>
        </is>
      </c>
      <c r="W917" s="10" t="inlineStr">
        <is>
          <t>VIVEK B</t>
        </is>
      </c>
    </row>
    <row r="918">
      <c r="A918" s="10" t="inlineStr">
        <is>
          <t>TN58BQ3636</t>
        </is>
      </c>
      <c r="B918" s="10" t="inlineStr">
        <is>
          <t>WOVEN</t>
        </is>
      </c>
      <c r="C918" s="10" t="inlineStr">
        <is>
          <t>ROAD TAX</t>
        </is>
      </c>
      <c r="D918" s="10" t="inlineStr">
        <is>
          <t>ROAD TAX</t>
        </is>
      </c>
      <c r="E918" s="10" t="inlineStr">
        <is>
          <t>YEARLY</t>
        </is>
      </c>
      <c r="F918" s="11" t="n">
        <v>45383</v>
      </c>
      <c r="G918" s="11" t="n">
        <v>45747</v>
      </c>
      <c r="H918" s="12">
        <f>IF(OR($F918="",$G918=""),"",$G918-$F918+1)</f>
        <v/>
      </c>
      <c r="I918" s="10">
        <f>IF($F918="","",IF(MONTH($F918)&gt;=4,YEAR($F918)&amp;"-"&amp;TEXT(YEAR($F918)+1-2000,"00"),YEAR($F918)-1&amp;"-"&amp;TEXT(YEAR($F918)-2000,"00")))</f>
        <v/>
      </c>
      <c r="J918" s="13" t="n">
        <v>32724</v>
      </c>
      <c r="K918" s="14">
        <f>IFERROR($L918/$J918,"")</f>
        <v/>
      </c>
      <c r="L918" s="13" t="n">
        <v>32724</v>
      </c>
      <c r="M918" s="13">
        <f>IFERROR($L918/$H918,"")</f>
        <v/>
      </c>
      <c r="N918" s="11" t="n">
        <v>45481</v>
      </c>
      <c r="O918" s="10">
        <f>IF($N918="","No","Yes")</f>
        <v/>
      </c>
      <c r="P918" s="12">
        <f>IF(OR($F918="",$G918=""),0,IF(AND($F918&lt;=README!$B$4,README!$B$4&lt;=$G918),1,0))</f>
        <v/>
      </c>
      <c r="Q918" s="12">
        <f>IF(OR($F918="",$G918=""),0,IF(AND($F918&lt;=DATE(README!$B$5,12,31),$G918&gt;=DATE(README!$B$5,1,1)),1,0))</f>
        <v/>
      </c>
      <c r="R918" s="10" t="inlineStr">
        <is>
          <t>GUT-VEH0011</t>
        </is>
      </c>
      <c r="S918" s="11" t="n">
        <v>45475</v>
      </c>
      <c r="T918" s="10" t="inlineStr">
        <is>
          <t>3</t>
        </is>
      </c>
      <c r="U918" s="10" t="inlineStr">
        <is>
          <t>VEHICLE</t>
        </is>
      </c>
      <c r="V918" s="10" t="inlineStr">
        <is>
          <t>T</t>
        </is>
      </c>
      <c r="W918" s="10" t="inlineStr">
        <is>
          <t>VIVEK B</t>
        </is>
      </c>
    </row>
    <row r="919">
      <c r="A919" s="10" t="inlineStr">
        <is>
          <t>TN58BQ3636</t>
        </is>
      </c>
      <c r="B919" s="10" t="inlineStr">
        <is>
          <t>WOVEN</t>
        </is>
      </c>
      <c r="C919" s="10" t="inlineStr">
        <is>
          <t>RTO EXPENSE</t>
        </is>
      </c>
      <c r="D919" s="10" t="inlineStr">
        <is>
          <t>RTO EXPENSE</t>
        </is>
      </c>
      <c r="E919" s="10" t="inlineStr">
        <is>
          <t>YEARLY</t>
        </is>
      </c>
      <c r="F919" s="11" t="n">
        <v>45383</v>
      </c>
      <c r="G919" s="11" t="n">
        <v>45747</v>
      </c>
      <c r="H919" s="12">
        <f>IF(OR($F919="",$G919=""),"",$G919-$F919+1)</f>
        <v/>
      </c>
      <c r="I919" s="10">
        <f>IF($F919="","",IF(MONTH($F919)&gt;=4,YEAR($F919)&amp;"-"&amp;TEXT(YEAR($F919)+1-2000,"00"),YEAR($F919)-1&amp;"-"&amp;TEXT(YEAR($F919)-2000,"00")))</f>
        <v/>
      </c>
      <c r="J919" s="13" t="n">
        <v>12500</v>
      </c>
      <c r="K919" s="14">
        <f>IFERROR($L919/$J919,"")</f>
        <v/>
      </c>
      <c r="L919" s="13" t="n">
        <v>12500</v>
      </c>
      <c r="M919" s="13">
        <f>IFERROR($L919/$H919,"")</f>
        <v/>
      </c>
      <c r="N919" s="11" t="n">
        <v>45490</v>
      </c>
      <c r="O919" s="10">
        <f>IF($N919="","No","Yes")</f>
        <v/>
      </c>
      <c r="P919" s="12">
        <f>IF(OR($F919="",$G919=""),0,IF(AND($F919&lt;=README!$B$4,README!$B$4&lt;=$G919),1,0))</f>
        <v/>
      </c>
      <c r="Q919" s="12">
        <f>IF(OR($F919="",$G919=""),0,IF(AND($F919&lt;=DATE(README!$B$5,12,31),$G919&gt;=DATE(README!$B$5,1,1)),1,0))</f>
        <v/>
      </c>
      <c r="R919" s="10" t="inlineStr">
        <is>
          <t>GUT-VEH0010</t>
        </is>
      </c>
      <c r="S919" s="11" t="n">
        <v>45475</v>
      </c>
      <c r="T919" s="10" t="inlineStr">
        <is>
          <t>3</t>
        </is>
      </c>
      <c r="U919" s="10" t="inlineStr">
        <is>
          <t>VEHICLE</t>
        </is>
      </c>
      <c r="V919" s="10" t="inlineStr">
        <is>
          <t>T</t>
        </is>
      </c>
      <c r="W919" s="10" t="inlineStr">
        <is>
          <t>VIVEK B</t>
        </is>
      </c>
    </row>
    <row r="920">
      <c r="A920" s="10" t="inlineStr">
        <is>
          <t>TN58BQ3636</t>
        </is>
      </c>
      <c r="B920" s="10" t="inlineStr">
        <is>
          <t>WOVEN</t>
        </is>
      </c>
      <c r="C920" s="10" t="inlineStr">
        <is>
          <t>TYRE</t>
        </is>
      </c>
      <c r="D920" s="10" t="inlineStr">
        <is>
          <t>TYRE</t>
        </is>
      </c>
      <c r="E920" s="10" t="inlineStr">
        <is>
          <t>YEARLY</t>
        </is>
      </c>
      <c r="F920" s="11" t="n">
        <v>45383</v>
      </c>
      <c r="G920" s="11" t="n">
        <v>45747</v>
      </c>
      <c r="H920" s="12">
        <f>IF(OR($F920="",$G920=""),"",$G920-$F920+1)</f>
        <v/>
      </c>
      <c r="I920" s="10">
        <f>IF($F920="","",IF(MONTH($F920)&gt;=4,YEAR($F920)&amp;"-"&amp;TEXT(YEAR($F920)+1-2000,"00"),YEAR($F920)-1&amp;"-"&amp;TEXT(YEAR($F920)-2000,"00")))</f>
        <v/>
      </c>
      <c r="J920" s="13" t="n">
        <v>30200</v>
      </c>
      <c r="K920" s="14">
        <f>IFERROR($L920/$J920,"")</f>
        <v/>
      </c>
      <c r="L920" s="13" t="n">
        <v>30200</v>
      </c>
      <c r="M920" s="13">
        <f>IFERROR($L920/$H920,"")</f>
        <v/>
      </c>
      <c r="N920" s="11" t="n">
        <v>45505</v>
      </c>
      <c r="O920" s="10">
        <f>IF($N920="","No","Yes")</f>
        <v/>
      </c>
      <c r="P920" s="12">
        <f>IF(OR($F920="",$G920=""),0,IF(AND($F920&lt;=README!$B$4,README!$B$4&lt;=$G920),1,0))</f>
        <v/>
      </c>
      <c r="Q920" s="12">
        <f>IF(OR($F920="",$G920=""),0,IF(AND($F920&lt;=DATE(README!$B$5,12,31),$G920&gt;=DATE(README!$B$5,1,1)),1,0))</f>
        <v/>
      </c>
      <c r="R920" s="10" t="inlineStr">
        <is>
          <t>GUT-VEH0006</t>
        </is>
      </c>
      <c r="S920" s="11" t="n">
        <v>45437</v>
      </c>
      <c r="T920" s="10" t="inlineStr">
        <is>
          <t>3</t>
        </is>
      </c>
      <c r="U920" s="10" t="inlineStr">
        <is>
          <t>VEHICLE</t>
        </is>
      </c>
      <c r="V920" s="10" t="inlineStr">
        <is>
          <t>T</t>
        </is>
      </c>
      <c r="W920" s="10" t="inlineStr">
        <is>
          <t>VIVEK B</t>
        </is>
      </c>
    </row>
    <row r="921">
      <c r="A921" s="10" t="inlineStr">
        <is>
          <t>TN58BQ3636</t>
        </is>
      </c>
      <c r="B921" s="10" t="inlineStr">
        <is>
          <t>WOVEN</t>
        </is>
      </c>
      <c r="C921" s="10" t="inlineStr">
        <is>
          <t>VEHICLE INSURANCE</t>
        </is>
      </c>
      <c r="D921" s="10" t="inlineStr">
        <is>
          <t>VEHICLE INSURANCE</t>
        </is>
      </c>
      <c r="E921" s="10" t="inlineStr">
        <is>
          <t>YEARLY</t>
        </is>
      </c>
      <c r="F921" s="11" t="n">
        <v>45383</v>
      </c>
      <c r="G921" s="11" t="n">
        <v>45747</v>
      </c>
      <c r="H921" s="12">
        <f>IF(OR($F921="",$G921=""),"",$G921-$F921+1)</f>
        <v/>
      </c>
      <c r="I921" s="10">
        <f>IF($F921="","",IF(MONTH($F921)&gt;=4,YEAR($F921)&amp;"-"&amp;TEXT(YEAR($F921)+1-2000,"00"),YEAR($F921)-1&amp;"-"&amp;TEXT(YEAR($F921)-2000,"00")))</f>
        <v/>
      </c>
      <c r="J921" s="13" t="n">
        <v>81142</v>
      </c>
      <c r="K921" s="14">
        <f>IFERROR($L921/$J921,"")</f>
        <v/>
      </c>
      <c r="L921" s="13" t="n">
        <v>0</v>
      </c>
      <c r="M921" s="13">
        <f>IFERROR($L921/$H921,"")</f>
        <v/>
      </c>
      <c r="N921" s="11" t="n"/>
      <c r="O921" s="10">
        <f>IF($N921="","No","Yes")</f>
        <v/>
      </c>
      <c r="P921" s="12">
        <f>IF(OR($F921="",$G921=""),0,IF(AND($F921&lt;=README!$B$4,README!$B$4&lt;=$G921),1,0))</f>
        <v/>
      </c>
      <c r="Q921" s="12">
        <f>IF(OR($F921="",$G921=""),0,IF(AND($F921&lt;=DATE(README!$B$5,12,31),$G921&gt;=DATE(README!$B$5,1,1)),1,0))</f>
        <v/>
      </c>
      <c r="R921" s="10" t="inlineStr">
        <is>
          <t>GUT-VEH0012</t>
        </is>
      </c>
      <c r="S921" s="11" t="n">
        <v>45478</v>
      </c>
      <c r="T921" s="10" t="inlineStr">
        <is>
          <t>3</t>
        </is>
      </c>
      <c r="U921" s="10" t="inlineStr">
        <is>
          <t>VEHICLE</t>
        </is>
      </c>
      <c r="V921" s="10" t="inlineStr">
        <is>
          <t>T</t>
        </is>
      </c>
      <c r="W921" s="10" t="inlineStr">
        <is>
          <t>VIVEK B</t>
        </is>
      </c>
    </row>
    <row r="922">
      <c r="A922" s="10" t="inlineStr">
        <is>
          <t>TN58BQ3636</t>
        </is>
      </c>
      <c r="B922" s="10" t="inlineStr">
        <is>
          <t>WOVEN</t>
        </is>
      </c>
      <c r="C922" s="10" t="inlineStr">
        <is>
          <t>VEHICLE INSURANCE</t>
        </is>
      </c>
      <c r="D922" s="10" t="inlineStr">
        <is>
          <t>VEHICLE INSURANCE</t>
        </is>
      </c>
      <c r="E922" s="10" t="inlineStr">
        <is>
          <t>YEARLY</t>
        </is>
      </c>
      <c r="F922" s="11" t="n">
        <v>45748</v>
      </c>
      <c r="G922" s="11" t="n">
        <v>46112</v>
      </c>
      <c r="H922" s="12">
        <f>IF(OR($F922="",$G922=""),"",$G922-$F922+1)</f>
        <v/>
      </c>
      <c r="I922" s="10">
        <f>IF($F922="","",IF(MONTH($F922)&gt;=4,YEAR($F922)&amp;"-"&amp;TEXT(YEAR($F922)+1-2000,"00"),YEAR($F922)-1&amp;"-"&amp;TEXT(YEAR($F922)-2000,"00")))</f>
        <v/>
      </c>
      <c r="J922" s="13" t="n">
        <v>79431</v>
      </c>
      <c r="K922" s="14">
        <f>IFERROR($L922/$J922,"")</f>
        <v/>
      </c>
      <c r="L922" s="13" t="n">
        <v>79431</v>
      </c>
      <c r="M922" s="13">
        <f>IFERROR($L922/$H922,"")</f>
        <v/>
      </c>
      <c r="N922" s="11" t="n">
        <v>45799</v>
      </c>
      <c r="O922" s="10">
        <f>IF($N922="","No","Yes")</f>
        <v/>
      </c>
      <c r="P922" s="12">
        <f>IF(OR($F922="",$G922=""),0,IF(AND($F922&lt;=README!$B$4,README!$B$4&lt;=$G922),1,0))</f>
        <v/>
      </c>
      <c r="Q922" s="12">
        <f>IF(OR($F922="",$G922=""),0,IF(AND($F922&lt;=DATE(README!$B$5,12,31),$G922&gt;=DATE(README!$B$5,1,1)),1,0))</f>
        <v/>
      </c>
      <c r="R922" s="10" t="inlineStr">
        <is>
          <t>GUT-VEH0019</t>
        </is>
      </c>
      <c r="S922" s="11" t="n">
        <v>45799</v>
      </c>
      <c r="T922" s="10" t="inlineStr">
        <is>
          <t>5</t>
        </is>
      </c>
      <c r="U922" s="10" t="inlineStr">
        <is>
          <t>VEHICLE</t>
        </is>
      </c>
      <c r="V922" s="10" t="inlineStr">
        <is>
          <t>T</t>
        </is>
      </c>
      <c r="W922" s="10" t="inlineStr">
        <is>
          <t>VIVEK B</t>
        </is>
      </c>
    </row>
    <row r="923">
      <c r="A923" s="10" t="inlineStr">
        <is>
          <t>TN58BQ3636</t>
        </is>
      </c>
      <c r="B923" s="10" t="inlineStr"/>
      <c r="C923" s="10" t="inlineStr">
        <is>
          <t>VEHICLE OUTSIDE SERVICES</t>
        </is>
      </c>
      <c r="D923" s="10" t="inlineStr">
        <is>
          <t xml:space="preserve">MAINTENANCE SERVICE </t>
        </is>
      </c>
      <c r="E923" s="10" t="inlineStr">
        <is>
          <t>YEARLY</t>
        </is>
      </c>
      <c r="F923" s="11" t="n">
        <v>45748</v>
      </c>
      <c r="G923" s="11" t="n">
        <v>46112</v>
      </c>
      <c r="H923" s="12">
        <f>IF(OR($F923="",$G923=""),"",$G923-$F923+1)</f>
        <v/>
      </c>
      <c r="I923" s="10">
        <f>IF($F923="","",IF(MONTH($F923)&gt;=4,YEAR($F923)&amp;"-"&amp;TEXT(YEAR($F923)+1-2000,"00"),YEAR($F923)-1&amp;"-"&amp;TEXT(YEAR($F923)-2000,"00")))</f>
        <v/>
      </c>
      <c r="J923" s="13" t="n">
        <v>21160.41</v>
      </c>
      <c r="K923" s="14">
        <f>IFERROR($L923/$J923,"")</f>
        <v/>
      </c>
      <c r="L923" s="13" t="n">
        <v>21160.41</v>
      </c>
      <c r="M923" s="13">
        <f>IFERROR($L923/$H923,"")</f>
        <v/>
      </c>
      <c r="N923" s="11" t="n">
        <v>45957</v>
      </c>
      <c r="O923" s="10">
        <f>IF($N923="","No","Yes")</f>
        <v/>
      </c>
      <c r="P923" s="12">
        <f>IF(OR($F923="",$G923=""),0,IF(AND($F923&lt;=README!$B$4,README!$B$4&lt;=$G923),1,0))</f>
        <v/>
      </c>
      <c r="Q923" s="12">
        <f>IF(OR($F923="",$G923=""),0,IF(AND($F923&lt;=DATE(README!$B$5,12,31),$G923&gt;=DATE(README!$B$5,1,1)),1,0))</f>
        <v/>
      </c>
      <c r="R923" s="10" t="inlineStr">
        <is>
          <t>GUT-VEH0021</t>
        </is>
      </c>
      <c r="S923" s="11" t="n">
        <v>45812</v>
      </c>
      <c r="T923" s="10" t="inlineStr">
        <is>
          <t>5</t>
        </is>
      </c>
      <c r="U923" s="10" t="inlineStr">
        <is>
          <t>VEHICLE</t>
        </is>
      </c>
      <c r="V923" s="10" t="inlineStr">
        <is>
          <t>T</t>
        </is>
      </c>
      <c r="W923" s="10" t="inlineStr">
        <is>
          <t>VIVEK B</t>
        </is>
      </c>
    </row>
    <row r="924">
      <c r="A924" s="10" t="inlineStr">
        <is>
          <t>TN58BQ3636</t>
        </is>
      </c>
      <c r="B924" s="10" t="inlineStr">
        <is>
          <t>WOVEN</t>
        </is>
      </c>
      <c r="C924" s="10" t="inlineStr">
        <is>
          <t>ROAD TAX</t>
        </is>
      </c>
      <c r="D924" s="10" t="inlineStr">
        <is>
          <t>ROAD TAX</t>
        </is>
      </c>
      <c r="E924" s="10" t="inlineStr">
        <is>
          <t>QUARTER - IV</t>
        </is>
      </c>
      <c r="F924" s="11" t="n">
        <v>46023</v>
      </c>
      <c r="G924" s="11" t="n">
        <v>46112</v>
      </c>
      <c r="H924" s="12">
        <f>IF(OR($F924="",$G924=""),"",$G924-$F924+1)</f>
        <v/>
      </c>
      <c r="I924" s="10">
        <f>IF($F924="","",IF(MONTH($F924)&gt;=4,YEAR($F924)&amp;"-"&amp;TEXT(YEAR($F924)+1-2000,"00"),YEAR($F924)-1&amp;"-"&amp;TEXT(YEAR($F924)-2000,"00")))</f>
        <v/>
      </c>
      <c r="J924" s="13" t="n">
        <v>32734</v>
      </c>
      <c r="K924" s="14">
        <f>IFERROR($L924/$J924,"")</f>
        <v/>
      </c>
      <c r="L924" s="13" t="n">
        <v>32734</v>
      </c>
      <c r="M924" s="13">
        <f>IFERROR($L924/$H924,"")</f>
        <v/>
      </c>
      <c r="N924" s="11" t="n">
        <v>46065</v>
      </c>
      <c r="O924" s="10">
        <f>IF($N924="","No","Yes")</f>
        <v/>
      </c>
      <c r="P924" s="12">
        <f>IF(OR($F924="",$G924=""),0,IF(AND($F924&lt;=README!$B$4,README!$B$4&lt;=$G924),1,0))</f>
        <v/>
      </c>
      <c r="Q924" s="12">
        <f>IF(OR($F924="",$G924=""),0,IF(AND($F924&lt;=DATE(README!$B$5,12,31),$G924&gt;=DATE(README!$B$5,1,1)),1,0))</f>
        <v/>
      </c>
      <c r="R924" s="10" t="inlineStr">
        <is>
          <t>GUT-VEH0016</t>
        </is>
      </c>
      <c r="S924" s="11" t="n">
        <v>46023</v>
      </c>
      <c r="T924" s="10" t="inlineStr">
        <is>
          <t>5</t>
        </is>
      </c>
      <c r="U924" s="10" t="inlineStr">
        <is>
          <t>VEHICLE</t>
        </is>
      </c>
      <c r="V924" s="10" t="inlineStr">
        <is>
          <t>T</t>
        </is>
      </c>
      <c r="W924" s="10" t="inlineStr">
        <is>
          <t>VIVEK B</t>
        </is>
      </c>
    </row>
    <row r="925">
      <c r="A925" s="10" t="inlineStr">
        <is>
          <t>TN58BQ3636</t>
        </is>
      </c>
      <c r="B925" s="10" t="inlineStr">
        <is>
          <t>WOVEN</t>
        </is>
      </c>
      <c r="C925" s="10" t="inlineStr">
        <is>
          <t>TYRE</t>
        </is>
      </c>
      <c r="D925" s="10" t="inlineStr">
        <is>
          <t>TYRE</t>
        </is>
      </c>
      <c r="E925" s="10" t="inlineStr">
        <is>
          <t>FEBRUARY</t>
        </is>
      </c>
      <c r="F925" s="11" t="n">
        <v>46054</v>
      </c>
      <c r="G925" s="11" t="n">
        <v>46081</v>
      </c>
      <c r="H925" s="12">
        <f>IF(OR($F925="",$G925=""),"",$G925-$F925+1)</f>
        <v/>
      </c>
      <c r="I925" s="10">
        <f>IF($F925="","",IF(MONTH($F925)&gt;=4,YEAR($F925)&amp;"-"&amp;TEXT(YEAR($F925)+1-2000,"00"),YEAR($F925)-1&amp;"-"&amp;TEXT(YEAR($F925)-2000,"00")))</f>
        <v/>
      </c>
      <c r="J925" s="13" t="n">
        <v>30300</v>
      </c>
      <c r="K925" s="14">
        <f>IFERROR($L925/$J925,"")</f>
        <v/>
      </c>
      <c r="L925" s="13" t="n">
        <v>30300</v>
      </c>
      <c r="M925" s="13">
        <f>IFERROR($L925/$H925,"")</f>
        <v/>
      </c>
      <c r="N925" s="11" t="n">
        <v>46072</v>
      </c>
      <c r="O925" s="10">
        <f>IF($N925="","No","Yes")</f>
        <v/>
      </c>
      <c r="P925" s="12">
        <f>IF(OR($F925="",$G925=""),0,IF(AND($F925&lt;=README!$B$4,README!$B$4&lt;=$G925),1,0))</f>
        <v/>
      </c>
      <c r="Q925" s="12">
        <f>IF(OR($F925="",$G925=""),0,IF(AND($F925&lt;=DATE(README!$B$5,12,31),$G925&gt;=DATE(README!$B$5,1,1)),1,0))</f>
        <v/>
      </c>
      <c r="R925" s="10" t="inlineStr">
        <is>
          <t>GUT-VEH0026</t>
        </is>
      </c>
      <c r="S925" s="11" t="n">
        <v>45957</v>
      </c>
      <c r="T925" s="10" t="inlineStr">
        <is>
          <t>5</t>
        </is>
      </c>
      <c r="U925" s="10" t="inlineStr">
        <is>
          <t>VEHICLE</t>
        </is>
      </c>
      <c r="V925" s="10" t="inlineStr">
        <is>
          <t>T</t>
        </is>
      </c>
      <c r="W925" s="10" t="inlineStr">
        <is>
          <t>VIVEK B</t>
        </is>
      </c>
    </row>
    <row r="926">
      <c r="A926" s="10" t="inlineStr">
        <is>
          <t>TN58BQ3636</t>
        </is>
      </c>
      <c r="B926" s="10" t="inlineStr">
        <is>
          <t>WOVEN</t>
        </is>
      </c>
      <c r="C926" s="10" t="inlineStr">
        <is>
          <t>ROAD TAX</t>
        </is>
      </c>
      <c r="D926" s="10" t="inlineStr">
        <is>
          <t>ROAD TAX</t>
        </is>
      </c>
      <c r="E926" s="10" t="inlineStr">
        <is>
          <t>QUARTER - I</t>
        </is>
      </c>
      <c r="F926" s="11" t="n">
        <v>46113</v>
      </c>
      <c r="G926" s="11" t="n">
        <v>46203</v>
      </c>
      <c r="H926" s="12">
        <f>IF(OR($F926="",$G926=""),"",$G926-$F926+1)</f>
        <v/>
      </c>
      <c r="I926" s="10">
        <f>IF($F926="","",IF(MONTH($F926)&gt;=4,YEAR($F926)&amp;"-"&amp;TEXT(YEAR($F926)+1-2000,"00"),YEAR($F926)-1&amp;"-"&amp;TEXT(YEAR($F926)-2000,"00")))</f>
        <v/>
      </c>
      <c r="J926" s="13" t="n">
        <v>32734</v>
      </c>
      <c r="K926" s="14">
        <f>IFERROR($L926/$J926,"")</f>
        <v/>
      </c>
      <c r="L926" s="13" t="n">
        <v>32734</v>
      </c>
      <c r="M926" s="13">
        <f>IFERROR($L926/$H926,"")</f>
        <v/>
      </c>
      <c r="N926" s="11" t="n">
        <v>46088</v>
      </c>
      <c r="O926" s="10">
        <f>IF($N926="","No","Yes")</f>
        <v/>
      </c>
      <c r="P926" s="12">
        <f>IF(OR($F926="",$G926=""),0,IF(AND($F926&lt;=README!$B$4,README!$B$4&lt;=$G926),1,0))</f>
        <v/>
      </c>
      <c r="Q926" s="12">
        <f>IF(OR($F926="",$G926=""),0,IF(AND($F926&lt;=DATE(README!$B$5,12,31),$G926&gt;=DATE(README!$B$5,1,1)),1,0))</f>
        <v/>
      </c>
      <c r="R926" s="10" t="inlineStr">
        <is>
          <t>GUT-VEH0029</t>
        </is>
      </c>
      <c r="S926" s="11" t="n">
        <v>46087</v>
      </c>
      <c r="T926" s="10" t="inlineStr">
        <is>
          <t>5</t>
        </is>
      </c>
      <c r="U926" s="10" t="inlineStr">
        <is>
          <t>VEHICLE</t>
        </is>
      </c>
      <c r="V926" s="10" t="inlineStr">
        <is>
          <t>T</t>
        </is>
      </c>
      <c r="W926" s="10" t="inlineStr">
        <is>
          <t>VIVEK B</t>
        </is>
      </c>
    </row>
    <row r="927">
      <c r="A927" s="10" t="inlineStr">
        <is>
          <t>TN58BQ3636</t>
        </is>
      </c>
      <c r="B927" s="10" t="inlineStr">
        <is>
          <t>WOVEN</t>
        </is>
      </c>
      <c r="C927" s="10" t="inlineStr">
        <is>
          <t>VEHICLE INSURANCE</t>
        </is>
      </c>
      <c r="D927" s="10" t="inlineStr">
        <is>
          <t>VEHICLE INSURANCE</t>
        </is>
      </c>
      <c r="E927" s="10" t="inlineStr">
        <is>
          <t>YEARLY</t>
        </is>
      </c>
      <c r="F927" s="11" t="n">
        <v>46113</v>
      </c>
      <c r="G927" s="11" t="n">
        <v>46477</v>
      </c>
      <c r="H927" s="12">
        <f>IF(OR($F927="",$G927=""),"",$G927-$F927+1)</f>
        <v/>
      </c>
      <c r="I927" s="10">
        <f>IF($F927="","",IF(MONTH($F927)&gt;=4,YEAR($F927)&amp;"-"&amp;TEXT(YEAR($F927)+1-2000,"00"),YEAR($F927)-1&amp;"-"&amp;TEXT(YEAR($F927)-2000,"00")))</f>
        <v/>
      </c>
      <c r="J927" s="13" t="n">
        <v>78636</v>
      </c>
      <c r="K927" s="14">
        <f>IFERROR($L927/$J927,"")</f>
        <v/>
      </c>
      <c r="L927" s="13" t="n">
        <v>78636</v>
      </c>
      <c r="M927" s="13">
        <f>IFERROR($L927/$H927,"")</f>
        <v/>
      </c>
      <c r="N927" s="11" t="n">
        <v>46167</v>
      </c>
      <c r="O927" s="10">
        <f>IF($N927="","No","Yes")</f>
        <v/>
      </c>
      <c r="P927" s="12">
        <f>IF(OR($F927="",$G927=""),0,IF(AND($F927&lt;=README!$B$4,README!$B$4&lt;=$G927),1,0))</f>
        <v/>
      </c>
      <c r="Q927" s="12">
        <f>IF(OR($F927="",$G927=""),0,IF(AND($F927&lt;=DATE(README!$B$5,12,31),$G927&gt;=DATE(README!$B$5,1,1)),1,0))</f>
        <v/>
      </c>
      <c r="R927" s="10" t="inlineStr">
        <is>
          <t>GUT-VEH0035</t>
        </is>
      </c>
      <c r="S927" s="11" t="n">
        <v>46162</v>
      </c>
      <c r="T927" s="10" t="inlineStr">
        <is>
          <t>5</t>
        </is>
      </c>
      <c r="U927" s="10" t="inlineStr">
        <is>
          <t>VEHICLE</t>
        </is>
      </c>
      <c r="V927" s="10" t="inlineStr">
        <is>
          <t>T</t>
        </is>
      </c>
      <c r="W927" s="10" t="inlineStr">
        <is>
          <t>VIVEK B</t>
        </is>
      </c>
    </row>
    <row r="928">
      <c r="A928" s="10" t="inlineStr">
        <is>
          <t>TN58BQ3636</t>
        </is>
      </c>
      <c r="B928" s="10" t="inlineStr">
        <is>
          <t>WOVEN</t>
        </is>
      </c>
      <c r="C928" s="10" t="inlineStr">
        <is>
          <t>ROAD TAX</t>
        </is>
      </c>
      <c r="D928" s="10" t="inlineStr">
        <is>
          <t>ROAD TAX</t>
        </is>
      </c>
      <c r="E928" s="10" t="inlineStr">
        <is>
          <t>QUARTER - II</t>
        </is>
      </c>
      <c r="F928" s="11" t="n">
        <v>46204</v>
      </c>
      <c r="G928" s="11" t="n">
        <v>46295</v>
      </c>
      <c r="H928" s="12">
        <f>IF(OR($F928="",$G928=""),"",$G928-$F928+1)</f>
        <v/>
      </c>
      <c r="I928" s="10">
        <f>IF($F928="","",IF(MONTH($F928)&gt;=4,YEAR($F928)&amp;"-"&amp;TEXT(YEAR($F928)+1-2000,"00"),YEAR($F928)-1&amp;"-"&amp;TEXT(YEAR($F928)-2000,"00")))</f>
        <v/>
      </c>
      <c r="J928" s="13" t="n">
        <v>32734</v>
      </c>
      <c r="K928" s="14">
        <f>IFERROR($L928/$J928,"")</f>
        <v/>
      </c>
      <c r="L928" s="13" t="n">
        <v>32734</v>
      </c>
      <c r="M928" s="13">
        <f>IFERROR($L928/$H928,"")</f>
        <v/>
      </c>
      <c r="N928" s="11" t="n">
        <v>46196</v>
      </c>
      <c r="O928" s="10">
        <f>IF($N928="","No","Yes")</f>
        <v/>
      </c>
      <c r="P928" s="12">
        <f>IF(OR($F928="",$G928=""),0,IF(AND($F928&lt;=README!$B$4,README!$B$4&lt;=$G928),1,0))</f>
        <v/>
      </c>
      <c r="Q928" s="12">
        <f>IF(OR($F928="",$G928=""),0,IF(AND($F928&lt;=DATE(README!$B$5,12,31),$G928&gt;=DATE(README!$B$5,1,1)),1,0))</f>
        <v/>
      </c>
      <c r="R928" s="10" t="inlineStr">
        <is>
          <t>GUT-VEH0038</t>
        </is>
      </c>
      <c r="S928" s="11" t="n">
        <v>46193</v>
      </c>
      <c r="T928" s="10" t="inlineStr">
        <is>
          <t>5</t>
        </is>
      </c>
      <c r="U928" s="10" t="inlineStr">
        <is>
          <t>VEHICLE</t>
        </is>
      </c>
      <c r="V928" s="10" t="inlineStr">
        <is>
          <t>T</t>
        </is>
      </c>
      <c r="W928" s="10" t="inlineStr">
        <is>
          <t>VIVEK B</t>
        </is>
      </c>
    </row>
    <row r="929">
      <c r="A929" s="10" t="inlineStr">
        <is>
          <t>TN58BR3434</t>
        </is>
      </c>
      <c r="B929" s="10" t="inlineStr">
        <is>
          <t>SOCKS</t>
        </is>
      </c>
      <c r="C929" s="10" t="inlineStr">
        <is>
          <t>VEHICLE OUTSIDE SERVICES</t>
        </is>
      </c>
      <c r="D929" s="10" t="inlineStr">
        <is>
          <t>GLASS STICKERS</t>
        </is>
      </c>
      <c r="E929" s="10" t="inlineStr">
        <is>
          <t>YEARLY</t>
        </is>
      </c>
      <c r="F929" s="11" t="n">
        <v>45383</v>
      </c>
      <c r="G929" s="11" t="n">
        <v>45747</v>
      </c>
      <c r="H929" s="12">
        <f>IF(OR($F929="",$G929=""),"",$G929-$F929+1)</f>
        <v/>
      </c>
      <c r="I929" s="10">
        <f>IF($F929="","",IF(MONTH($F929)&gt;=4,YEAR($F929)&amp;"-"&amp;TEXT(YEAR($F929)+1-2000,"00"),YEAR($F929)-1&amp;"-"&amp;TEXT(YEAR($F929)-2000,"00")))</f>
        <v/>
      </c>
      <c r="J929" s="13" t="n">
        <v>1711</v>
      </c>
      <c r="K929" s="14">
        <f>IFERROR($L929/$J929,"")</f>
        <v/>
      </c>
      <c r="L929" s="13" t="n">
        <v>1711</v>
      </c>
      <c r="M929" s="13">
        <f>IFERROR($L929/$H929,"")</f>
        <v/>
      </c>
      <c r="N929" s="11" t="n">
        <v>45649</v>
      </c>
      <c r="O929" s="10">
        <f>IF($N929="","No","Yes")</f>
        <v/>
      </c>
      <c r="P929" s="12">
        <f>IF(OR($F929="",$G929=""),0,IF(AND($F929&lt;=README!$B$4,README!$B$4&lt;=$G929),1,0))</f>
        <v/>
      </c>
      <c r="Q929" s="12">
        <f>IF(OR($F929="",$G929=""),0,IF(AND($F929&lt;=DATE(README!$B$5,12,31),$G929&gt;=DATE(README!$B$5,1,1)),1,0))</f>
        <v/>
      </c>
      <c r="R929" s="10" t="inlineStr">
        <is>
          <t>GUP-VEH0012</t>
        </is>
      </c>
      <c r="S929" s="11" t="n">
        <v>45477</v>
      </c>
      <c r="T929" s="10" t="inlineStr">
        <is>
          <t>549</t>
        </is>
      </c>
      <c r="U929" s="10" t="inlineStr">
        <is>
          <t>VEHICLE</t>
        </is>
      </c>
      <c r="V929" s="10" t="inlineStr">
        <is>
          <t>T</t>
        </is>
      </c>
      <c r="W929" s="10" t="inlineStr">
        <is>
          <t>VIVEK B</t>
        </is>
      </c>
    </row>
    <row r="930">
      <c r="A930" s="10" t="inlineStr">
        <is>
          <t>TN58BR3434</t>
        </is>
      </c>
      <c r="B930" s="10" t="inlineStr">
        <is>
          <t>SOCKS</t>
        </is>
      </c>
      <c r="C930" s="10" t="inlineStr">
        <is>
          <t>ROAD TAX</t>
        </is>
      </c>
      <c r="D930" s="10" t="inlineStr">
        <is>
          <t>ROAD TAX</t>
        </is>
      </c>
      <c r="E930" s="10" t="inlineStr">
        <is>
          <t>QUARTER - I</t>
        </is>
      </c>
      <c r="F930" s="11" t="n">
        <v>45748</v>
      </c>
      <c r="G930" s="11" t="n">
        <v>45838</v>
      </c>
      <c r="H930" s="12">
        <f>IF(OR($F930="",$G930=""),"",$G930-$F930+1)</f>
        <v/>
      </c>
      <c r="I930" s="10">
        <f>IF($F930="","",IF(MONTH($F930)&gt;=4,YEAR($F930)&amp;"-"&amp;TEXT(YEAR($F930)+1-2000,"00"),YEAR($F930)-1&amp;"-"&amp;TEXT(YEAR($F930)-2000,"00")))</f>
        <v/>
      </c>
      <c r="J930" s="13" t="n">
        <v>32724</v>
      </c>
      <c r="K930" s="14">
        <f>IFERROR($L930/$J930,"")</f>
        <v/>
      </c>
      <c r="L930" s="13" t="n">
        <v>32724</v>
      </c>
      <c r="M930" s="13">
        <f>IFERROR($L930/$H930,"")</f>
        <v/>
      </c>
      <c r="N930" s="11" t="n">
        <v>46030</v>
      </c>
      <c r="O930" s="10">
        <f>IF($N930="","No","Yes")</f>
        <v/>
      </c>
      <c r="P930" s="12">
        <f>IF(OR($F930="",$G930=""),0,IF(AND($F930&lt;=README!$B$4,README!$B$4&lt;=$G930),1,0))</f>
        <v/>
      </c>
      <c r="Q930" s="12">
        <f>IF(OR($F930="",$G930=""),0,IF(AND($F930&lt;=DATE(README!$B$5,12,31),$G930&gt;=DATE(README!$B$5,1,1)),1,0))</f>
        <v/>
      </c>
      <c r="R930" s="10" t="inlineStr">
        <is>
          <t>GUP-VEH0014</t>
        </is>
      </c>
      <c r="S930" s="11" t="n">
        <v>45748</v>
      </c>
      <c r="T930" s="10" t="inlineStr">
        <is>
          <t>609</t>
        </is>
      </c>
      <c r="U930" s="10" t="inlineStr">
        <is>
          <t>VEHICLE</t>
        </is>
      </c>
      <c r="V930" s="10" t="inlineStr">
        <is>
          <t>T</t>
        </is>
      </c>
      <c r="W930" s="10" t="inlineStr">
        <is>
          <t>VIVEK B</t>
        </is>
      </c>
    </row>
    <row r="931">
      <c r="A931" s="10" t="inlineStr">
        <is>
          <t>TN58BR3434</t>
        </is>
      </c>
      <c r="B931" s="10" t="inlineStr">
        <is>
          <t>SOCKS</t>
        </is>
      </c>
      <c r="C931" s="10" t="inlineStr">
        <is>
          <t>TYRE</t>
        </is>
      </c>
      <c r="D931" s="10" t="inlineStr">
        <is>
          <t>TYRE</t>
        </is>
      </c>
      <c r="E931" s="10" t="inlineStr">
        <is>
          <t>YEARLY</t>
        </is>
      </c>
      <c r="F931" s="11" t="n">
        <v>45748</v>
      </c>
      <c r="G931" s="11" t="n">
        <v>46112</v>
      </c>
      <c r="H931" s="12">
        <f>IF(OR($F931="",$G931=""),"",$G931-$F931+1)</f>
        <v/>
      </c>
      <c r="I931" s="10">
        <f>IF($F931="","",IF(MONTH($F931)&gt;=4,YEAR($F931)&amp;"-"&amp;TEXT(YEAR($F931)+1-2000,"00"),YEAR($F931)-1&amp;"-"&amp;TEXT(YEAR($F931)-2000,"00")))</f>
        <v/>
      </c>
      <c r="J931" s="13" t="n">
        <v>37500</v>
      </c>
      <c r="K931" s="14">
        <f>IFERROR($L931/$J931,"")</f>
        <v/>
      </c>
      <c r="L931" s="13" t="n">
        <v>37500</v>
      </c>
      <c r="M931" s="13">
        <f>IFERROR($L931/$H931,"")</f>
        <v/>
      </c>
      <c r="N931" s="11" t="n">
        <v>45986</v>
      </c>
      <c r="O931" s="10">
        <f>IF($N931="","No","Yes")</f>
        <v/>
      </c>
      <c r="P931" s="12">
        <f>IF(OR($F931="",$G931=""),0,IF(AND($F931&lt;=README!$B$4,README!$B$4&lt;=$G931),1,0))</f>
        <v/>
      </c>
      <c r="Q931" s="12">
        <f>IF(OR($F931="",$G931=""),0,IF(AND($F931&lt;=DATE(README!$B$5,12,31),$G931&gt;=DATE(README!$B$5,1,1)),1,0))</f>
        <v/>
      </c>
      <c r="R931" s="10" t="inlineStr">
        <is>
          <t>GUP-VEH0025</t>
        </is>
      </c>
      <c r="S931" s="11" t="n">
        <v>45957</v>
      </c>
      <c r="T931" s="10" t="inlineStr">
        <is>
          <t>726</t>
        </is>
      </c>
      <c r="U931" s="10" t="inlineStr">
        <is>
          <t>VEHICLE</t>
        </is>
      </c>
      <c r="V931" s="10" t="inlineStr">
        <is>
          <t>T</t>
        </is>
      </c>
      <c r="W931" s="10" t="inlineStr">
        <is>
          <t>VIVEK B</t>
        </is>
      </c>
    </row>
    <row r="932">
      <c r="A932" s="10" t="inlineStr">
        <is>
          <t>TN58BR3434</t>
        </is>
      </c>
      <c r="B932" s="10" t="inlineStr">
        <is>
          <t>SOCKS</t>
        </is>
      </c>
      <c r="C932" s="10" t="inlineStr">
        <is>
          <t>VEHICLE INSURANCE</t>
        </is>
      </c>
      <c r="D932" s="10" t="inlineStr">
        <is>
          <t>VEHICLE INSURANCE</t>
        </is>
      </c>
      <c r="E932" s="10" t="inlineStr">
        <is>
          <t>YEARLY</t>
        </is>
      </c>
      <c r="F932" s="11" t="n">
        <v>45748</v>
      </c>
      <c r="G932" s="11" t="n">
        <v>46112</v>
      </c>
      <c r="H932" s="12">
        <f>IF(OR($F932="",$G932=""),"",$G932-$F932+1)</f>
        <v/>
      </c>
      <c r="I932" s="10">
        <f>IF($F932="","",IF(MONTH($F932)&gt;=4,YEAR($F932)&amp;"-"&amp;TEXT(YEAR($F932)+1-2000,"00"),YEAR($F932)-1&amp;"-"&amp;TEXT(YEAR($F932)-2000,"00")))</f>
        <v/>
      </c>
      <c r="J932" s="13" t="n">
        <v>83915</v>
      </c>
      <c r="K932" s="14">
        <f>IFERROR($L932/$J932,"")</f>
        <v/>
      </c>
      <c r="L932" s="13" t="n">
        <v>83915</v>
      </c>
      <c r="M932" s="13">
        <f>IFERROR($L932/$H932,"")</f>
        <v/>
      </c>
      <c r="N932" s="11" t="n">
        <v>45881</v>
      </c>
      <c r="O932" s="10">
        <f>IF($N932="","No","Yes")</f>
        <v/>
      </c>
      <c r="P932" s="12">
        <f>IF(OR($F932="",$G932=""),0,IF(AND($F932&lt;=README!$B$4,README!$B$4&lt;=$G932),1,0))</f>
        <v/>
      </c>
      <c r="Q932" s="12">
        <f>IF(OR($F932="",$G932=""),0,IF(AND($F932&lt;=DATE(README!$B$5,12,31),$G932&gt;=DATE(README!$B$5,1,1)),1,0))</f>
        <v/>
      </c>
      <c r="R932" s="10" t="inlineStr">
        <is>
          <t>GUP-VEH0020</t>
        </is>
      </c>
      <c r="S932" s="11" t="n">
        <v>45799</v>
      </c>
      <c r="T932" s="10" t="inlineStr">
        <is>
          <t>645</t>
        </is>
      </c>
      <c r="U932" s="10" t="inlineStr">
        <is>
          <t>VEHICLE</t>
        </is>
      </c>
      <c r="V932" s="10" t="inlineStr">
        <is>
          <t>T</t>
        </is>
      </c>
      <c r="W932" s="10" t="inlineStr">
        <is>
          <t>VIVEK B</t>
        </is>
      </c>
    </row>
    <row r="933">
      <c r="A933" s="10" t="inlineStr">
        <is>
          <t>TN58BR3434</t>
        </is>
      </c>
      <c r="B933" s="10" t="inlineStr">
        <is>
          <t>GENERAL</t>
        </is>
      </c>
      <c r="C933" s="10" t="inlineStr">
        <is>
          <t>VEHICLE OUTSIDE SERVICES</t>
        </is>
      </c>
      <c r="D933" s="10" t="inlineStr">
        <is>
          <t>GLASS STICKERS</t>
        </is>
      </c>
      <c r="E933" s="10" t="inlineStr">
        <is>
          <t>YEARLY</t>
        </is>
      </c>
      <c r="F933" s="11" t="n">
        <v>45748</v>
      </c>
      <c r="G933" s="11" t="n">
        <v>46112</v>
      </c>
      <c r="H933" s="12">
        <f>IF(OR($F933="",$G933=""),"",$G933-$F933+1)</f>
        <v/>
      </c>
      <c r="I933" s="10">
        <f>IF($F933="","",IF(MONTH($F933)&gt;=4,YEAR($F933)&amp;"-"&amp;TEXT(YEAR($F933)+1-2000,"00"),YEAR($F933)-1&amp;"-"&amp;TEXT(YEAR($F933)-2000,"00")))</f>
        <v/>
      </c>
      <c r="J933" s="13" t="n">
        <v>5340</v>
      </c>
      <c r="K933" s="14">
        <f>IFERROR($L933/$J933,"")</f>
        <v/>
      </c>
      <c r="L933" s="13" t="n">
        <v>5340</v>
      </c>
      <c r="M933" s="13">
        <f>IFERROR($L933/$H933,"")</f>
        <v/>
      </c>
      <c r="N933" s="11" t="n">
        <v>45850</v>
      </c>
      <c r="O933" s="10">
        <f>IF($N933="","No","Yes")</f>
        <v/>
      </c>
      <c r="P933" s="12">
        <f>IF(OR($F933="",$G933=""),0,IF(AND($F933&lt;=README!$B$4,README!$B$4&lt;=$G933),1,0))</f>
        <v/>
      </c>
      <c r="Q933" s="12">
        <f>IF(OR($F933="",$G933=""),0,IF(AND($F933&lt;=DATE(README!$B$5,12,31),$G933&gt;=DATE(README!$B$5,1,1)),1,0))</f>
        <v/>
      </c>
      <c r="R933" s="10" t="inlineStr">
        <is>
          <t>GUP-VEH0019</t>
        </is>
      </c>
      <c r="S933" s="11" t="n">
        <v>45777</v>
      </c>
      <c r="T933" s="10" t="inlineStr">
        <is>
          <t>638</t>
        </is>
      </c>
      <c r="U933" s="10" t="inlineStr">
        <is>
          <t>VEHICLE</t>
        </is>
      </c>
      <c r="V933" s="10" t="inlineStr">
        <is>
          <t>T</t>
        </is>
      </c>
      <c r="W933" s="10" t="inlineStr">
        <is>
          <t>VIVEK B</t>
        </is>
      </c>
    </row>
    <row r="934">
      <c r="A934" s="10" t="inlineStr">
        <is>
          <t>TN58BR3434</t>
        </is>
      </c>
      <c r="B934" s="10" t="inlineStr">
        <is>
          <t>SOCKS</t>
        </is>
      </c>
      <c r="C934" s="10" t="inlineStr">
        <is>
          <t>ROAD TAX</t>
        </is>
      </c>
      <c r="D934" s="10" t="inlineStr">
        <is>
          <t>ROAD TAX</t>
        </is>
      </c>
      <c r="E934" s="10" t="inlineStr">
        <is>
          <t>QUARTER - II</t>
        </is>
      </c>
      <c r="F934" s="11" t="n">
        <v>45839</v>
      </c>
      <c r="G934" s="11" t="n">
        <v>45930</v>
      </c>
      <c r="H934" s="12">
        <f>IF(OR($F934="",$G934=""),"",$G934-$F934+1)</f>
        <v/>
      </c>
      <c r="I934" s="10">
        <f>IF($F934="","",IF(MONTH($F934)&gt;=4,YEAR($F934)&amp;"-"&amp;TEXT(YEAR($F934)+1-2000,"00"),YEAR($F934)-1&amp;"-"&amp;TEXT(YEAR($F934)-2000,"00")))</f>
        <v/>
      </c>
      <c r="J934" s="13" t="n">
        <v>32724</v>
      </c>
      <c r="K934" s="14">
        <f>IFERROR($L934/$J934,"")</f>
        <v/>
      </c>
      <c r="L934" s="13" t="n">
        <v>32724</v>
      </c>
      <c r="M934" s="13">
        <f>IFERROR($L934/$H934,"")</f>
        <v/>
      </c>
      <c r="N934" s="11" t="n">
        <v>46030</v>
      </c>
      <c r="O934" s="10">
        <f>IF($N934="","No","Yes")</f>
        <v/>
      </c>
      <c r="P934" s="12">
        <f>IF(OR($F934="",$G934=""),0,IF(AND($F934&lt;=README!$B$4,README!$B$4&lt;=$G934),1,0))</f>
        <v/>
      </c>
      <c r="Q934" s="12">
        <f>IF(OR($F934="",$G934=""),0,IF(AND($F934&lt;=DATE(README!$B$5,12,31),$G934&gt;=DATE(README!$B$5,1,1)),1,0))</f>
        <v/>
      </c>
      <c r="R934" s="10" t="inlineStr">
        <is>
          <t>GUP-VEH0014</t>
        </is>
      </c>
      <c r="S934" s="11" t="n">
        <v>45748</v>
      </c>
      <c r="T934" s="10" t="inlineStr">
        <is>
          <t>609</t>
        </is>
      </c>
      <c r="U934" s="10" t="inlineStr">
        <is>
          <t>VEHICLE</t>
        </is>
      </c>
      <c r="V934" s="10" t="inlineStr">
        <is>
          <t>T</t>
        </is>
      </c>
      <c r="W934" s="10" t="inlineStr">
        <is>
          <t>VIVEK B</t>
        </is>
      </c>
    </row>
    <row r="935">
      <c r="A935" s="10" t="inlineStr">
        <is>
          <t>TN58BR3434</t>
        </is>
      </c>
      <c r="B935" s="10" t="inlineStr">
        <is>
          <t>SOCKS</t>
        </is>
      </c>
      <c r="C935" s="10" t="inlineStr">
        <is>
          <t>ROAD TAX</t>
        </is>
      </c>
      <c r="D935" s="10" t="inlineStr">
        <is>
          <t>ROAD TAX</t>
        </is>
      </c>
      <c r="E935" s="10" t="inlineStr">
        <is>
          <t>QUARTER - III</t>
        </is>
      </c>
      <c r="F935" s="11" t="n">
        <v>45931</v>
      </c>
      <c r="G935" s="11" t="n">
        <v>46022</v>
      </c>
      <c r="H935" s="12">
        <f>IF(OR($F935="",$G935=""),"",$G935-$F935+1)</f>
        <v/>
      </c>
      <c r="I935" s="10">
        <f>IF($F935="","",IF(MONTH($F935)&gt;=4,YEAR($F935)&amp;"-"&amp;TEXT(YEAR($F935)+1-2000,"00"),YEAR($F935)-1&amp;"-"&amp;TEXT(YEAR($F935)-2000,"00")))</f>
        <v/>
      </c>
      <c r="J935" s="13" t="n">
        <v>32734</v>
      </c>
      <c r="K935" s="14">
        <f>IFERROR($L935/$J935,"")</f>
        <v/>
      </c>
      <c r="L935" s="13" t="n">
        <v>32734</v>
      </c>
      <c r="M935" s="13">
        <f>IFERROR($L935/$H935,"")</f>
        <v/>
      </c>
      <c r="N935" s="11" t="n">
        <v>46030</v>
      </c>
      <c r="O935" s="10">
        <f>IF($N935="","No","Yes")</f>
        <v/>
      </c>
      <c r="P935" s="12">
        <f>IF(OR($F935="",$G935=""),0,IF(AND($F935&lt;=README!$B$4,README!$B$4&lt;=$G935),1,0))</f>
        <v/>
      </c>
      <c r="Q935" s="12">
        <f>IF(OR($F935="",$G935=""),0,IF(AND($F935&lt;=DATE(README!$B$5,12,31),$G935&gt;=DATE(README!$B$5,1,1)),1,0))</f>
        <v/>
      </c>
      <c r="R935" s="10" t="inlineStr">
        <is>
          <t>GUP-VEH0014</t>
        </is>
      </c>
      <c r="S935" s="11" t="n">
        <v>45748</v>
      </c>
      <c r="T935" s="10" t="inlineStr">
        <is>
          <t>609</t>
        </is>
      </c>
      <c r="U935" s="10" t="inlineStr">
        <is>
          <t>VEHICLE</t>
        </is>
      </c>
      <c r="V935" s="10" t="inlineStr">
        <is>
          <t>T</t>
        </is>
      </c>
      <c r="W935" s="10" t="inlineStr">
        <is>
          <t>VIVEK B</t>
        </is>
      </c>
    </row>
    <row r="936">
      <c r="A936" s="10" t="inlineStr">
        <is>
          <t>TN58BR3434</t>
        </is>
      </c>
      <c r="B936" s="10" t="inlineStr">
        <is>
          <t>SOCKS</t>
        </is>
      </c>
      <c r="C936" s="10" t="inlineStr">
        <is>
          <t>ROAD TAX</t>
        </is>
      </c>
      <c r="D936" s="10" t="inlineStr">
        <is>
          <t>ROAD TAX</t>
        </is>
      </c>
      <c r="E936" s="10" t="inlineStr">
        <is>
          <t>QUARTER - IV</t>
        </is>
      </c>
      <c r="F936" s="11" t="n">
        <v>46023</v>
      </c>
      <c r="G936" s="11" t="n">
        <v>46112</v>
      </c>
      <c r="H936" s="12">
        <f>IF(OR($F936="",$G936=""),"",$G936-$F936+1)</f>
        <v/>
      </c>
      <c r="I936" s="10">
        <f>IF($F936="","",IF(MONTH($F936)&gt;=4,YEAR($F936)&amp;"-"&amp;TEXT(YEAR($F936)+1-2000,"00"),YEAR($F936)-1&amp;"-"&amp;TEXT(YEAR($F936)-2000,"00")))</f>
        <v/>
      </c>
      <c r="J936" s="13" t="n">
        <v>32734</v>
      </c>
      <c r="K936" s="14">
        <f>IFERROR($L936/$J936,"")</f>
        <v/>
      </c>
      <c r="L936" s="13" t="n">
        <v>32734</v>
      </c>
      <c r="M936" s="13">
        <f>IFERROR($L936/$H936,"")</f>
        <v/>
      </c>
      <c r="N936" s="11" t="n">
        <v>46030</v>
      </c>
      <c r="O936" s="10">
        <f>IF($N936="","No","Yes")</f>
        <v/>
      </c>
      <c r="P936" s="12">
        <f>IF(OR($F936="",$G936=""),0,IF(AND($F936&lt;=README!$B$4,README!$B$4&lt;=$G936),1,0))</f>
        <v/>
      </c>
      <c r="Q936" s="12">
        <f>IF(OR($F936="",$G936=""),0,IF(AND($F936&lt;=DATE(README!$B$5,12,31),$G936&gt;=DATE(README!$B$5,1,1)),1,0))</f>
        <v/>
      </c>
      <c r="R936" s="10" t="inlineStr">
        <is>
          <t>GUP-VEH0014</t>
        </is>
      </c>
      <c r="S936" s="11" t="n">
        <v>45748</v>
      </c>
      <c r="T936" s="10" t="inlineStr">
        <is>
          <t>609</t>
        </is>
      </c>
      <c r="U936" s="10" t="inlineStr">
        <is>
          <t>VEHICLE</t>
        </is>
      </c>
      <c r="V936" s="10" t="inlineStr">
        <is>
          <t>T</t>
        </is>
      </c>
      <c r="W936" s="10" t="inlineStr">
        <is>
          <t>VIVEK B</t>
        </is>
      </c>
    </row>
    <row r="937">
      <c r="A937" s="10" t="inlineStr">
        <is>
          <t>TN58BR3434</t>
        </is>
      </c>
      <c r="B937" s="10" t="inlineStr">
        <is>
          <t>SOCKS</t>
        </is>
      </c>
      <c r="C937" s="10" t="inlineStr">
        <is>
          <t>ROAD TAX</t>
        </is>
      </c>
      <c r="D937" s="10" t="inlineStr">
        <is>
          <t>ROAD TAX</t>
        </is>
      </c>
      <c r="E937" s="10" t="inlineStr">
        <is>
          <t>QUARTER - I</t>
        </is>
      </c>
      <c r="F937" s="11" t="n">
        <v>46113</v>
      </c>
      <c r="G937" s="11" t="n">
        <v>46203</v>
      </c>
      <c r="H937" s="12">
        <f>IF(OR($F937="",$G937=""),"",$G937-$F937+1)</f>
        <v/>
      </c>
      <c r="I937" s="10">
        <f>IF($F937="","",IF(MONTH($F937)&gt;=4,YEAR($F937)&amp;"-"&amp;TEXT(YEAR($F937)+1-2000,"00"),YEAR($F937)-1&amp;"-"&amp;TEXT(YEAR($F937)-2000,"00")))</f>
        <v/>
      </c>
      <c r="J937" s="13" t="n">
        <v>32734</v>
      </c>
      <c r="K937" s="14">
        <f>IFERROR($L937/$J937,"")</f>
        <v/>
      </c>
      <c r="L937" s="13" t="n">
        <v>32734</v>
      </c>
      <c r="M937" s="13">
        <f>IFERROR($L937/$H937,"")</f>
        <v/>
      </c>
      <c r="N937" s="11" t="n">
        <v>46088</v>
      </c>
      <c r="O937" s="10">
        <f>IF($N937="","No","Yes")</f>
        <v/>
      </c>
      <c r="P937" s="12">
        <f>IF(OR($F937="",$G937=""),0,IF(AND($F937&lt;=README!$B$4,README!$B$4&lt;=$G937),1,0))</f>
        <v/>
      </c>
      <c r="Q937" s="12">
        <f>IF(OR($F937="",$G937=""),0,IF(AND($F937&lt;=DATE(README!$B$5,12,31),$G937&gt;=DATE(README!$B$5,1,1)),1,0))</f>
        <v/>
      </c>
      <c r="R937" s="10" t="inlineStr">
        <is>
          <t>GUP-VEH0030</t>
        </is>
      </c>
      <c r="S937" s="11" t="n">
        <v>46113</v>
      </c>
      <c r="T937" s="10" t="inlineStr">
        <is>
          <t>796</t>
        </is>
      </c>
      <c r="U937" s="10" t="inlineStr">
        <is>
          <t>VEHICLE</t>
        </is>
      </c>
      <c r="V937" s="10" t="inlineStr">
        <is>
          <t>T</t>
        </is>
      </c>
      <c r="W937" s="10" t="inlineStr">
        <is>
          <t>VIVEK B</t>
        </is>
      </c>
    </row>
    <row r="938">
      <c r="A938" s="10" t="inlineStr">
        <is>
          <t>TN58BR3434</t>
        </is>
      </c>
      <c r="B938" s="10" t="inlineStr">
        <is>
          <t>SOCKS</t>
        </is>
      </c>
      <c r="C938" s="10" t="inlineStr">
        <is>
          <t>VEHICLE INSURANCE</t>
        </is>
      </c>
      <c r="D938" s="10" t="inlineStr">
        <is>
          <t>VEHICLE INSURANCE</t>
        </is>
      </c>
      <c r="E938" s="10" t="inlineStr">
        <is>
          <t>YEARLY</t>
        </is>
      </c>
      <c r="F938" s="11" t="n">
        <v>46113</v>
      </c>
      <c r="G938" s="11" t="n">
        <v>46477</v>
      </c>
      <c r="H938" s="12">
        <f>IF(OR($F938="",$G938=""),"",$G938-$F938+1)</f>
        <v/>
      </c>
      <c r="I938" s="10">
        <f>IF($F938="","",IF(MONTH($F938)&gt;=4,YEAR($F938)&amp;"-"&amp;TEXT(YEAR($F938)+1-2000,"00"),YEAR($F938)-1&amp;"-"&amp;TEXT(YEAR($F938)-2000,"00")))</f>
        <v/>
      </c>
      <c r="J938" s="13" t="n">
        <v>80970</v>
      </c>
      <c r="K938" s="14">
        <f>IFERROR($L938/$J938,"")</f>
        <v/>
      </c>
      <c r="L938" s="13" t="n">
        <v>80970</v>
      </c>
      <c r="M938" s="13">
        <f>IFERROR($L938/$H938,"")</f>
        <v/>
      </c>
      <c r="N938" s="11" t="n">
        <v>46219</v>
      </c>
      <c r="O938" s="10">
        <f>IF($N938="","No","Yes")</f>
        <v/>
      </c>
      <c r="P938" s="12">
        <f>IF(OR($F938="",$G938=""),0,IF(AND($F938&lt;=README!$B$4,README!$B$4&lt;=$G938),1,0))</f>
        <v/>
      </c>
      <c r="Q938" s="12">
        <f>IF(OR($F938="",$G938=""),0,IF(AND($F938&lt;=DATE(README!$B$5,12,31),$G938&gt;=DATE(README!$B$5,1,1)),1,0))</f>
        <v/>
      </c>
      <c r="R938" s="10" t="inlineStr">
        <is>
          <t>GUP-VEH0038</t>
        </is>
      </c>
      <c r="S938" s="11" t="n">
        <v>46162</v>
      </c>
      <c r="T938" s="10" t="inlineStr">
        <is>
          <t>859</t>
        </is>
      </c>
      <c r="U938" s="10" t="inlineStr">
        <is>
          <t>VEHICLE</t>
        </is>
      </c>
      <c r="V938" s="10" t="inlineStr">
        <is>
          <t>T</t>
        </is>
      </c>
      <c r="W938" s="10" t="inlineStr">
        <is>
          <t>VIVEK B</t>
        </is>
      </c>
    </row>
    <row r="939">
      <c r="A939" s="10" t="inlineStr">
        <is>
          <t>TN58BR3434</t>
        </is>
      </c>
      <c r="B939" s="10" t="inlineStr">
        <is>
          <t>SOCKS</t>
        </is>
      </c>
      <c r="C939" s="10" t="inlineStr">
        <is>
          <t>ROAD TAX</t>
        </is>
      </c>
      <c r="D939" s="10" t="inlineStr">
        <is>
          <t>ROAD TAX</t>
        </is>
      </c>
      <c r="E939" s="10" t="inlineStr">
        <is>
          <t>QUARTER - II</t>
        </is>
      </c>
      <c r="F939" s="11" t="n">
        <v>46204</v>
      </c>
      <c r="G939" s="11" t="n">
        <v>46295</v>
      </c>
      <c r="H939" s="12">
        <f>IF(OR($F939="",$G939=""),"",$G939-$F939+1)</f>
        <v/>
      </c>
      <c r="I939" s="10">
        <f>IF($F939="","",IF(MONTH($F939)&gt;=4,YEAR($F939)&amp;"-"&amp;TEXT(YEAR($F939)+1-2000,"00"),YEAR($F939)-1&amp;"-"&amp;TEXT(YEAR($F939)-2000,"00")))</f>
        <v/>
      </c>
      <c r="J939" s="13" t="n">
        <v>34700</v>
      </c>
      <c r="K939" s="14">
        <f>IFERROR($L939/$J939,"")</f>
        <v/>
      </c>
      <c r="L939" s="13" t="n">
        <v>34700</v>
      </c>
      <c r="M939" s="13">
        <f>IFERROR($L939/$H939,"")</f>
        <v/>
      </c>
      <c r="N939" s="11" t="n">
        <v>46196</v>
      </c>
      <c r="O939" s="10">
        <f>IF($N939="","No","Yes")</f>
        <v/>
      </c>
      <c r="P939" s="12">
        <f>IF(OR($F939="",$G939=""),0,IF(AND($F939&lt;=README!$B$4,README!$B$4&lt;=$G939),1,0))</f>
        <v/>
      </c>
      <c r="Q939" s="12">
        <f>IF(OR($F939="",$G939=""),0,IF(AND($F939&lt;=DATE(README!$B$5,12,31),$G939&gt;=DATE(README!$B$5,1,1)),1,0))</f>
        <v/>
      </c>
      <c r="R939" s="10" t="inlineStr">
        <is>
          <t>GUP-VEH0030</t>
        </is>
      </c>
      <c r="S939" s="11" t="n">
        <v>46113</v>
      </c>
      <c r="T939" s="10" t="inlineStr">
        <is>
          <t>796</t>
        </is>
      </c>
      <c r="U939" s="10" t="inlineStr">
        <is>
          <t>VEHICLE</t>
        </is>
      </c>
      <c r="V939" s="10" t="inlineStr">
        <is>
          <t>T</t>
        </is>
      </c>
      <c r="W939" s="10" t="inlineStr">
        <is>
          <t>VIVEK B</t>
        </is>
      </c>
    </row>
    <row r="940">
      <c r="A940" s="10" t="inlineStr">
        <is>
          <t>TN58BR3636</t>
        </is>
      </c>
      <c r="B940" s="10" t="inlineStr">
        <is>
          <t>WOVEN</t>
        </is>
      </c>
      <c r="C940" s="10" t="inlineStr">
        <is>
          <t>ADBLU</t>
        </is>
      </c>
      <c r="D940" s="10" t="inlineStr">
        <is>
          <t>ADBLU</t>
        </is>
      </c>
      <c r="E940" s="10" t="inlineStr">
        <is>
          <t>YEARLY</t>
        </is>
      </c>
      <c r="F940" s="11" t="n">
        <v>45383</v>
      </c>
      <c r="G940" s="11" t="n">
        <v>45747</v>
      </c>
      <c r="H940" s="12">
        <f>IF(OR($F940="",$G940=""),"",$G940-$F940+1)</f>
        <v/>
      </c>
      <c r="I940" s="10">
        <f>IF($F940="","",IF(MONTH($F940)&gt;=4,YEAR($F940)&amp;"-"&amp;TEXT(YEAR($F940)+1-2000,"00"),YEAR($F940)-1&amp;"-"&amp;TEXT(YEAR($F940)-2000,"00")))</f>
        <v/>
      </c>
      <c r="J940" s="13" t="n">
        <v>61</v>
      </c>
      <c r="K940" s="14">
        <f>IFERROR($L940/$J940,"")</f>
        <v/>
      </c>
      <c r="L940" s="13" t="n">
        <v>2745</v>
      </c>
      <c r="M940" s="13">
        <f>IFERROR($L940/$H940,"")</f>
        <v/>
      </c>
      <c r="N940" s="11" t="n">
        <v>45479</v>
      </c>
      <c r="O940" s="10">
        <f>IF($N940="","No","Yes")</f>
        <v/>
      </c>
      <c r="P940" s="12">
        <f>IF(OR($F940="",$G940=""),0,IF(AND($F940&lt;=README!$B$4,README!$B$4&lt;=$G940),1,0))</f>
        <v/>
      </c>
      <c r="Q940" s="12">
        <f>IF(OR($F940="",$G940=""),0,IF(AND($F940&lt;=DATE(README!$B$5,12,31),$G940&gt;=DATE(README!$B$5,1,1)),1,0))</f>
        <v/>
      </c>
      <c r="R940" s="10" t="inlineStr">
        <is>
          <t>GUT-VEH0008</t>
        </is>
      </c>
      <c r="S940" s="11" t="n">
        <v>45475</v>
      </c>
      <c r="T940" s="10" t="inlineStr">
        <is>
          <t>3</t>
        </is>
      </c>
      <c r="U940" s="10" t="inlineStr">
        <is>
          <t>VEHICLE</t>
        </is>
      </c>
      <c r="V940" s="10" t="inlineStr">
        <is>
          <t>T</t>
        </is>
      </c>
      <c r="W940" s="10" t="inlineStr">
        <is>
          <t>VIVEK B</t>
        </is>
      </c>
    </row>
    <row r="941">
      <c r="A941" s="10" t="inlineStr">
        <is>
          <t>TN58BR3636</t>
        </is>
      </c>
      <c r="B941" s="10" t="inlineStr">
        <is>
          <t>WOVEN</t>
        </is>
      </c>
      <c r="C941" s="10" t="inlineStr">
        <is>
          <t>ADBLU</t>
        </is>
      </c>
      <c r="D941" s="10" t="inlineStr">
        <is>
          <t>ADBLU</t>
        </is>
      </c>
      <c r="E941" s="10" t="inlineStr">
        <is>
          <t>YEARLY</t>
        </is>
      </c>
      <c r="F941" s="11" t="n">
        <v>45383</v>
      </c>
      <c r="G941" s="11" t="n">
        <v>45747</v>
      </c>
      <c r="H941" s="12">
        <f>IF(OR($F941="",$G941=""),"",$G941-$F941+1)</f>
        <v/>
      </c>
      <c r="I941" s="10">
        <f>IF($F941="","",IF(MONTH($F941)&gt;=4,YEAR($F941)&amp;"-"&amp;TEXT(YEAR($F941)+1-2000,"00"),YEAR($F941)-1&amp;"-"&amp;TEXT(YEAR($F941)-2000,"00")))</f>
        <v/>
      </c>
      <c r="J941" s="13" t="n">
        <v>61</v>
      </c>
      <c r="K941" s="14">
        <f>IFERROR($L941/$J941,"")</f>
        <v/>
      </c>
      <c r="L941" s="13" t="n">
        <v>2745</v>
      </c>
      <c r="M941" s="13">
        <f>IFERROR($L941/$H941,"")</f>
        <v/>
      </c>
      <c r="N941" s="11" t="n">
        <v>45623</v>
      </c>
      <c r="O941" s="10">
        <f>IF($N941="","No","Yes")</f>
        <v/>
      </c>
      <c r="P941" s="12">
        <f>IF(OR($F941="",$G941=""),0,IF(AND($F941&lt;=README!$B$4,README!$B$4&lt;=$G941),1,0))</f>
        <v/>
      </c>
      <c r="Q941" s="12">
        <f>IF(OR($F941="",$G941=""),0,IF(AND($F941&lt;=DATE(README!$B$5,12,31),$G941&gt;=DATE(README!$B$5,1,1)),1,0))</f>
        <v/>
      </c>
      <c r="R941" s="10" t="inlineStr">
        <is>
          <t>GUT-VEH0008</t>
        </is>
      </c>
      <c r="S941" s="11" t="n">
        <v>45475</v>
      </c>
      <c r="T941" s="10" t="inlineStr">
        <is>
          <t>3</t>
        </is>
      </c>
      <c r="U941" s="10" t="inlineStr">
        <is>
          <t>VEHICLE</t>
        </is>
      </c>
      <c r="V941" s="10" t="inlineStr">
        <is>
          <t>T</t>
        </is>
      </c>
      <c r="W941" s="10" t="inlineStr">
        <is>
          <t>VIVEK B</t>
        </is>
      </c>
    </row>
    <row r="942">
      <c r="A942" s="10" t="inlineStr">
        <is>
          <t>TN58BR3636</t>
        </is>
      </c>
      <c r="B942" s="10" t="inlineStr">
        <is>
          <t>WOVEN</t>
        </is>
      </c>
      <c r="C942" s="10" t="inlineStr">
        <is>
          <t>ADBLU</t>
        </is>
      </c>
      <c r="D942" s="10" t="inlineStr">
        <is>
          <t>ADBLU</t>
        </is>
      </c>
      <c r="E942" s="10" t="inlineStr">
        <is>
          <t>YEARLY</t>
        </is>
      </c>
      <c r="F942" s="11" t="n">
        <v>45383</v>
      </c>
      <c r="G942" s="11" t="n">
        <v>45747</v>
      </c>
      <c r="H942" s="12">
        <f>IF(OR($F942="",$G942=""),"",$G942-$F942+1)</f>
        <v/>
      </c>
      <c r="I942" s="10">
        <f>IF($F942="","",IF(MONTH($F942)&gt;=4,YEAR($F942)&amp;"-"&amp;TEXT(YEAR($F942)+1-2000,"00"),YEAR($F942)-1&amp;"-"&amp;TEXT(YEAR($F942)-2000,"00")))</f>
        <v/>
      </c>
      <c r="J942" s="13" t="n">
        <v>61</v>
      </c>
      <c r="K942" s="14">
        <f>IFERROR($L942/$J942,"")</f>
        <v/>
      </c>
      <c r="L942" s="13" t="n">
        <v>2745</v>
      </c>
      <c r="M942" s="13">
        <f>IFERROR($L942/$H942,"")</f>
        <v/>
      </c>
      <c r="N942" s="11" t="n">
        <v>45602</v>
      </c>
      <c r="O942" s="10">
        <f>IF($N942="","No","Yes")</f>
        <v/>
      </c>
      <c r="P942" s="12">
        <f>IF(OR($F942="",$G942=""),0,IF(AND($F942&lt;=README!$B$4,README!$B$4&lt;=$G942),1,0))</f>
        <v/>
      </c>
      <c r="Q942" s="12">
        <f>IF(OR($F942="",$G942=""),0,IF(AND($F942&lt;=DATE(README!$B$5,12,31),$G942&gt;=DATE(README!$B$5,1,1)),1,0))</f>
        <v/>
      </c>
      <c r="R942" s="10" t="inlineStr">
        <is>
          <t>GUT-VEH0008</t>
        </is>
      </c>
      <c r="S942" s="11" t="n">
        <v>45475</v>
      </c>
      <c r="T942" s="10" t="inlineStr">
        <is>
          <t>3</t>
        </is>
      </c>
      <c r="U942" s="10" t="inlineStr">
        <is>
          <t>VEHICLE</t>
        </is>
      </c>
      <c r="V942" s="10" t="inlineStr">
        <is>
          <t>T</t>
        </is>
      </c>
      <c r="W942" s="10" t="inlineStr">
        <is>
          <t>VIVEK B</t>
        </is>
      </c>
    </row>
    <row r="943">
      <c r="A943" s="10" t="inlineStr">
        <is>
          <t>TN58BR3636</t>
        </is>
      </c>
      <c r="B943" s="10" t="inlineStr">
        <is>
          <t>WOVEN</t>
        </is>
      </c>
      <c r="C943" s="10" t="inlineStr">
        <is>
          <t>ADBLU</t>
        </is>
      </c>
      <c r="D943" s="10" t="inlineStr">
        <is>
          <t>ADBLU</t>
        </is>
      </c>
      <c r="E943" s="10" t="inlineStr">
        <is>
          <t>YEARLY</t>
        </is>
      </c>
      <c r="F943" s="11" t="n">
        <v>45383</v>
      </c>
      <c r="G943" s="11" t="n">
        <v>45747</v>
      </c>
      <c r="H943" s="12">
        <f>IF(OR($F943="",$G943=""),"",$G943-$F943+1)</f>
        <v/>
      </c>
      <c r="I943" s="10">
        <f>IF($F943="","",IF(MONTH($F943)&gt;=4,YEAR($F943)&amp;"-"&amp;TEXT(YEAR($F943)+1-2000,"00"),YEAR($F943)-1&amp;"-"&amp;TEXT(YEAR($F943)-2000,"00")))</f>
        <v/>
      </c>
      <c r="J943" s="13" t="n">
        <v>61</v>
      </c>
      <c r="K943" s="14">
        <f>IFERROR($L943/$J943,"")</f>
        <v/>
      </c>
      <c r="L943" s="13" t="n">
        <v>2745</v>
      </c>
      <c r="M943" s="13">
        <f>IFERROR($L943/$H943,"")</f>
        <v/>
      </c>
      <c r="N943" s="11" t="n">
        <v>45700</v>
      </c>
      <c r="O943" s="10">
        <f>IF($N943="","No","Yes")</f>
        <v/>
      </c>
      <c r="P943" s="12">
        <f>IF(OR($F943="",$G943=""),0,IF(AND($F943&lt;=README!$B$4,README!$B$4&lt;=$G943),1,0))</f>
        <v/>
      </c>
      <c r="Q943" s="12">
        <f>IF(OR($F943="",$G943=""),0,IF(AND($F943&lt;=DATE(README!$B$5,12,31),$G943&gt;=DATE(README!$B$5,1,1)),1,0))</f>
        <v/>
      </c>
      <c r="R943" s="10" t="inlineStr">
        <is>
          <t>GUT-VEH0008</t>
        </is>
      </c>
      <c r="S943" s="11" t="n">
        <v>45475</v>
      </c>
      <c r="T943" s="10" t="inlineStr">
        <is>
          <t>3</t>
        </is>
      </c>
      <c r="U943" s="10" t="inlineStr">
        <is>
          <t>VEHICLE</t>
        </is>
      </c>
      <c r="V943" s="10" t="inlineStr">
        <is>
          <t>T</t>
        </is>
      </c>
      <c r="W943" s="10" t="inlineStr">
        <is>
          <t>VIVEK B</t>
        </is>
      </c>
    </row>
    <row r="944">
      <c r="A944" s="10" t="inlineStr">
        <is>
          <t>TN58BR3636</t>
        </is>
      </c>
      <c r="B944" s="10" t="inlineStr">
        <is>
          <t>WOVEN</t>
        </is>
      </c>
      <c r="C944" s="10" t="inlineStr">
        <is>
          <t>ADBLU</t>
        </is>
      </c>
      <c r="D944" s="10" t="inlineStr">
        <is>
          <t>ADBLU</t>
        </is>
      </c>
      <c r="E944" s="10" t="inlineStr">
        <is>
          <t>YEARLY</t>
        </is>
      </c>
      <c r="F944" s="11" t="n">
        <v>45383</v>
      </c>
      <c r="G944" s="11" t="n">
        <v>45747</v>
      </c>
      <c r="H944" s="12">
        <f>IF(OR($F944="",$G944=""),"",$G944-$F944+1)</f>
        <v/>
      </c>
      <c r="I944" s="10">
        <f>IF($F944="","",IF(MONTH($F944)&gt;=4,YEAR($F944)&amp;"-"&amp;TEXT(YEAR($F944)+1-2000,"00"),YEAR($F944)-1&amp;"-"&amp;TEXT(YEAR($F944)-2000,"00")))</f>
        <v/>
      </c>
      <c r="J944" s="13" t="n">
        <v>61</v>
      </c>
      <c r="K944" s="14">
        <f>IFERROR($L944/$J944,"")</f>
        <v/>
      </c>
      <c r="L944" s="13" t="n">
        <v>2745</v>
      </c>
      <c r="M944" s="13">
        <f>IFERROR($L944/$H944,"")</f>
        <v/>
      </c>
      <c r="N944" s="11" t="n">
        <v>45700</v>
      </c>
      <c r="O944" s="10">
        <f>IF($N944="","No","Yes")</f>
        <v/>
      </c>
      <c r="P944" s="12">
        <f>IF(OR($F944="",$G944=""),0,IF(AND($F944&lt;=README!$B$4,README!$B$4&lt;=$G944),1,0))</f>
        <v/>
      </c>
      <c r="Q944" s="12">
        <f>IF(OR($F944="",$G944=""),0,IF(AND($F944&lt;=DATE(README!$B$5,12,31),$G944&gt;=DATE(README!$B$5,1,1)),1,0))</f>
        <v/>
      </c>
      <c r="R944" s="10" t="inlineStr">
        <is>
          <t>GUT-VEH0008</t>
        </is>
      </c>
      <c r="S944" s="11" t="n">
        <v>45475</v>
      </c>
      <c r="T944" s="10" t="inlineStr">
        <is>
          <t>3</t>
        </is>
      </c>
      <c r="U944" s="10" t="inlineStr">
        <is>
          <t>VEHICLE</t>
        </is>
      </c>
      <c r="V944" s="10" t="inlineStr">
        <is>
          <t>T</t>
        </is>
      </c>
      <c r="W944" s="10" t="inlineStr">
        <is>
          <t>VIVEK B</t>
        </is>
      </c>
    </row>
    <row r="945">
      <c r="A945" s="10" t="inlineStr">
        <is>
          <t>TN58BR3636</t>
        </is>
      </c>
      <c r="B945" s="10" t="inlineStr">
        <is>
          <t>WOVEN</t>
        </is>
      </c>
      <c r="C945" s="10" t="inlineStr">
        <is>
          <t>FC WORK</t>
        </is>
      </c>
      <c r="D945" s="10" t="inlineStr">
        <is>
          <t>FC WORK</t>
        </is>
      </c>
      <c r="E945" s="10" t="inlineStr">
        <is>
          <t>YEARLY</t>
        </is>
      </c>
      <c r="F945" s="11" t="n">
        <v>45383</v>
      </c>
      <c r="G945" s="11" t="n">
        <v>45747</v>
      </c>
      <c r="H945" s="12">
        <f>IF(OR($F945="",$G945=""),"",$G945-$F945+1)</f>
        <v/>
      </c>
      <c r="I945" s="10">
        <f>IF($F945="","",IF(MONTH($F945)&gt;=4,YEAR($F945)&amp;"-"&amp;TEXT(YEAR($F945)+1-2000,"00"),YEAR($F945)-1&amp;"-"&amp;TEXT(YEAR($F945)-2000,"00")))</f>
        <v/>
      </c>
      <c r="J945" s="13" t="n">
        <v>35000</v>
      </c>
      <c r="K945" s="14">
        <f>IFERROR($L945/$J945,"")</f>
        <v/>
      </c>
      <c r="L945" s="13" t="n">
        <v>35000</v>
      </c>
      <c r="M945" s="13">
        <f>IFERROR($L945/$H945,"")</f>
        <v/>
      </c>
      <c r="N945" s="11" t="n">
        <v>45490</v>
      </c>
      <c r="O945" s="10">
        <f>IF($N945="","No","Yes")</f>
        <v/>
      </c>
      <c r="P945" s="12">
        <f>IF(OR($F945="",$G945=""),0,IF(AND($F945&lt;=README!$B$4,README!$B$4&lt;=$G945),1,0))</f>
        <v/>
      </c>
      <c r="Q945" s="12">
        <f>IF(OR($F945="",$G945=""),0,IF(AND($F945&lt;=DATE(README!$B$5,12,31),$G945&gt;=DATE(README!$B$5,1,1)),1,0))</f>
        <v/>
      </c>
      <c r="R945" s="10" t="inlineStr">
        <is>
          <t>GUT-VEH0009</t>
        </is>
      </c>
      <c r="S945" s="11" t="n">
        <v>45475</v>
      </c>
      <c r="T945" s="10" t="inlineStr">
        <is>
          <t>3</t>
        </is>
      </c>
      <c r="U945" s="10" t="inlineStr">
        <is>
          <t>VEHICLE</t>
        </is>
      </c>
      <c r="V945" s="10" t="inlineStr">
        <is>
          <t>T</t>
        </is>
      </c>
      <c r="W945" s="10" t="inlineStr">
        <is>
          <t>VIVEK B</t>
        </is>
      </c>
    </row>
    <row r="946">
      <c r="A946" s="10" t="inlineStr">
        <is>
          <t>TN58BR3636</t>
        </is>
      </c>
      <c r="B946" s="10" t="inlineStr">
        <is>
          <t>WOVEN</t>
        </is>
      </c>
      <c r="C946" s="10" t="inlineStr">
        <is>
          <t>ROAD TAX</t>
        </is>
      </c>
      <c r="D946" s="10" t="inlineStr">
        <is>
          <t>ROAD TAX</t>
        </is>
      </c>
      <c r="E946" s="10" t="inlineStr">
        <is>
          <t>YEARLY</t>
        </is>
      </c>
      <c r="F946" s="11" t="n">
        <v>45383</v>
      </c>
      <c r="G946" s="11" t="n">
        <v>45747</v>
      </c>
      <c r="H946" s="12">
        <f>IF(OR($F946="",$G946=""),"",$G946-$F946+1)</f>
        <v/>
      </c>
      <c r="I946" s="10">
        <f>IF($F946="","",IF(MONTH($F946)&gt;=4,YEAR($F946)&amp;"-"&amp;TEXT(YEAR($F946)+1-2000,"00"),YEAR($F946)-1&amp;"-"&amp;TEXT(YEAR($F946)-2000,"00")))</f>
        <v/>
      </c>
      <c r="J946" s="13" t="n">
        <v>32724</v>
      </c>
      <c r="K946" s="14">
        <f>IFERROR($L946/$J946,"")</f>
        <v/>
      </c>
      <c r="L946" s="13" t="n">
        <v>32724</v>
      </c>
      <c r="M946" s="13">
        <f>IFERROR($L946/$H946,"")</f>
        <v/>
      </c>
      <c r="N946" s="11" t="n">
        <v>45727</v>
      </c>
      <c r="O946" s="10">
        <f>IF($N946="","No","Yes")</f>
        <v/>
      </c>
      <c r="P946" s="12">
        <f>IF(OR($F946="",$G946=""),0,IF(AND($F946&lt;=README!$B$4,README!$B$4&lt;=$G946),1,0))</f>
        <v/>
      </c>
      <c r="Q946" s="12">
        <f>IF(OR($F946="",$G946=""),0,IF(AND($F946&lt;=DATE(README!$B$5,12,31),$G946&gt;=DATE(README!$B$5,1,1)),1,0))</f>
        <v/>
      </c>
      <c r="R946" s="10" t="inlineStr">
        <is>
          <t>GUT-VEH0016</t>
        </is>
      </c>
      <c r="S946" s="11" t="n">
        <v>46023</v>
      </c>
      <c r="T946" s="10" t="inlineStr">
        <is>
          <t>5</t>
        </is>
      </c>
      <c r="U946" s="10" t="inlineStr">
        <is>
          <t>VEHICLE</t>
        </is>
      </c>
      <c r="V946" s="10" t="inlineStr">
        <is>
          <t>T</t>
        </is>
      </c>
      <c r="W946" s="10" t="inlineStr">
        <is>
          <t>VIVEK B</t>
        </is>
      </c>
    </row>
    <row r="947">
      <c r="A947" s="10" t="inlineStr">
        <is>
          <t>TN58BR3636</t>
        </is>
      </c>
      <c r="B947" s="10" t="inlineStr">
        <is>
          <t>WOVEN</t>
        </is>
      </c>
      <c r="C947" s="10" t="inlineStr">
        <is>
          <t>ROAD TAX</t>
        </is>
      </c>
      <c r="D947" s="10" t="inlineStr">
        <is>
          <t>ROAD TAX</t>
        </is>
      </c>
      <c r="E947" s="10" t="inlineStr">
        <is>
          <t>YEARLY</t>
        </is>
      </c>
      <c r="F947" s="11" t="n">
        <v>45383</v>
      </c>
      <c r="G947" s="11" t="n">
        <v>45747</v>
      </c>
      <c r="H947" s="12">
        <f>IF(OR($F947="",$G947=""),"",$G947-$F947+1)</f>
        <v/>
      </c>
      <c r="I947" s="10">
        <f>IF($F947="","",IF(MONTH($F947)&gt;=4,YEAR($F947)&amp;"-"&amp;TEXT(YEAR($F947)+1-2000,"00"),YEAR($F947)-1&amp;"-"&amp;TEXT(YEAR($F947)-2000,"00")))</f>
        <v/>
      </c>
      <c r="J947" s="13" t="n">
        <v>32734</v>
      </c>
      <c r="K947" s="14">
        <f>IFERROR($L947/$J947,"")</f>
        <v/>
      </c>
      <c r="L947" s="13" t="n">
        <v>32734</v>
      </c>
      <c r="M947" s="13">
        <f>IFERROR($L947/$H947,"")</f>
        <v/>
      </c>
      <c r="N947" s="11" t="n">
        <v>45910</v>
      </c>
      <c r="O947" s="10">
        <f>IF($N947="","No","Yes")</f>
        <v/>
      </c>
      <c r="P947" s="12">
        <f>IF(OR($F947="",$G947=""),0,IF(AND($F947&lt;=README!$B$4,README!$B$4&lt;=$G947),1,0))</f>
        <v/>
      </c>
      <c r="Q947" s="12">
        <f>IF(OR($F947="",$G947=""),0,IF(AND($F947&lt;=DATE(README!$B$5,12,31),$G947&gt;=DATE(README!$B$5,1,1)),1,0))</f>
        <v/>
      </c>
      <c r="R947" s="10" t="inlineStr">
        <is>
          <t>GUT-VEH0016</t>
        </is>
      </c>
      <c r="S947" s="11" t="n">
        <v>46023</v>
      </c>
      <c r="T947" s="10" t="inlineStr">
        <is>
          <t>5</t>
        </is>
      </c>
      <c r="U947" s="10" t="inlineStr">
        <is>
          <t>VEHICLE</t>
        </is>
      </c>
      <c r="V947" s="10" t="inlineStr">
        <is>
          <t>T</t>
        </is>
      </c>
      <c r="W947" s="10" t="inlineStr">
        <is>
          <t>VIVEK B</t>
        </is>
      </c>
    </row>
    <row r="948">
      <c r="A948" s="10" t="inlineStr">
        <is>
          <t>TN58BR3636</t>
        </is>
      </c>
      <c r="B948" s="10" t="inlineStr">
        <is>
          <t>WOVEN</t>
        </is>
      </c>
      <c r="C948" s="10" t="inlineStr">
        <is>
          <t>ROAD TAX</t>
        </is>
      </c>
      <c r="D948" s="10" t="inlineStr">
        <is>
          <t>ROAD TAX</t>
        </is>
      </c>
      <c r="E948" s="10" t="inlineStr">
        <is>
          <t>YEARLY</t>
        </is>
      </c>
      <c r="F948" s="11" t="n">
        <v>45383</v>
      </c>
      <c r="G948" s="11" t="n">
        <v>45747</v>
      </c>
      <c r="H948" s="12">
        <f>IF(OR($F948="",$G948=""),"",$G948-$F948+1)</f>
        <v/>
      </c>
      <c r="I948" s="10">
        <f>IF($F948="","",IF(MONTH($F948)&gt;=4,YEAR($F948)&amp;"-"&amp;TEXT(YEAR($F948)+1-2000,"00"),YEAR($F948)-1&amp;"-"&amp;TEXT(YEAR($F948)-2000,"00")))</f>
        <v/>
      </c>
      <c r="J948" s="13" t="n">
        <v>32724</v>
      </c>
      <c r="K948" s="14">
        <f>IFERROR($L948/$J948,"")</f>
        <v/>
      </c>
      <c r="L948" s="13" t="n">
        <v>32724</v>
      </c>
      <c r="M948" s="13">
        <f>IFERROR($L948/$H948,"")</f>
        <v/>
      </c>
      <c r="N948" s="11" t="n">
        <v>45840</v>
      </c>
      <c r="O948" s="10">
        <f>IF($N948="","No","Yes")</f>
        <v/>
      </c>
      <c r="P948" s="12">
        <f>IF(OR($F948="",$G948=""),0,IF(AND($F948&lt;=README!$B$4,README!$B$4&lt;=$G948),1,0))</f>
        <v/>
      </c>
      <c r="Q948" s="12">
        <f>IF(OR($F948="",$G948=""),0,IF(AND($F948&lt;=DATE(README!$B$5,12,31),$G948&gt;=DATE(README!$B$5,1,1)),1,0))</f>
        <v/>
      </c>
      <c r="R948" s="10" t="inlineStr">
        <is>
          <t>GUT-VEH0016</t>
        </is>
      </c>
      <c r="S948" s="11" t="n">
        <v>46023</v>
      </c>
      <c r="T948" s="10" t="inlineStr">
        <is>
          <t>5</t>
        </is>
      </c>
      <c r="U948" s="10" t="inlineStr">
        <is>
          <t>VEHICLE</t>
        </is>
      </c>
      <c r="V948" s="10" t="inlineStr">
        <is>
          <t>T</t>
        </is>
      </c>
      <c r="W948" s="10" t="inlineStr">
        <is>
          <t>VIVEK B</t>
        </is>
      </c>
    </row>
    <row r="949">
      <c r="A949" s="10" t="inlineStr">
        <is>
          <t>TN58BR3636</t>
        </is>
      </c>
      <c r="B949" s="10" t="inlineStr">
        <is>
          <t>WOVEN</t>
        </is>
      </c>
      <c r="C949" s="10" t="inlineStr">
        <is>
          <t>ROAD TAX</t>
        </is>
      </c>
      <c r="D949" s="10" t="inlineStr">
        <is>
          <t>ROAD TAX</t>
        </is>
      </c>
      <c r="E949" s="10" t="inlineStr">
        <is>
          <t>YEARLY</t>
        </is>
      </c>
      <c r="F949" s="11" t="n">
        <v>45383</v>
      </c>
      <c r="G949" s="11" t="n">
        <v>45747</v>
      </c>
      <c r="H949" s="12">
        <f>IF(OR($F949="",$G949=""),"",$G949-$F949+1)</f>
        <v/>
      </c>
      <c r="I949" s="10">
        <f>IF($F949="","",IF(MONTH($F949)&gt;=4,YEAR($F949)&amp;"-"&amp;TEXT(YEAR($F949)+1-2000,"00"),YEAR($F949)-1&amp;"-"&amp;TEXT(YEAR($F949)-2000,"00")))</f>
        <v/>
      </c>
      <c r="J949" s="13" t="n">
        <v>32724</v>
      </c>
      <c r="K949" s="14">
        <f>IFERROR($L949/$J949,"")</f>
        <v/>
      </c>
      <c r="L949" s="13" t="n">
        <v>32724</v>
      </c>
      <c r="M949" s="13">
        <f>IFERROR($L949/$H949,"")</f>
        <v/>
      </c>
      <c r="N949" s="11" t="n">
        <v>45569</v>
      </c>
      <c r="O949" s="10">
        <f>IF($N949="","No","Yes")</f>
        <v/>
      </c>
      <c r="P949" s="12">
        <f>IF(OR($F949="",$G949=""),0,IF(AND($F949&lt;=README!$B$4,README!$B$4&lt;=$G949),1,0))</f>
        <v/>
      </c>
      <c r="Q949" s="12">
        <f>IF(OR($F949="",$G949=""),0,IF(AND($F949&lt;=DATE(README!$B$5,12,31),$G949&gt;=DATE(README!$B$5,1,1)),1,0))</f>
        <v/>
      </c>
      <c r="R949" s="10" t="inlineStr">
        <is>
          <t>GUT-VEH0011</t>
        </is>
      </c>
      <c r="S949" s="11" t="n">
        <v>45475</v>
      </c>
      <c r="T949" s="10" t="inlineStr">
        <is>
          <t>3</t>
        </is>
      </c>
      <c r="U949" s="10" t="inlineStr">
        <is>
          <t>VEHICLE</t>
        </is>
      </c>
      <c r="V949" s="10" t="inlineStr">
        <is>
          <t>T</t>
        </is>
      </c>
      <c r="W949" s="10" t="inlineStr">
        <is>
          <t>VIVEK B</t>
        </is>
      </c>
    </row>
    <row r="950">
      <c r="A950" s="10" t="inlineStr">
        <is>
          <t>TN58BR3636</t>
        </is>
      </c>
      <c r="B950" s="10" t="inlineStr">
        <is>
          <t>WOVEN</t>
        </is>
      </c>
      <c r="C950" s="10" t="inlineStr">
        <is>
          <t>ROAD TAX</t>
        </is>
      </c>
      <c r="D950" s="10" t="inlineStr">
        <is>
          <t>ROAD TAX</t>
        </is>
      </c>
      <c r="E950" s="10" t="inlineStr">
        <is>
          <t>YEARLY</t>
        </is>
      </c>
      <c r="F950" s="11" t="n">
        <v>45383</v>
      </c>
      <c r="G950" s="11" t="n">
        <v>45747</v>
      </c>
      <c r="H950" s="12">
        <f>IF(OR($F950="",$G950=""),"",$G950-$F950+1)</f>
        <v/>
      </c>
      <c r="I950" s="10">
        <f>IF($F950="","",IF(MONTH($F950)&gt;=4,YEAR($F950)&amp;"-"&amp;TEXT(YEAR($F950)+1-2000,"00"),YEAR($F950)-1&amp;"-"&amp;TEXT(YEAR($F950)-2000,"00")))</f>
        <v/>
      </c>
      <c r="J950" s="13" t="n">
        <v>32724</v>
      </c>
      <c r="K950" s="14">
        <f>IFERROR($L950/$J950,"")</f>
        <v/>
      </c>
      <c r="L950" s="13" t="n">
        <v>32724</v>
      </c>
      <c r="M950" s="13">
        <f>IFERROR($L950/$H950,"")</f>
        <v/>
      </c>
      <c r="N950" s="11" t="n">
        <v>45481</v>
      </c>
      <c r="O950" s="10">
        <f>IF($N950="","No","Yes")</f>
        <v/>
      </c>
      <c r="P950" s="12">
        <f>IF(OR($F950="",$G950=""),0,IF(AND($F950&lt;=README!$B$4,README!$B$4&lt;=$G950),1,0))</f>
        <v/>
      </c>
      <c r="Q950" s="12">
        <f>IF(OR($F950="",$G950=""),0,IF(AND($F950&lt;=DATE(README!$B$5,12,31),$G950&gt;=DATE(README!$B$5,1,1)),1,0))</f>
        <v/>
      </c>
      <c r="R950" s="10" t="inlineStr">
        <is>
          <t>GUT-VEH0011</t>
        </is>
      </c>
      <c r="S950" s="11" t="n">
        <v>45475</v>
      </c>
      <c r="T950" s="10" t="inlineStr">
        <is>
          <t>3</t>
        </is>
      </c>
      <c r="U950" s="10" t="inlineStr">
        <is>
          <t>VEHICLE</t>
        </is>
      </c>
      <c r="V950" s="10" t="inlineStr">
        <is>
          <t>T</t>
        </is>
      </c>
      <c r="W950" s="10" t="inlineStr">
        <is>
          <t>VIVEK B</t>
        </is>
      </c>
    </row>
    <row r="951">
      <c r="A951" s="10" t="inlineStr">
        <is>
          <t>TN58BR3636</t>
        </is>
      </c>
      <c r="B951" s="10" t="inlineStr">
        <is>
          <t>WOVEN</t>
        </is>
      </c>
      <c r="C951" s="10" t="inlineStr">
        <is>
          <t>ROAD TAX</t>
        </is>
      </c>
      <c r="D951" s="10" t="inlineStr">
        <is>
          <t>ROAD TAX</t>
        </is>
      </c>
      <c r="E951" s="10" t="inlineStr">
        <is>
          <t>YEARLY</t>
        </is>
      </c>
      <c r="F951" s="11" t="n">
        <v>45383</v>
      </c>
      <c r="G951" s="11" t="n">
        <v>45747</v>
      </c>
      <c r="H951" s="12">
        <f>IF(OR($F951="",$G951=""),"",$G951-$F951+1)</f>
        <v/>
      </c>
      <c r="I951" s="10">
        <f>IF($F951="","",IF(MONTH($F951)&gt;=4,YEAR($F951)&amp;"-"&amp;TEXT(YEAR($F951)+1-2000,"00"),YEAR($F951)-1&amp;"-"&amp;TEXT(YEAR($F951)-2000,"00")))</f>
        <v/>
      </c>
      <c r="J951" s="13" t="n">
        <v>32724</v>
      </c>
      <c r="K951" s="14">
        <f>IFERROR($L951/$J951,"")</f>
        <v/>
      </c>
      <c r="L951" s="13" t="n">
        <v>32724</v>
      </c>
      <c r="M951" s="13">
        <f>IFERROR($L951/$H951,"")</f>
        <v/>
      </c>
      <c r="N951" s="11" t="n">
        <v>45649</v>
      </c>
      <c r="O951" s="10">
        <f>IF($N951="","No","Yes")</f>
        <v/>
      </c>
      <c r="P951" s="12">
        <f>IF(OR($F951="",$G951=""),0,IF(AND($F951&lt;=README!$B$4,README!$B$4&lt;=$G951),1,0))</f>
        <v/>
      </c>
      <c r="Q951" s="12">
        <f>IF(OR($F951="",$G951=""),0,IF(AND($F951&lt;=DATE(README!$B$5,12,31),$G951&gt;=DATE(README!$B$5,1,1)),1,0))</f>
        <v/>
      </c>
      <c r="R951" s="10" t="inlineStr">
        <is>
          <t>GUT-VEH0011</t>
        </is>
      </c>
      <c r="S951" s="11" t="n">
        <v>45475</v>
      </c>
      <c r="T951" s="10" t="inlineStr">
        <is>
          <t>3</t>
        </is>
      </c>
      <c r="U951" s="10" t="inlineStr">
        <is>
          <t>VEHICLE</t>
        </is>
      </c>
      <c r="V951" s="10" t="inlineStr">
        <is>
          <t>T</t>
        </is>
      </c>
      <c r="W951" s="10" t="inlineStr">
        <is>
          <t>VIVEK B</t>
        </is>
      </c>
    </row>
    <row r="952">
      <c r="A952" s="10" t="inlineStr">
        <is>
          <t>TN58BR3636</t>
        </is>
      </c>
      <c r="B952" s="10" t="inlineStr">
        <is>
          <t>WOVEN</t>
        </is>
      </c>
      <c r="C952" s="10" t="inlineStr">
        <is>
          <t>RTO EXPENSE</t>
        </is>
      </c>
      <c r="D952" s="10" t="inlineStr">
        <is>
          <t>RTO EXPENSE</t>
        </is>
      </c>
      <c r="E952" s="10" t="inlineStr">
        <is>
          <t>YEARLY</t>
        </is>
      </c>
      <c r="F952" s="11" t="n">
        <v>45383</v>
      </c>
      <c r="G952" s="11" t="n">
        <v>45747</v>
      </c>
      <c r="H952" s="12">
        <f>IF(OR($F952="",$G952=""),"",$G952-$F952+1)</f>
        <v/>
      </c>
      <c r="I952" s="10">
        <f>IF($F952="","",IF(MONTH($F952)&gt;=4,YEAR($F952)&amp;"-"&amp;TEXT(YEAR($F952)+1-2000,"00"),YEAR($F952)-1&amp;"-"&amp;TEXT(YEAR($F952)-2000,"00")))</f>
        <v/>
      </c>
      <c r="J952" s="13" t="n">
        <v>12500</v>
      </c>
      <c r="K952" s="14">
        <f>IFERROR($L952/$J952,"")</f>
        <v/>
      </c>
      <c r="L952" s="13" t="n">
        <v>12500</v>
      </c>
      <c r="M952" s="13">
        <f>IFERROR($L952/$H952,"")</f>
        <v/>
      </c>
      <c r="N952" s="11" t="n">
        <v>45490</v>
      </c>
      <c r="O952" s="10">
        <f>IF($N952="","No","Yes")</f>
        <v/>
      </c>
      <c r="P952" s="12">
        <f>IF(OR($F952="",$G952=""),0,IF(AND($F952&lt;=README!$B$4,README!$B$4&lt;=$G952),1,0))</f>
        <v/>
      </c>
      <c r="Q952" s="12">
        <f>IF(OR($F952="",$G952=""),0,IF(AND($F952&lt;=DATE(README!$B$5,12,31),$G952&gt;=DATE(README!$B$5,1,1)),1,0))</f>
        <v/>
      </c>
      <c r="R952" s="10" t="inlineStr">
        <is>
          <t>GUT-VEH0010</t>
        </is>
      </c>
      <c r="S952" s="11" t="n">
        <v>45475</v>
      </c>
      <c r="T952" s="10" t="inlineStr">
        <is>
          <t>3</t>
        </is>
      </c>
      <c r="U952" s="10" t="inlineStr">
        <is>
          <t>VEHICLE</t>
        </is>
      </c>
      <c r="V952" s="10" t="inlineStr">
        <is>
          <t>T</t>
        </is>
      </c>
      <c r="W952" s="10" t="inlineStr">
        <is>
          <t>VIVEK B</t>
        </is>
      </c>
    </row>
    <row r="953">
      <c r="A953" s="10" t="inlineStr">
        <is>
          <t>TN58BR3636</t>
        </is>
      </c>
      <c r="B953" s="10" t="inlineStr">
        <is>
          <t>WOVEN</t>
        </is>
      </c>
      <c r="C953" s="10" t="inlineStr">
        <is>
          <t>TYRE</t>
        </is>
      </c>
      <c r="D953" s="10" t="inlineStr">
        <is>
          <t>TYRE</t>
        </is>
      </c>
      <c r="E953" s="10" t="inlineStr">
        <is>
          <t>YEARLY</t>
        </is>
      </c>
      <c r="F953" s="11" t="n">
        <v>45383</v>
      </c>
      <c r="G953" s="11" t="n">
        <v>45747</v>
      </c>
      <c r="H953" s="12">
        <f>IF(OR($F953="",$G953=""),"",$G953-$F953+1)</f>
        <v/>
      </c>
      <c r="I953" s="10">
        <f>IF($F953="","",IF(MONTH($F953)&gt;=4,YEAR($F953)&amp;"-"&amp;TEXT(YEAR($F953)+1-2000,"00"),YEAR($F953)-1&amp;"-"&amp;TEXT(YEAR($F953)-2000,"00")))</f>
        <v/>
      </c>
      <c r="J953" s="13" t="n">
        <v>30200</v>
      </c>
      <c r="K953" s="14">
        <f>IFERROR($L953/$J953,"")</f>
        <v/>
      </c>
      <c r="L953" s="13" t="n">
        <v>30200</v>
      </c>
      <c r="M953" s="13">
        <f>IFERROR($L953/$H953,"")</f>
        <v/>
      </c>
      <c r="N953" s="11" t="n">
        <v>45505</v>
      </c>
      <c r="O953" s="10">
        <f>IF($N953="","No","Yes")</f>
        <v/>
      </c>
      <c r="P953" s="12">
        <f>IF(OR($F953="",$G953=""),0,IF(AND($F953&lt;=README!$B$4,README!$B$4&lt;=$G953),1,0))</f>
        <v/>
      </c>
      <c r="Q953" s="12">
        <f>IF(OR($F953="",$G953=""),0,IF(AND($F953&lt;=DATE(README!$B$5,12,31),$G953&gt;=DATE(README!$B$5,1,1)),1,0))</f>
        <v/>
      </c>
      <c r="R953" s="10" t="inlineStr">
        <is>
          <t>GUT-VEH0006</t>
        </is>
      </c>
      <c r="S953" s="11" t="n">
        <v>45437</v>
      </c>
      <c r="T953" s="10" t="inlineStr">
        <is>
          <t>3</t>
        </is>
      </c>
      <c r="U953" s="10" t="inlineStr">
        <is>
          <t>VEHICLE</t>
        </is>
      </c>
      <c r="V953" s="10" t="inlineStr">
        <is>
          <t>T</t>
        </is>
      </c>
      <c r="W953" s="10" t="inlineStr">
        <is>
          <t>VIVEK B</t>
        </is>
      </c>
    </row>
    <row r="954">
      <c r="A954" s="10" t="inlineStr">
        <is>
          <t>TN58BR3636</t>
        </is>
      </c>
      <c r="B954" s="10" t="inlineStr">
        <is>
          <t>WOVEN</t>
        </is>
      </c>
      <c r="C954" s="10" t="inlineStr">
        <is>
          <t>VEHICLE INSURANCE</t>
        </is>
      </c>
      <c r="D954" s="10" t="inlineStr">
        <is>
          <t>VEHICLE INSURANCE</t>
        </is>
      </c>
      <c r="E954" s="10" t="inlineStr">
        <is>
          <t>YEARLY</t>
        </is>
      </c>
      <c r="F954" s="11" t="n">
        <v>45383</v>
      </c>
      <c r="G954" s="11" t="n">
        <v>45747</v>
      </c>
      <c r="H954" s="12">
        <f>IF(OR($F954="",$G954=""),"",$G954-$F954+1)</f>
        <v/>
      </c>
      <c r="I954" s="10">
        <f>IF($F954="","",IF(MONTH($F954)&gt;=4,YEAR($F954)&amp;"-"&amp;TEXT(YEAR($F954)+1-2000,"00"),YEAR($F954)-1&amp;"-"&amp;TEXT(YEAR($F954)-2000,"00")))</f>
        <v/>
      </c>
      <c r="J954" s="13" t="n">
        <v>81142</v>
      </c>
      <c r="K954" s="14">
        <f>IFERROR($L954/$J954,"")</f>
        <v/>
      </c>
      <c r="L954" s="13" t="n">
        <v>0</v>
      </c>
      <c r="M954" s="13">
        <f>IFERROR($L954/$H954,"")</f>
        <v/>
      </c>
      <c r="N954" s="11" t="n"/>
      <c r="O954" s="10">
        <f>IF($N954="","No","Yes")</f>
        <v/>
      </c>
      <c r="P954" s="12">
        <f>IF(OR($F954="",$G954=""),0,IF(AND($F954&lt;=README!$B$4,README!$B$4&lt;=$G954),1,0))</f>
        <v/>
      </c>
      <c r="Q954" s="12">
        <f>IF(OR($F954="",$G954=""),0,IF(AND($F954&lt;=DATE(README!$B$5,12,31),$G954&gt;=DATE(README!$B$5,1,1)),1,0))</f>
        <v/>
      </c>
      <c r="R954" s="10" t="inlineStr">
        <is>
          <t>GUT-VEH0012</t>
        </is>
      </c>
      <c r="S954" s="11" t="n">
        <v>45478</v>
      </c>
      <c r="T954" s="10" t="inlineStr">
        <is>
          <t>3</t>
        </is>
      </c>
      <c r="U954" s="10" t="inlineStr">
        <is>
          <t>VEHICLE</t>
        </is>
      </c>
      <c r="V954" s="10" t="inlineStr">
        <is>
          <t>T</t>
        </is>
      </c>
      <c r="W954" s="10" t="inlineStr">
        <is>
          <t>VIVEK B</t>
        </is>
      </c>
    </row>
    <row r="955">
      <c r="A955" s="10" t="inlineStr">
        <is>
          <t>TN58BR3636</t>
        </is>
      </c>
      <c r="B955" s="10" t="inlineStr">
        <is>
          <t>WOVEN</t>
        </is>
      </c>
      <c r="C955" s="10" t="inlineStr">
        <is>
          <t>VEHICLE OUTSIDE SERVICES</t>
        </is>
      </c>
      <c r="D955" s="10" t="inlineStr">
        <is>
          <t>GENERAL SERVICE</t>
        </is>
      </c>
      <c r="E955" s="10" t="inlineStr">
        <is>
          <t>YEARLY</t>
        </is>
      </c>
      <c r="F955" s="11" t="n">
        <v>45383</v>
      </c>
      <c r="G955" s="11" t="n">
        <v>45747</v>
      </c>
      <c r="H955" s="12">
        <f>IF(OR($F955="",$G955=""),"",$G955-$F955+1)</f>
        <v/>
      </c>
      <c r="I955" s="10">
        <f>IF($F955="","",IF(MONTH($F955)&gt;=4,YEAR($F955)&amp;"-"&amp;TEXT(YEAR($F955)+1-2000,"00"),YEAR($F955)-1&amp;"-"&amp;TEXT(YEAR($F955)-2000,"00")))</f>
        <v/>
      </c>
      <c r="J955" s="13" t="n">
        <v>40045.46</v>
      </c>
      <c r="K955" s="14">
        <f>IFERROR($L955/$J955,"")</f>
        <v/>
      </c>
      <c r="L955" s="13" t="n">
        <v>40045.46</v>
      </c>
      <c r="M955" s="13">
        <f>IFERROR($L955/$H955,"")</f>
        <v/>
      </c>
      <c r="N955" s="11" t="n">
        <v>45555</v>
      </c>
      <c r="O955" s="10">
        <f>IF($N955="","No","Yes")</f>
        <v/>
      </c>
      <c r="P955" s="12">
        <f>IF(OR($F955="",$G955=""),0,IF(AND($F955&lt;=README!$B$4,README!$B$4&lt;=$G955),1,0))</f>
        <v/>
      </c>
      <c r="Q955" s="12">
        <f>IF(OR($F955="",$G955=""),0,IF(AND($F955&lt;=DATE(README!$B$5,12,31),$G955&gt;=DATE(README!$B$5,1,1)),1,0))</f>
        <v/>
      </c>
      <c r="R955" s="10" t="inlineStr">
        <is>
          <t>GUT-VEH0013</t>
        </is>
      </c>
      <c r="S955" s="11" t="n">
        <v>45527</v>
      </c>
      <c r="T955" s="10" t="inlineStr">
        <is>
          <t>3</t>
        </is>
      </c>
      <c r="U955" s="10" t="inlineStr">
        <is>
          <t>VEHICLE</t>
        </is>
      </c>
      <c r="V955" s="10" t="inlineStr">
        <is>
          <t>T</t>
        </is>
      </c>
      <c r="W955" s="10" t="inlineStr">
        <is>
          <t>VIVEK B</t>
        </is>
      </c>
    </row>
    <row r="956">
      <c r="A956" s="10" t="inlineStr">
        <is>
          <t>TN58BR3636</t>
        </is>
      </c>
      <c r="B956" s="10" t="inlineStr">
        <is>
          <t>WOVEN</t>
        </is>
      </c>
      <c r="C956" s="10" t="inlineStr">
        <is>
          <t>VEHICLE INSURANCE</t>
        </is>
      </c>
      <c r="D956" s="10" t="inlineStr">
        <is>
          <t>VEHICLE INSURANCE</t>
        </is>
      </c>
      <c r="E956" s="10" t="inlineStr">
        <is>
          <t>YEARLY</t>
        </is>
      </c>
      <c r="F956" s="11" t="n">
        <v>45748</v>
      </c>
      <c r="G956" s="11" t="n">
        <v>46112</v>
      </c>
      <c r="H956" s="12">
        <f>IF(OR($F956="",$G956=""),"",$G956-$F956+1)</f>
        <v/>
      </c>
      <c r="I956" s="10">
        <f>IF($F956="","",IF(MONTH($F956)&gt;=4,YEAR($F956)&amp;"-"&amp;TEXT(YEAR($F956)+1-2000,"00"),YEAR($F956)-1&amp;"-"&amp;TEXT(YEAR($F956)-2000,"00")))</f>
        <v/>
      </c>
      <c r="J956" s="13" t="n">
        <v>79431</v>
      </c>
      <c r="K956" s="14">
        <f>IFERROR($L956/$J956,"")</f>
        <v/>
      </c>
      <c r="L956" s="13" t="n">
        <v>79431</v>
      </c>
      <c r="M956" s="13">
        <f>IFERROR($L956/$H956,"")</f>
        <v/>
      </c>
      <c r="N956" s="11" t="n">
        <v>45799</v>
      </c>
      <c r="O956" s="10">
        <f>IF($N956="","No","Yes")</f>
        <v/>
      </c>
      <c r="P956" s="12">
        <f>IF(OR($F956="",$G956=""),0,IF(AND($F956&lt;=README!$B$4,README!$B$4&lt;=$G956),1,0))</f>
        <v/>
      </c>
      <c r="Q956" s="12">
        <f>IF(OR($F956="",$G956=""),0,IF(AND($F956&lt;=DATE(README!$B$5,12,31),$G956&gt;=DATE(README!$B$5,1,1)),1,0))</f>
        <v/>
      </c>
      <c r="R956" s="10" t="inlineStr">
        <is>
          <t>GUT-VEH0019</t>
        </is>
      </c>
      <c r="S956" s="11" t="n">
        <v>45799</v>
      </c>
      <c r="T956" s="10" t="inlineStr">
        <is>
          <t>5</t>
        </is>
      </c>
      <c r="U956" s="10" t="inlineStr">
        <is>
          <t>VEHICLE</t>
        </is>
      </c>
      <c r="V956" s="10" t="inlineStr">
        <is>
          <t>T</t>
        </is>
      </c>
      <c r="W956" s="10" t="inlineStr">
        <is>
          <t>VIVEK B</t>
        </is>
      </c>
    </row>
    <row r="957">
      <c r="A957" s="10" t="inlineStr">
        <is>
          <t>TN58BR3636</t>
        </is>
      </c>
      <c r="B957" s="10" t="inlineStr"/>
      <c r="C957" s="10" t="inlineStr">
        <is>
          <t>VEHICLE OUTSIDE SERVICES</t>
        </is>
      </c>
      <c r="D957" s="10" t="inlineStr">
        <is>
          <t xml:space="preserve">MAINTENANCE SERVICE </t>
        </is>
      </c>
      <c r="E957" s="10" t="inlineStr">
        <is>
          <t>YEARLY</t>
        </is>
      </c>
      <c r="F957" s="11" t="n">
        <v>45748</v>
      </c>
      <c r="G957" s="11" t="n">
        <v>46112</v>
      </c>
      <c r="H957" s="12">
        <f>IF(OR($F957="",$G957=""),"",$G957-$F957+1)</f>
        <v/>
      </c>
      <c r="I957" s="10">
        <f>IF($F957="","",IF(MONTH($F957)&gt;=4,YEAR($F957)&amp;"-"&amp;TEXT(YEAR($F957)+1-2000,"00"),YEAR($F957)-1&amp;"-"&amp;TEXT(YEAR($F957)-2000,"00")))</f>
        <v/>
      </c>
      <c r="J957" s="13" t="n">
        <v>31530.47</v>
      </c>
      <c r="K957" s="14">
        <f>IFERROR($L957/$J957,"")</f>
        <v/>
      </c>
      <c r="L957" s="13" t="n">
        <v>31530.47</v>
      </c>
      <c r="M957" s="13">
        <f>IFERROR($L957/$H957,"")</f>
        <v/>
      </c>
      <c r="N957" s="11" t="n">
        <v>45966</v>
      </c>
      <c r="O957" s="10">
        <f>IF($N957="","No","Yes")</f>
        <v/>
      </c>
      <c r="P957" s="12">
        <f>IF(OR($F957="",$G957=""),0,IF(AND($F957&lt;=README!$B$4,README!$B$4&lt;=$G957),1,0))</f>
        <v/>
      </c>
      <c r="Q957" s="12">
        <f>IF(OR($F957="",$G957=""),0,IF(AND($F957&lt;=DATE(README!$B$5,12,31),$G957&gt;=DATE(README!$B$5,1,1)),1,0))</f>
        <v/>
      </c>
      <c r="R957" s="10" t="inlineStr">
        <is>
          <t>GUT-VEH0021</t>
        </is>
      </c>
      <c r="S957" s="11" t="n">
        <v>45812</v>
      </c>
      <c r="T957" s="10" t="inlineStr">
        <is>
          <t>5</t>
        </is>
      </c>
      <c r="U957" s="10" t="inlineStr">
        <is>
          <t>VEHICLE</t>
        </is>
      </c>
      <c r="V957" s="10" t="inlineStr">
        <is>
          <t>T</t>
        </is>
      </c>
      <c r="W957" s="10" t="inlineStr">
        <is>
          <t>VIVEK B</t>
        </is>
      </c>
    </row>
    <row r="958">
      <c r="A958" s="10" t="inlineStr">
        <is>
          <t>TN58BR3636</t>
        </is>
      </c>
      <c r="B958" s="10" t="inlineStr">
        <is>
          <t>WOVEN</t>
        </is>
      </c>
      <c r="C958" s="10" t="inlineStr">
        <is>
          <t>ROAD TAX</t>
        </is>
      </c>
      <c r="D958" s="10" t="inlineStr">
        <is>
          <t>ROAD TAX</t>
        </is>
      </c>
      <c r="E958" s="10" t="inlineStr">
        <is>
          <t>QUARTER - IV</t>
        </is>
      </c>
      <c r="F958" s="11" t="n">
        <v>46023</v>
      </c>
      <c r="G958" s="11" t="n">
        <v>46112</v>
      </c>
      <c r="H958" s="12">
        <f>IF(OR($F958="",$G958=""),"",$G958-$F958+1)</f>
        <v/>
      </c>
      <c r="I958" s="10">
        <f>IF($F958="","",IF(MONTH($F958)&gt;=4,YEAR($F958)&amp;"-"&amp;TEXT(YEAR($F958)+1-2000,"00"),YEAR($F958)-1&amp;"-"&amp;TEXT(YEAR($F958)-2000,"00")))</f>
        <v/>
      </c>
      <c r="J958" s="13" t="n">
        <v>32734</v>
      </c>
      <c r="K958" s="14">
        <f>IFERROR($L958/$J958,"")</f>
        <v/>
      </c>
      <c r="L958" s="13" t="n">
        <v>32734</v>
      </c>
      <c r="M958" s="13">
        <f>IFERROR($L958/$H958,"")</f>
        <v/>
      </c>
      <c r="N958" s="11" t="n">
        <v>46065</v>
      </c>
      <c r="O958" s="10">
        <f>IF($N958="","No","Yes")</f>
        <v/>
      </c>
      <c r="P958" s="12">
        <f>IF(OR($F958="",$G958=""),0,IF(AND($F958&lt;=README!$B$4,README!$B$4&lt;=$G958),1,0))</f>
        <v/>
      </c>
      <c r="Q958" s="12">
        <f>IF(OR($F958="",$G958=""),0,IF(AND($F958&lt;=DATE(README!$B$5,12,31),$G958&gt;=DATE(README!$B$5,1,1)),1,0))</f>
        <v/>
      </c>
      <c r="R958" s="10" t="inlineStr">
        <is>
          <t>GUT-VEH0016</t>
        </is>
      </c>
      <c r="S958" s="11" t="n">
        <v>46023</v>
      </c>
      <c r="T958" s="10" t="inlineStr">
        <is>
          <t>5</t>
        </is>
      </c>
      <c r="U958" s="10" t="inlineStr">
        <is>
          <t>VEHICLE</t>
        </is>
      </c>
      <c r="V958" s="10" t="inlineStr">
        <is>
          <t>T</t>
        </is>
      </c>
      <c r="W958" s="10" t="inlineStr">
        <is>
          <t>VIVEK B</t>
        </is>
      </c>
    </row>
    <row r="959">
      <c r="A959" s="10" t="inlineStr">
        <is>
          <t>TN58BR3636</t>
        </is>
      </c>
      <c r="B959" s="10" t="inlineStr">
        <is>
          <t>WOVEN</t>
        </is>
      </c>
      <c r="C959" s="10" t="inlineStr">
        <is>
          <t>TYRE</t>
        </is>
      </c>
      <c r="D959" s="10" t="inlineStr">
        <is>
          <t>TYRE</t>
        </is>
      </c>
      <c r="E959" s="10" t="inlineStr">
        <is>
          <t>FEBRUARY</t>
        </is>
      </c>
      <c r="F959" s="11" t="n">
        <v>46054</v>
      </c>
      <c r="G959" s="11" t="n">
        <v>46081</v>
      </c>
      <c r="H959" s="12">
        <f>IF(OR($F959="",$G959=""),"",$G959-$F959+1)</f>
        <v/>
      </c>
      <c r="I959" s="10">
        <f>IF($F959="","",IF(MONTH($F959)&gt;=4,YEAR($F959)&amp;"-"&amp;TEXT(YEAR($F959)+1-2000,"00"),YEAR($F959)-1&amp;"-"&amp;TEXT(YEAR($F959)-2000,"00")))</f>
        <v/>
      </c>
      <c r="J959" s="13" t="n">
        <v>30300</v>
      </c>
      <c r="K959" s="14">
        <f>IFERROR($L959/$J959,"")</f>
        <v/>
      </c>
      <c r="L959" s="13" t="n">
        <v>30300</v>
      </c>
      <c r="M959" s="13">
        <f>IFERROR($L959/$H959,"")</f>
        <v/>
      </c>
      <c r="N959" s="11" t="n">
        <v>46072</v>
      </c>
      <c r="O959" s="10">
        <f>IF($N959="","No","Yes")</f>
        <v/>
      </c>
      <c r="P959" s="12">
        <f>IF(OR($F959="",$G959=""),0,IF(AND($F959&lt;=README!$B$4,README!$B$4&lt;=$G959),1,0))</f>
        <v/>
      </c>
      <c r="Q959" s="12">
        <f>IF(OR($F959="",$G959=""),0,IF(AND($F959&lt;=DATE(README!$B$5,12,31),$G959&gt;=DATE(README!$B$5,1,1)),1,0))</f>
        <v/>
      </c>
      <c r="R959" s="10" t="inlineStr">
        <is>
          <t>GUT-VEH0026</t>
        </is>
      </c>
      <c r="S959" s="11" t="n">
        <v>45957</v>
      </c>
      <c r="T959" s="10" t="inlineStr">
        <is>
          <t>5</t>
        </is>
      </c>
      <c r="U959" s="10" t="inlineStr">
        <is>
          <t>VEHICLE</t>
        </is>
      </c>
      <c r="V959" s="10" t="inlineStr">
        <is>
          <t>T</t>
        </is>
      </c>
      <c r="W959" s="10" t="inlineStr">
        <is>
          <t>VIVEK B</t>
        </is>
      </c>
    </row>
    <row r="960">
      <c r="A960" s="10" t="inlineStr">
        <is>
          <t>TN58BR3636</t>
        </is>
      </c>
      <c r="B960" s="10" t="inlineStr">
        <is>
          <t>WOVEN</t>
        </is>
      </c>
      <c r="C960" s="10" t="inlineStr">
        <is>
          <t>ROAD TAX</t>
        </is>
      </c>
      <c r="D960" s="10" t="inlineStr">
        <is>
          <t>ROAD TAX</t>
        </is>
      </c>
      <c r="E960" s="10" t="inlineStr">
        <is>
          <t>QUARTER - I</t>
        </is>
      </c>
      <c r="F960" s="11" t="n">
        <v>46113</v>
      </c>
      <c r="G960" s="11" t="n">
        <v>46203</v>
      </c>
      <c r="H960" s="12">
        <f>IF(OR($F960="",$G960=""),"",$G960-$F960+1)</f>
        <v/>
      </c>
      <c r="I960" s="10">
        <f>IF($F960="","",IF(MONTH($F960)&gt;=4,YEAR($F960)&amp;"-"&amp;TEXT(YEAR($F960)+1-2000,"00"),YEAR($F960)-1&amp;"-"&amp;TEXT(YEAR($F960)-2000,"00")))</f>
        <v/>
      </c>
      <c r="J960" s="13" t="n">
        <v>32734</v>
      </c>
      <c r="K960" s="14">
        <f>IFERROR($L960/$J960,"")</f>
        <v/>
      </c>
      <c r="L960" s="13" t="n">
        <v>32734</v>
      </c>
      <c r="M960" s="13">
        <f>IFERROR($L960/$H960,"")</f>
        <v/>
      </c>
      <c r="N960" s="11" t="n">
        <v>46088</v>
      </c>
      <c r="O960" s="10">
        <f>IF($N960="","No","Yes")</f>
        <v/>
      </c>
      <c r="P960" s="12">
        <f>IF(OR($F960="",$G960=""),0,IF(AND($F960&lt;=README!$B$4,README!$B$4&lt;=$G960),1,0))</f>
        <v/>
      </c>
      <c r="Q960" s="12">
        <f>IF(OR($F960="",$G960=""),0,IF(AND($F960&lt;=DATE(README!$B$5,12,31),$G960&gt;=DATE(README!$B$5,1,1)),1,0))</f>
        <v/>
      </c>
      <c r="R960" s="10" t="inlineStr">
        <is>
          <t>GUT-VEH0029</t>
        </is>
      </c>
      <c r="S960" s="11" t="n">
        <v>46087</v>
      </c>
      <c r="T960" s="10" t="inlineStr">
        <is>
          <t>5</t>
        </is>
      </c>
      <c r="U960" s="10" t="inlineStr">
        <is>
          <t>VEHICLE</t>
        </is>
      </c>
      <c r="V960" s="10" t="inlineStr">
        <is>
          <t>T</t>
        </is>
      </c>
      <c r="W960" s="10" t="inlineStr">
        <is>
          <t>VIVEK B</t>
        </is>
      </c>
    </row>
    <row r="961">
      <c r="A961" s="10" t="inlineStr">
        <is>
          <t>TN58BR3636</t>
        </is>
      </c>
      <c r="B961" s="10" t="inlineStr">
        <is>
          <t>WOVEN</t>
        </is>
      </c>
      <c r="C961" s="10" t="inlineStr">
        <is>
          <t>VEHICLE INSURANCE</t>
        </is>
      </c>
      <c r="D961" s="10" t="inlineStr">
        <is>
          <t>VEHICLE INSURANCE</t>
        </is>
      </c>
      <c r="E961" s="10" t="inlineStr">
        <is>
          <t>YEARLY</t>
        </is>
      </c>
      <c r="F961" s="11" t="n">
        <v>46113</v>
      </c>
      <c r="G961" s="11" t="n">
        <v>46477</v>
      </c>
      <c r="H961" s="12">
        <f>IF(OR($F961="",$G961=""),"",$G961-$F961+1)</f>
        <v/>
      </c>
      <c r="I961" s="10">
        <f>IF($F961="","",IF(MONTH($F961)&gt;=4,YEAR($F961)&amp;"-"&amp;TEXT(YEAR($F961)+1-2000,"00"),YEAR($F961)-1&amp;"-"&amp;TEXT(YEAR($F961)-2000,"00")))</f>
        <v/>
      </c>
      <c r="J961" s="13" t="n">
        <v>78636</v>
      </c>
      <c r="K961" s="14">
        <f>IFERROR($L961/$J961,"")</f>
        <v/>
      </c>
      <c r="L961" s="13" t="n">
        <v>78636</v>
      </c>
      <c r="M961" s="13">
        <f>IFERROR($L961/$H961,"")</f>
        <v/>
      </c>
      <c r="N961" s="11" t="n">
        <v>46167</v>
      </c>
      <c r="O961" s="10">
        <f>IF($N961="","No","Yes")</f>
        <v/>
      </c>
      <c r="P961" s="12">
        <f>IF(OR($F961="",$G961=""),0,IF(AND($F961&lt;=README!$B$4,README!$B$4&lt;=$G961),1,0))</f>
        <v/>
      </c>
      <c r="Q961" s="12">
        <f>IF(OR($F961="",$G961=""),0,IF(AND($F961&lt;=DATE(README!$B$5,12,31),$G961&gt;=DATE(README!$B$5,1,1)),1,0))</f>
        <v/>
      </c>
      <c r="R961" s="10" t="inlineStr">
        <is>
          <t>GUT-VEH0035</t>
        </is>
      </c>
      <c r="S961" s="11" t="n">
        <v>46162</v>
      </c>
      <c r="T961" s="10" t="inlineStr">
        <is>
          <t>5</t>
        </is>
      </c>
      <c r="U961" s="10" t="inlineStr">
        <is>
          <t>VEHICLE</t>
        </is>
      </c>
      <c r="V961" s="10" t="inlineStr">
        <is>
          <t>T</t>
        </is>
      </c>
      <c r="W961" s="10" t="inlineStr">
        <is>
          <t>VIVEK B</t>
        </is>
      </c>
    </row>
    <row r="962">
      <c r="A962" s="10" t="inlineStr">
        <is>
          <t>TN58BR3636</t>
        </is>
      </c>
      <c r="B962" s="10" t="inlineStr">
        <is>
          <t>WOVEN</t>
        </is>
      </c>
      <c r="C962" s="10" t="inlineStr">
        <is>
          <t>ROAD TAX</t>
        </is>
      </c>
      <c r="D962" s="10" t="inlineStr">
        <is>
          <t>ROAD TAX</t>
        </is>
      </c>
      <c r="E962" s="10" t="inlineStr">
        <is>
          <t>QUARTER - II</t>
        </is>
      </c>
      <c r="F962" s="11" t="n">
        <v>46204</v>
      </c>
      <c r="G962" s="11" t="n">
        <v>46295</v>
      </c>
      <c r="H962" s="12">
        <f>IF(OR($F962="",$G962=""),"",$G962-$F962+1)</f>
        <v/>
      </c>
      <c r="I962" s="10">
        <f>IF($F962="","",IF(MONTH($F962)&gt;=4,YEAR($F962)&amp;"-"&amp;TEXT(YEAR($F962)+1-2000,"00"),YEAR($F962)-1&amp;"-"&amp;TEXT(YEAR($F962)-2000,"00")))</f>
        <v/>
      </c>
      <c r="J962" s="13" t="n">
        <v>32734</v>
      </c>
      <c r="K962" s="14">
        <f>IFERROR($L962/$J962,"")</f>
        <v/>
      </c>
      <c r="L962" s="13" t="n">
        <v>32734</v>
      </c>
      <c r="M962" s="13">
        <f>IFERROR($L962/$H962,"")</f>
        <v/>
      </c>
      <c r="N962" s="11" t="n">
        <v>46196</v>
      </c>
      <c r="O962" s="10">
        <f>IF($N962="","No","Yes")</f>
        <v/>
      </c>
      <c r="P962" s="12">
        <f>IF(OR($F962="",$G962=""),0,IF(AND($F962&lt;=README!$B$4,README!$B$4&lt;=$G962),1,0))</f>
        <v/>
      </c>
      <c r="Q962" s="12">
        <f>IF(OR($F962="",$G962=""),0,IF(AND($F962&lt;=DATE(README!$B$5,12,31),$G962&gt;=DATE(README!$B$5,1,1)),1,0))</f>
        <v/>
      </c>
      <c r="R962" s="10" t="inlineStr">
        <is>
          <t>GUT-VEH0038</t>
        </is>
      </c>
      <c r="S962" s="11" t="n">
        <v>46193</v>
      </c>
      <c r="T962" s="10" t="inlineStr">
        <is>
          <t>5</t>
        </is>
      </c>
      <c r="U962" s="10" t="inlineStr">
        <is>
          <t>VEHICLE</t>
        </is>
      </c>
      <c r="V962" s="10" t="inlineStr">
        <is>
          <t>T</t>
        </is>
      </c>
      <c r="W962" s="10" t="inlineStr">
        <is>
          <t>VIVEK B</t>
        </is>
      </c>
    </row>
    <row r="963">
      <c r="A963" s="10" t="inlineStr">
        <is>
          <t>TN58BS3434</t>
        </is>
      </c>
      <c r="B963" s="10" t="inlineStr">
        <is>
          <t>GENERAL</t>
        </is>
      </c>
      <c r="C963" s="10" t="inlineStr">
        <is>
          <t>VEHICLE OUTSIDE SERVICES</t>
        </is>
      </c>
      <c r="D963" s="10" t="inlineStr">
        <is>
          <t>GLASS STICKERS</t>
        </is>
      </c>
      <c r="E963" s="10" t="inlineStr">
        <is>
          <t>MARCH</t>
        </is>
      </c>
      <c r="F963" s="11" t="n">
        <v>46082</v>
      </c>
      <c r="G963" s="11" t="n">
        <v>46112</v>
      </c>
      <c r="H963" s="12">
        <f>IF(OR($F963="",$G963=""),"",$G963-$F963+1)</f>
        <v/>
      </c>
      <c r="I963" s="10">
        <f>IF($F963="","",IF(MONTH($F963)&gt;=4,YEAR($F963)&amp;"-"&amp;TEXT(YEAR($F963)+1-2000,"00"),YEAR($F963)-1&amp;"-"&amp;TEXT(YEAR($F963)-2000,"00")))</f>
        <v/>
      </c>
      <c r="J963" s="13" t="n">
        <v>4200</v>
      </c>
      <c r="K963" s="14">
        <f>IFERROR($L963/$J963,"")</f>
        <v/>
      </c>
      <c r="L963" s="13" t="n">
        <v>4200</v>
      </c>
      <c r="M963" s="13">
        <f>IFERROR($L963/$H963,"")</f>
        <v/>
      </c>
      <c r="N963" s="11" t="n">
        <v>46104</v>
      </c>
      <c r="O963" s="10">
        <f>IF($N963="","No","Yes")</f>
        <v/>
      </c>
      <c r="P963" s="12">
        <f>IF(OR($F963="",$G963=""),0,IF(AND($F963&lt;=README!$B$4,README!$B$4&lt;=$G963),1,0))</f>
        <v/>
      </c>
      <c r="Q963" s="12">
        <f>IF(OR($F963="",$G963=""),0,IF(AND($F963&lt;=DATE(README!$B$5,12,31),$G963&gt;=DATE(README!$B$5,1,1)),1,0))</f>
        <v/>
      </c>
      <c r="R963" s="10" t="inlineStr">
        <is>
          <t>GUP-VEH0019</t>
        </is>
      </c>
      <c r="S963" s="11" t="n">
        <v>45777</v>
      </c>
      <c r="T963" s="10" t="inlineStr">
        <is>
          <t>638</t>
        </is>
      </c>
      <c r="U963" s="10" t="inlineStr">
        <is>
          <t>VEHICLE</t>
        </is>
      </c>
      <c r="V963" s="10" t="inlineStr">
        <is>
          <t>T</t>
        </is>
      </c>
      <c r="W963" s="10" t="inlineStr">
        <is>
          <t>VIVEK B</t>
        </is>
      </c>
    </row>
    <row r="964">
      <c r="A964" s="10" t="inlineStr">
        <is>
          <t>TN58BS3434</t>
        </is>
      </c>
      <c r="B964" s="10" t="inlineStr">
        <is>
          <t>SOCKS</t>
        </is>
      </c>
      <c r="C964" s="10" t="inlineStr">
        <is>
          <t>ROAD TAX</t>
        </is>
      </c>
      <c r="D964" s="10" t="inlineStr">
        <is>
          <t>ROAD TAX</t>
        </is>
      </c>
      <c r="E964" s="10" t="inlineStr">
        <is>
          <t>QUARTER - I</t>
        </is>
      </c>
      <c r="F964" s="11" t="n">
        <v>46113</v>
      </c>
      <c r="G964" s="11" t="n">
        <v>46203</v>
      </c>
      <c r="H964" s="12">
        <f>IF(OR($F964="",$G964=""),"",$G964-$F964+1)</f>
        <v/>
      </c>
      <c r="I964" s="10">
        <f>IF($F964="","",IF(MONTH($F964)&gt;=4,YEAR($F964)&amp;"-"&amp;TEXT(YEAR($F964)+1-2000,"00"),YEAR($F964)-1&amp;"-"&amp;TEXT(YEAR($F964)-2000,"00")))</f>
        <v/>
      </c>
      <c r="J964" s="13" t="n">
        <v>32734</v>
      </c>
      <c r="K964" s="14">
        <f>IFERROR($L964/$J964,"")</f>
        <v/>
      </c>
      <c r="L964" s="13" t="n">
        <v>32734</v>
      </c>
      <c r="M964" s="13">
        <f>IFERROR($L964/$H964,"")</f>
        <v/>
      </c>
      <c r="N964" s="11" t="n">
        <v>46088</v>
      </c>
      <c r="O964" s="10">
        <f>IF($N964="","No","Yes")</f>
        <v/>
      </c>
      <c r="P964" s="12">
        <f>IF(OR($F964="",$G964=""),0,IF(AND($F964&lt;=README!$B$4,README!$B$4&lt;=$G964),1,0))</f>
        <v/>
      </c>
      <c r="Q964" s="12">
        <f>IF(OR($F964="",$G964=""),0,IF(AND($F964&lt;=DATE(README!$B$5,12,31),$G964&gt;=DATE(README!$B$5,1,1)),1,0))</f>
        <v/>
      </c>
      <c r="R964" s="10" t="inlineStr">
        <is>
          <t>GUP-VEH0030</t>
        </is>
      </c>
      <c r="S964" s="11" t="n">
        <v>46113</v>
      </c>
      <c r="T964" s="10" t="inlineStr">
        <is>
          <t>796</t>
        </is>
      </c>
      <c r="U964" s="10" t="inlineStr">
        <is>
          <t>VEHICLE</t>
        </is>
      </c>
      <c r="V964" s="10" t="inlineStr">
        <is>
          <t>T</t>
        </is>
      </c>
      <c r="W964" s="10" t="inlineStr">
        <is>
          <t>VIVEK B</t>
        </is>
      </c>
    </row>
    <row r="965">
      <c r="A965" s="10" t="inlineStr">
        <is>
          <t>TN58BS3434</t>
        </is>
      </c>
      <c r="B965" s="10" t="inlineStr">
        <is>
          <t>SOCKS</t>
        </is>
      </c>
      <c r="C965" s="10" t="inlineStr">
        <is>
          <t>ROAD TAX</t>
        </is>
      </c>
      <c r="D965" s="10" t="inlineStr">
        <is>
          <t>ROAD TAX</t>
        </is>
      </c>
      <c r="E965" s="10" t="inlineStr">
        <is>
          <t>QUARTER - II</t>
        </is>
      </c>
      <c r="F965" s="11" t="n">
        <v>46204</v>
      </c>
      <c r="G965" s="11" t="n">
        <v>46295</v>
      </c>
      <c r="H965" s="12">
        <f>IF(OR($F965="",$G965=""),"",$G965-$F965+1)</f>
        <v/>
      </c>
      <c r="I965" s="10">
        <f>IF($F965="","",IF(MONTH($F965)&gt;=4,YEAR($F965)&amp;"-"&amp;TEXT(YEAR($F965)+1-2000,"00"),YEAR($F965)-1&amp;"-"&amp;TEXT(YEAR($F965)-2000,"00")))</f>
        <v/>
      </c>
      <c r="J965" s="13" t="n">
        <v>32734</v>
      </c>
      <c r="K965" s="14">
        <f>IFERROR($L965/$J965,"")</f>
        <v/>
      </c>
      <c r="L965" s="13" t="n">
        <v>32734</v>
      </c>
      <c r="M965" s="13">
        <f>IFERROR($L965/$H965,"")</f>
        <v/>
      </c>
      <c r="N965" s="11" t="n">
        <v>46196</v>
      </c>
      <c r="O965" s="10">
        <f>IF($N965="","No","Yes")</f>
        <v/>
      </c>
      <c r="P965" s="12">
        <f>IF(OR($F965="",$G965=""),0,IF(AND($F965&lt;=README!$B$4,README!$B$4&lt;=$G965),1,0))</f>
        <v/>
      </c>
      <c r="Q965" s="12">
        <f>IF(OR($F965="",$G965=""),0,IF(AND($F965&lt;=DATE(README!$B$5,12,31),$G965&gt;=DATE(README!$B$5,1,1)),1,0))</f>
        <v/>
      </c>
      <c r="R965" s="10" t="inlineStr">
        <is>
          <t>GUP-VEH0030</t>
        </is>
      </c>
      <c r="S965" s="11" t="n">
        <v>46113</v>
      </c>
      <c r="T965" s="10" t="inlineStr">
        <is>
          <t>796</t>
        </is>
      </c>
      <c r="U965" s="10" t="inlineStr">
        <is>
          <t>VEHICLE</t>
        </is>
      </c>
      <c r="V965" s="10" t="inlineStr">
        <is>
          <t>T</t>
        </is>
      </c>
      <c r="W965" s="10" t="inlineStr">
        <is>
          <t>VIVEK B</t>
        </is>
      </c>
    </row>
    <row r="966">
      <c r="A966" s="10" t="inlineStr">
        <is>
          <t>TN58BS3636</t>
        </is>
      </c>
      <c r="B966" s="10" t="inlineStr">
        <is>
          <t>SOCKS</t>
        </is>
      </c>
      <c r="C966" s="10" t="inlineStr">
        <is>
          <t>TYRE</t>
        </is>
      </c>
      <c r="D966" s="10" t="inlineStr">
        <is>
          <t>TYRE</t>
        </is>
      </c>
      <c r="E966" s="10" t="inlineStr">
        <is>
          <t>YEARLY</t>
        </is>
      </c>
      <c r="F966" s="11" t="n">
        <v>45383</v>
      </c>
      <c r="G966" s="11" t="n">
        <v>45747</v>
      </c>
      <c r="H966" s="12">
        <f>IF(OR($F966="",$G966=""),"",$G966-$F966+1)</f>
        <v/>
      </c>
      <c r="I966" s="10">
        <f>IF($F966="","",IF(MONTH($F966)&gt;=4,YEAR($F966)&amp;"-"&amp;TEXT(YEAR($F966)+1-2000,"00"),YEAR($F966)-1&amp;"-"&amp;TEXT(YEAR($F966)-2000,"00")))</f>
        <v/>
      </c>
      <c r="J966" s="13" t="n">
        <v>12400</v>
      </c>
      <c r="K966" s="14">
        <f>IFERROR($L966/$J966,"")</f>
        <v/>
      </c>
      <c r="L966" s="13" t="n">
        <v>49600</v>
      </c>
      <c r="M966" s="13">
        <f>IFERROR($L966/$H966,"")</f>
        <v/>
      </c>
      <c r="N966" s="11" t="n">
        <v>45609</v>
      </c>
      <c r="O966" s="10">
        <f>IF($N966="","No","Yes")</f>
        <v/>
      </c>
      <c r="P966" s="12">
        <f>IF(OR($F966="",$G966=""),0,IF(AND($F966&lt;=README!$B$4,README!$B$4&lt;=$G966),1,0))</f>
        <v/>
      </c>
      <c r="Q966" s="12">
        <f>IF(OR($F966="",$G966=""),0,IF(AND($F966&lt;=DATE(README!$B$5,12,31),$G966&gt;=DATE(README!$B$5,1,1)),1,0))</f>
        <v/>
      </c>
      <c r="R966" s="10" t="inlineStr">
        <is>
          <t>GUP-VEH0006</t>
        </is>
      </c>
      <c r="S966" s="11" t="n">
        <v>45442</v>
      </c>
      <c r="T966" s="10" t="inlineStr">
        <is>
          <t>522</t>
        </is>
      </c>
      <c r="U966" s="10" t="inlineStr">
        <is>
          <t>VEHICLE</t>
        </is>
      </c>
      <c r="V966" s="10" t="inlineStr">
        <is>
          <t>T</t>
        </is>
      </c>
      <c r="W966" s="10" t="inlineStr">
        <is>
          <t>VIVEK B</t>
        </is>
      </c>
    </row>
    <row r="967">
      <c r="A967" s="10" t="inlineStr">
        <is>
          <t>TN58BS3636</t>
        </is>
      </c>
      <c r="B967" s="10" t="inlineStr">
        <is>
          <t>SOCKS</t>
        </is>
      </c>
      <c r="C967" s="10" t="inlineStr">
        <is>
          <t>VEHICLE INSURANCE</t>
        </is>
      </c>
      <c r="D967" s="10" t="inlineStr">
        <is>
          <t>VEHICLE INSURANCE</t>
        </is>
      </c>
      <c r="E967" s="10" t="inlineStr">
        <is>
          <t>YEARLY</t>
        </is>
      </c>
      <c r="F967" s="11" t="n">
        <v>45383</v>
      </c>
      <c r="G967" s="11" t="n">
        <v>45747</v>
      </c>
      <c r="H967" s="12">
        <f>IF(OR($F967="",$G967=""),"",$G967-$F967+1)</f>
        <v/>
      </c>
      <c r="I967" s="10">
        <f>IF($F967="","",IF(MONTH($F967)&gt;=4,YEAR($F967)&amp;"-"&amp;TEXT(YEAR($F967)+1-2000,"00"),YEAR($F967)-1&amp;"-"&amp;TEXT(YEAR($F967)-2000,"00")))</f>
        <v/>
      </c>
      <c r="J967" s="13" t="n">
        <v>61343</v>
      </c>
      <c r="K967" s="14">
        <f>IFERROR($L967/$J967,"")</f>
        <v/>
      </c>
      <c r="L967" s="13" t="n">
        <v>0</v>
      </c>
      <c r="M967" s="13">
        <f>IFERROR($L967/$H967,"")</f>
        <v/>
      </c>
      <c r="N967" s="11" t="n"/>
      <c r="O967" s="10">
        <f>IF($N967="","No","Yes")</f>
        <v/>
      </c>
      <c r="P967" s="12">
        <f>IF(OR($F967="",$G967=""),0,IF(AND($F967&lt;=README!$B$4,README!$B$4&lt;=$G967),1,0))</f>
        <v/>
      </c>
      <c r="Q967" s="12">
        <f>IF(OR($F967="",$G967=""),0,IF(AND($F967&lt;=DATE(README!$B$5,12,31),$G967&gt;=DATE(README!$B$5,1,1)),1,0))</f>
        <v/>
      </c>
      <c r="R967" s="10" t="inlineStr">
        <is>
          <t>GUP-VEH0013</t>
        </is>
      </c>
      <c r="S967" s="11" t="n">
        <v>45478</v>
      </c>
      <c r="T967" s="10" t="inlineStr">
        <is>
          <t>550</t>
        </is>
      </c>
      <c r="U967" s="10" t="inlineStr">
        <is>
          <t>VEHICLE</t>
        </is>
      </c>
      <c r="V967" s="10" t="inlineStr">
        <is>
          <t>T</t>
        </is>
      </c>
      <c r="W967" s="10" t="inlineStr">
        <is>
          <t>VIVEK B</t>
        </is>
      </c>
    </row>
    <row r="968">
      <c r="A968" s="10" t="inlineStr">
        <is>
          <t>TN58BS3636</t>
        </is>
      </c>
      <c r="B968" s="10" t="inlineStr">
        <is>
          <t>SOCKS</t>
        </is>
      </c>
      <c r="C968" s="10" t="inlineStr">
        <is>
          <t>VEHICLE OUTSIDE SERVICES</t>
        </is>
      </c>
      <c r="D968" s="10" t="inlineStr">
        <is>
          <t>MAINTENANCE CHARGES</t>
        </is>
      </c>
      <c r="E968" s="10" t="inlineStr">
        <is>
          <t>YEARLY</t>
        </is>
      </c>
      <c r="F968" s="11" t="n">
        <v>45383</v>
      </c>
      <c r="G968" s="11" t="n">
        <v>45747</v>
      </c>
      <c r="H968" s="12">
        <f>IF(OR($F968="",$G968=""),"",$G968-$F968+1)</f>
        <v/>
      </c>
      <c r="I968" s="10">
        <f>IF($F968="","",IF(MONTH($F968)&gt;=4,YEAR($F968)&amp;"-"&amp;TEXT(YEAR($F968)+1-2000,"00"),YEAR($F968)-1&amp;"-"&amp;TEXT(YEAR($F968)-2000,"00")))</f>
        <v/>
      </c>
      <c r="J968" s="13" t="n">
        <v>28854</v>
      </c>
      <c r="K968" s="14">
        <f>IFERROR($L968/$J968,"")</f>
        <v/>
      </c>
      <c r="L968" s="13" t="n">
        <v>28854</v>
      </c>
      <c r="M968" s="13">
        <f>IFERROR($L968/$H968,"")</f>
        <v/>
      </c>
      <c r="N968" s="11" t="n">
        <v>45530</v>
      </c>
      <c r="O968" s="10">
        <f>IF($N968="","No","Yes")</f>
        <v/>
      </c>
      <c r="P968" s="12">
        <f>IF(OR($F968="",$G968=""),0,IF(AND($F968&lt;=README!$B$4,README!$B$4&lt;=$G968),1,0))</f>
        <v/>
      </c>
      <c r="Q968" s="12">
        <f>IF(OR($F968="",$G968=""),0,IF(AND($F968&lt;=DATE(README!$B$5,12,31),$G968&gt;=DATE(README!$B$5,1,1)),1,0))</f>
        <v/>
      </c>
      <c r="R968" s="10" t="inlineStr">
        <is>
          <t>GUP-VEH0012</t>
        </is>
      </c>
      <c r="S968" s="11" t="n">
        <v>45477</v>
      </c>
      <c r="T968" s="10" t="inlineStr">
        <is>
          <t>549</t>
        </is>
      </c>
      <c r="U968" s="10" t="inlineStr">
        <is>
          <t>VEHICLE</t>
        </is>
      </c>
      <c r="V968" s="10" t="inlineStr">
        <is>
          <t>T</t>
        </is>
      </c>
      <c r="W968" s="10" t="inlineStr">
        <is>
          <t>VIVEK B</t>
        </is>
      </c>
    </row>
    <row r="969">
      <c r="A969" s="10" t="inlineStr">
        <is>
          <t>TN58BS3636</t>
        </is>
      </c>
      <c r="B969" s="10" t="inlineStr">
        <is>
          <t>SOCKS</t>
        </is>
      </c>
      <c r="C969" s="10" t="inlineStr">
        <is>
          <t>VEHICLE OUTSIDE SERVICES</t>
        </is>
      </c>
      <c r="D969" s="10" t="inlineStr">
        <is>
          <t>MAINTENANCE SERVICE - 4</t>
        </is>
      </c>
      <c r="E969" s="10" t="inlineStr">
        <is>
          <t>YEARLY</t>
        </is>
      </c>
      <c r="F969" s="11" t="n">
        <v>45383</v>
      </c>
      <c r="G969" s="11" t="n">
        <v>45747</v>
      </c>
      <c r="H969" s="12">
        <f>IF(OR($F969="",$G969=""),"",$G969-$F969+1)</f>
        <v/>
      </c>
      <c r="I969" s="10">
        <f>IF($F969="","",IF(MONTH($F969)&gt;=4,YEAR($F969)&amp;"-"&amp;TEXT(YEAR($F969)+1-2000,"00"),YEAR($F969)-1&amp;"-"&amp;TEXT(YEAR($F969)-2000,"00")))</f>
        <v/>
      </c>
      <c r="J969" s="13" t="n">
        <v>24010</v>
      </c>
      <c r="K969" s="14">
        <f>IFERROR($L969/$J969,"")</f>
        <v/>
      </c>
      <c r="L969" s="13" t="n">
        <v>24010</v>
      </c>
      <c r="M969" s="13">
        <f>IFERROR($L969/$H969,"")</f>
        <v/>
      </c>
      <c r="N969" s="11" t="n">
        <v>45743</v>
      </c>
      <c r="O969" s="10">
        <f>IF($N969="","No","Yes")</f>
        <v/>
      </c>
      <c r="P969" s="12">
        <f>IF(OR($F969="",$G969=""),0,IF(AND($F969&lt;=README!$B$4,README!$B$4&lt;=$G969),1,0))</f>
        <v/>
      </c>
      <c r="Q969" s="12">
        <f>IF(OR($F969="",$G969=""),0,IF(AND($F969&lt;=DATE(README!$B$5,12,31),$G969&gt;=DATE(README!$B$5,1,1)),1,0))</f>
        <v/>
      </c>
      <c r="R969" s="10" t="inlineStr">
        <is>
          <t>GUP-VEH0012</t>
        </is>
      </c>
      <c r="S969" s="11" t="n">
        <v>45477</v>
      </c>
      <c r="T969" s="10" t="inlineStr">
        <is>
          <t>549</t>
        </is>
      </c>
      <c r="U969" s="10" t="inlineStr">
        <is>
          <t>VEHICLE</t>
        </is>
      </c>
      <c r="V969" s="10" t="inlineStr">
        <is>
          <t>T</t>
        </is>
      </c>
      <c r="W969" s="10" t="inlineStr">
        <is>
          <t>VIVEK B</t>
        </is>
      </c>
    </row>
    <row r="970">
      <c r="A970" s="10" t="inlineStr">
        <is>
          <t>TN58BS3636</t>
        </is>
      </c>
      <c r="B970" s="10" t="inlineStr">
        <is>
          <t>SOCKS</t>
        </is>
      </c>
      <c r="C970" s="10" t="inlineStr">
        <is>
          <t>VEHICLE OUTSIDE SERVICES</t>
        </is>
      </c>
      <c r="D970" s="10" t="inlineStr">
        <is>
          <t>MAINTENANCE SERVICE - 3</t>
        </is>
      </c>
      <c r="E970" s="10" t="inlineStr">
        <is>
          <t>YEARLY</t>
        </is>
      </c>
      <c r="F970" s="11" t="n">
        <v>45383</v>
      </c>
      <c r="G970" s="11" t="n">
        <v>45747</v>
      </c>
      <c r="H970" s="12">
        <f>IF(OR($F970="",$G970=""),"",$G970-$F970+1)</f>
        <v/>
      </c>
      <c r="I970" s="10">
        <f>IF($F970="","",IF(MONTH($F970)&gt;=4,YEAR($F970)&amp;"-"&amp;TEXT(YEAR($F970)+1-2000,"00"),YEAR($F970)-1&amp;"-"&amp;TEXT(YEAR($F970)-2000,"00")))</f>
        <v/>
      </c>
      <c r="J970" s="13" t="n">
        <v>29017</v>
      </c>
      <c r="K970" s="14">
        <f>IFERROR($L970/$J970,"")</f>
        <v/>
      </c>
      <c r="L970" s="13" t="n">
        <v>29017</v>
      </c>
      <c r="M970" s="13">
        <f>IFERROR($L970/$H970,"")</f>
        <v/>
      </c>
      <c r="N970" s="11" t="n">
        <v>45652</v>
      </c>
      <c r="O970" s="10">
        <f>IF($N970="","No","Yes")</f>
        <v/>
      </c>
      <c r="P970" s="12">
        <f>IF(OR($F970="",$G970=""),0,IF(AND($F970&lt;=README!$B$4,README!$B$4&lt;=$G970),1,0))</f>
        <v/>
      </c>
      <c r="Q970" s="12">
        <f>IF(OR($F970="",$G970=""),0,IF(AND($F970&lt;=DATE(README!$B$5,12,31),$G970&gt;=DATE(README!$B$5,1,1)),1,0))</f>
        <v/>
      </c>
      <c r="R970" s="10" t="inlineStr">
        <is>
          <t>GUP-VEH0012</t>
        </is>
      </c>
      <c r="S970" s="11" t="n">
        <v>45477</v>
      </c>
      <c r="T970" s="10" t="inlineStr">
        <is>
          <t>549</t>
        </is>
      </c>
      <c r="U970" s="10" t="inlineStr">
        <is>
          <t>VEHICLE</t>
        </is>
      </c>
      <c r="V970" s="10" t="inlineStr">
        <is>
          <t>T</t>
        </is>
      </c>
      <c r="W970" s="10" t="inlineStr">
        <is>
          <t>VIVEK B</t>
        </is>
      </c>
    </row>
    <row r="971">
      <c r="A971" s="10" t="inlineStr">
        <is>
          <t>TN58BS3636</t>
        </is>
      </c>
      <c r="B971" s="10" t="inlineStr">
        <is>
          <t>SOCKS</t>
        </is>
      </c>
      <c r="C971" s="10" t="inlineStr">
        <is>
          <t>VEHICLE OUTSIDE SERVICES</t>
        </is>
      </c>
      <c r="D971" s="10" t="inlineStr">
        <is>
          <t>MAINTENANCE SERVICE - 2</t>
        </is>
      </c>
      <c r="E971" s="10" t="inlineStr">
        <is>
          <t>YEARLY</t>
        </is>
      </c>
      <c r="F971" s="11" t="n">
        <v>45383</v>
      </c>
      <c r="G971" s="11" t="n">
        <v>45747</v>
      </c>
      <c r="H971" s="12">
        <f>IF(OR($F971="",$G971=""),"",$G971-$F971+1)</f>
        <v/>
      </c>
      <c r="I971" s="10">
        <f>IF($F971="","",IF(MONTH($F971)&gt;=4,YEAR($F971)&amp;"-"&amp;TEXT(YEAR($F971)+1-2000,"00"),YEAR($F971)-1&amp;"-"&amp;TEXT(YEAR($F971)-2000,"00")))</f>
        <v/>
      </c>
      <c r="J971" s="13" t="n">
        <v>64123</v>
      </c>
      <c r="K971" s="14">
        <f>IFERROR($L971/$J971,"")</f>
        <v/>
      </c>
      <c r="L971" s="13" t="n">
        <v>64123</v>
      </c>
      <c r="M971" s="13">
        <f>IFERROR($L971/$H971,"")</f>
        <v/>
      </c>
      <c r="N971" s="11" t="n">
        <v>45583</v>
      </c>
      <c r="O971" s="10">
        <f>IF($N971="","No","Yes")</f>
        <v/>
      </c>
      <c r="P971" s="12">
        <f>IF(OR($F971="",$G971=""),0,IF(AND($F971&lt;=README!$B$4,README!$B$4&lt;=$G971),1,0))</f>
        <v/>
      </c>
      <c r="Q971" s="12">
        <f>IF(OR($F971="",$G971=""),0,IF(AND($F971&lt;=DATE(README!$B$5,12,31),$G971&gt;=DATE(README!$B$5,1,1)),1,0))</f>
        <v/>
      </c>
      <c r="R971" s="10" t="inlineStr">
        <is>
          <t>GUP-VEH0012</t>
        </is>
      </c>
      <c r="S971" s="11" t="n">
        <v>45477</v>
      </c>
      <c r="T971" s="10" t="inlineStr">
        <is>
          <t>549</t>
        </is>
      </c>
      <c r="U971" s="10" t="inlineStr">
        <is>
          <t>VEHICLE</t>
        </is>
      </c>
      <c r="V971" s="10" t="inlineStr">
        <is>
          <t>T</t>
        </is>
      </c>
      <c r="W971" s="10" t="inlineStr">
        <is>
          <t>VIVEK B</t>
        </is>
      </c>
    </row>
    <row r="972">
      <c r="A972" s="10" t="inlineStr">
        <is>
          <t>TN58BS3636</t>
        </is>
      </c>
      <c r="B972" s="10" t="inlineStr">
        <is>
          <t>SOCKS</t>
        </is>
      </c>
      <c r="C972" s="10" t="inlineStr">
        <is>
          <t>TYRE</t>
        </is>
      </c>
      <c r="D972" s="10" t="inlineStr">
        <is>
          <t>TYRE</t>
        </is>
      </c>
      <c r="E972" s="10" t="inlineStr">
        <is>
          <t>YEARLY</t>
        </is>
      </c>
      <c r="F972" s="11" t="n">
        <v>45748</v>
      </c>
      <c r="G972" s="11" t="n">
        <v>46112</v>
      </c>
      <c r="H972" s="12">
        <f>IF(OR($F972="",$G972=""),"",$G972-$F972+1)</f>
        <v/>
      </c>
      <c r="I972" s="10">
        <f>IF($F972="","",IF(MONTH($F972)&gt;=4,YEAR($F972)&amp;"-"&amp;TEXT(YEAR($F972)+1-2000,"00"),YEAR($F972)-1&amp;"-"&amp;TEXT(YEAR($F972)-2000,"00")))</f>
        <v/>
      </c>
      <c r="J972" s="13" t="n">
        <v>10550</v>
      </c>
      <c r="K972" s="14">
        <f>IFERROR($L972/$J972,"")</f>
        <v/>
      </c>
      <c r="L972" s="13" t="n">
        <v>42200</v>
      </c>
      <c r="M972" s="13">
        <f>IFERROR($L972/$H972,"")</f>
        <v/>
      </c>
      <c r="N972" s="11" t="n">
        <v>45965</v>
      </c>
      <c r="O972" s="10">
        <f>IF($N972="","No","Yes")</f>
        <v/>
      </c>
      <c r="P972" s="12">
        <f>IF(OR($F972="",$G972=""),0,IF(AND($F972&lt;=README!$B$4,README!$B$4&lt;=$G972),1,0))</f>
        <v/>
      </c>
      <c r="Q972" s="12">
        <f>IF(OR($F972="",$G972=""),0,IF(AND($F972&lt;=DATE(README!$B$5,12,31),$G972&gt;=DATE(README!$B$5,1,1)),1,0))</f>
        <v/>
      </c>
      <c r="R972" s="10" t="inlineStr">
        <is>
          <t>GUP-VEH0025</t>
        </is>
      </c>
      <c r="S972" s="11" t="n">
        <v>45957</v>
      </c>
      <c r="T972" s="10" t="inlineStr">
        <is>
          <t>726</t>
        </is>
      </c>
      <c r="U972" s="10" t="inlineStr">
        <is>
          <t>VEHICLE</t>
        </is>
      </c>
      <c r="V972" s="10" t="inlineStr">
        <is>
          <t>T</t>
        </is>
      </c>
      <c r="W972" s="10" t="inlineStr">
        <is>
          <t>VIVEK B</t>
        </is>
      </c>
    </row>
    <row r="973">
      <c r="A973" s="10" t="inlineStr">
        <is>
          <t>TN58BS3636</t>
        </is>
      </c>
      <c r="B973" s="10" t="inlineStr">
        <is>
          <t>SOCKS</t>
        </is>
      </c>
      <c r="C973" s="10" t="inlineStr">
        <is>
          <t>VEHICLE INSURANCE</t>
        </is>
      </c>
      <c r="D973" s="10" t="inlineStr">
        <is>
          <t>VEHICLE INSURANCE</t>
        </is>
      </c>
      <c r="E973" s="10" t="inlineStr">
        <is>
          <t>YEARLY</t>
        </is>
      </c>
      <c r="F973" s="11" t="n">
        <v>45748</v>
      </c>
      <c r="G973" s="11" t="n">
        <v>46112</v>
      </c>
      <c r="H973" s="12">
        <f>IF(OR($F973="",$G973=""),"",$G973-$F973+1)</f>
        <v/>
      </c>
      <c r="I973" s="10">
        <f>IF($F973="","",IF(MONTH($F973)&gt;=4,YEAR($F973)&amp;"-"&amp;TEXT(YEAR($F973)+1-2000,"00"),YEAR($F973)-1&amp;"-"&amp;TEXT(YEAR($F973)-2000,"00")))</f>
        <v/>
      </c>
      <c r="J973" s="13" t="n">
        <v>58234</v>
      </c>
      <c r="K973" s="14">
        <f>IFERROR($L973/$J973,"")</f>
        <v/>
      </c>
      <c r="L973" s="13" t="n">
        <v>58234</v>
      </c>
      <c r="M973" s="13">
        <f>IFERROR($L973/$H973,"")</f>
        <v/>
      </c>
      <c r="N973" s="11" t="n">
        <v>45826</v>
      </c>
      <c r="O973" s="10">
        <f>IF($N973="","No","Yes")</f>
        <v/>
      </c>
      <c r="P973" s="12">
        <f>IF(OR($F973="",$G973=""),0,IF(AND($F973&lt;=README!$B$4,README!$B$4&lt;=$G973),1,0))</f>
        <v/>
      </c>
      <c r="Q973" s="12">
        <f>IF(OR($F973="",$G973=""),0,IF(AND($F973&lt;=DATE(README!$B$5,12,31),$G973&gt;=DATE(README!$B$5,1,1)),1,0))</f>
        <v/>
      </c>
      <c r="R973" s="10" t="inlineStr">
        <is>
          <t>GUP-VEH0020</t>
        </is>
      </c>
      <c r="S973" s="11" t="n">
        <v>45799</v>
      </c>
      <c r="T973" s="10" t="inlineStr">
        <is>
          <t>645</t>
        </is>
      </c>
      <c r="U973" s="10" t="inlineStr">
        <is>
          <t>VEHICLE</t>
        </is>
      </c>
      <c r="V973" s="10" t="inlineStr">
        <is>
          <t>T</t>
        </is>
      </c>
      <c r="W973" s="10" t="inlineStr">
        <is>
          <t>VIVEK B</t>
        </is>
      </c>
    </row>
    <row r="974">
      <c r="A974" s="10" t="inlineStr">
        <is>
          <t>TN58BS3636</t>
        </is>
      </c>
      <c r="B974" s="10" t="inlineStr">
        <is>
          <t>GENERAL</t>
        </is>
      </c>
      <c r="C974" s="10" t="inlineStr">
        <is>
          <t>VEHICLE OUTSIDE SERVICES</t>
        </is>
      </c>
      <c r="D974" s="10" t="inlineStr">
        <is>
          <t xml:space="preserve">MAINTENANCE SERVICE </t>
        </is>
      </c>
      <c r="E974" s="10" t="inlineStr">
        <is>
          <t>YEARLY</t>
        </is>
      </c>
      <c r="F974" s="11" t="n">
        <v>45748</v>
      </c>
      <c r="G974" s="11" t="n">
        <v>46112</v>
      </c>
      <c r="H974" s="12">
        <f>IF(OR($F974="",$G974=""),"",$G974-$F974+1)</f>
        <v/>
      </c>
      <c r="I974" s="10">
        <f>IF($F974="","",IF(MONTH($F974)&gt;=4,YEAR($F974)&amp;"-"&amp;TEXT(YEAR($F974)+1-2000,"00"),YEAR($F974)-1&amp;"-"&amp;TEXT(YEAR($F974)-2000,"00")))</f>
        <v/>
      </c>
      <c r="J974" s="13" t="n">
        <v>37941</v>
      </c>
      <c r="K974" s="14">
        <f>IFERROR($L974/$J974,"")</f>
        <v/>
      </c>
      <c r="L974" s="13" t="n">
        <v>37941</v>
      </c>
      <c r="M974" s="13">
        <f>IFERROR($L974/$H974,"")</f>
        <v/>
      </c>
      <c r="N974" s="11" t="n">
        <v>45834</v>
      </c>
      <c r="O974" s="10">
        <f>IF($N974="","No","Yes")</f>
        <v/>
      </c>
      <c r="P974" s="12">
        <f>IF(OR($F974="",$G974=""),0,IF(AND($F974&lt;=README!$B$4,README!$B$4&lt;=$G974),1,0))</f>
        <v/>
      </c>
      <c r="Q974" s="12">
        <f>IF(OR($F974="",$G974=""),0,IF(AND($F974&lt;=DATE(README!$B$5,12,31),$G974&gt;=DATE(README!$B$5,1,1)),1,0))</f>
        <v/>
      </c>
      <c r="R974" s="10" t="inlineStr">
        <is>
          <t>GUP-VEH0019</t>
        </is>
      </c>
      <c r="S974" s="11" t="n">
        <v>45777</v>
      </c>
      <c r="T974" s="10" t="inlineStr">
        <is>
          <t>638</t>
        </is>
      </c>
      <c r="U974" s="10" t="inlineStr">
        <is>
          <t>VEHICLE</t>
        </is>
      </c>
      <c r="V974" s="10" t="inlineStr">
        <is>
          <t>T</t>
        </is>
      </c>
      <c r="W974" s="10" t="inlineStr">
        <is>
          <t>VIVEK B</t>
        </is>
      </c>
    </row>
    <row r="975">
      <c r="A975" s="10" t="inlineStr">
        <is>
          <t>TN58BS3636</t>
        </is>
      </c>
      <c r="B975" s="10" t="inlineStr">
        <is>
          <t>GENERAL</t>
        </is>
      </c>
      <c r="C975" s="10" t="inlineStr">
        <is>
          <t>VEHICLE OUTSIDE SERVICES</t>
        </is>
      </c>
      <c r="D975" s="10" t="inlineStr">
        <is>
          <t>MAINTENANCE SERVICE - 2</t>
        </is>
      </c>
      <c r="E975" s="10" t="inlineStr">
        <is>
          <t>YEARLY</t>
        </is>
      </c>
      <c r="F975" s="11" t="n">
        <v>45748</v>
      </c>
      <c r="G975" s="11" t="n">
        <v>46112</v>
      </c>
      <c r="H975" s="12">
        <f>IF(OR($F975="",$G975=""),"",$G975-$F975+1)</f>
        <v/>
      </c>
      <c r="I975" s="10">
        <f>IF($F975="","",IF(MONTH($F975)&gt;=4,YEAR($F975)&amp;"-"&amp;TEXT(YEAR($F975)+1-2000,"00"),YEAR($F975)-1&amp;"-"&amp;TEXT(YEAR($F975)-2000,"00")))</f>
        <v/>
      </c>
      <c r="J975" s="13" t="n">
        <v>34381</v>
      </c>
      <c r="K975" s="14">
        <f>IFERROR($L975/$J975,"")</f>
        <v/>
      </c>
      <c r="L975" s="13" t="n">
        <v>34381</v>
      </c>
      <c r="M975" s="13">
        <f>IFERROR($L975/$H975,"")</f>
        <v/>
      </c>
      <c r="N975" s="11" t="n">
        <v>45918</v>
      </c>
      <c r="O975" s="10">
        <f>IF($N975="","No","Yes")</f>
        <v/>
      </c>
      <c r="P975" s="12">
        <f>IF(OR($F975="",$G975=""),0,IF(AND($F975&lt;=README!$B$4,README!$B$4&lt;=$G975),1,0))</f>
        <v/>
      </c>
      <c r="Q975" s="12">
        <f>IF(OR($F975="",$G975=""),0,IF(AND($F975&lt;=DATE(README!$B$5,12,31),$G975&gt;=DATE(README!$B$5,1,1)),1,0))</f>
        <v/>
      </c>
      <c r="R975" s="10" t="inlineStr">
        <is>
          <t>GUP-VEH0019</t>
        </is>
      </c>
      <c r="S975" s="11" t="n">
        <v>45777</v>
      </c>
      <c r="T975" s="10" t="inlineStr">
        <is>
          <t>638</t>
        </is>
      </c>
      <c r="U975" s="10" t="inlineStr">
        <is>
          <t>VEHICLE</t>
        </is>
      </c>
      <c r="V975" s="10" t="inlineStr">
        <is>
          <t>T</t>
        </is>
      </c>
      <c r="W975" s="10" t="inlineStr">
        <is>
          <t>VIVEK B</t>
        </is>
      </c>
    </row>
    <row r="976">
      <c r="A976" s="10" t="inlineStr">
        <is>
          <t>TN58BS3636</t>
        </is>
      </c>
      <c r="B976" s="10" t="inlineStr">
        <is>
          <t>GENERAL</t>
        </is>
      </c>
      <c r="C976" s="10" t="inlineStr">
        <is>
          <t>VEHICLE OUTSIDE SERVICES</t>
        </is>
      </c>
      <c r="D976" s="10" t="inlineStr">
        <is>
          <t>MAINTENANCE SERVICE - 3</t>
        </is>
      </c>
      <c r="E976" s="10" t="inlineStr">
        <is>
          <t>JANUARY</t>
        </is>
      </c>
      <c r="F976" s="11" t="n">
        <v>46023</v>
      </c>
      <c r="G976" s="11" t="n">
        <v>46053</v>
      </c>
      <c r="H976" s="12">
        <f>IF(OR($F976="",$G976=""),"",$G976-$F976+1)</f>
        <v/>
      </c>
      <c r="I976" s="10">
        <f>IF($F976="","",IF(MONTH($F976)&gt;=4,YEAR($F976)&amp;"-"&amp;TEXT(YEAR($F976)+1-2000,"00"),YEAR($F976)-1&amp;"-"&amp;TEXT(YEAR($F976)-2000,"00")))</f>
        <v/>
      </c>
      <c r="J976" s="13" t="n">
        <v>23451</v>
      </c>
      <c r="K976" s="14">
        <f>IFERROR($L976/$J976,"")</f>
        <v/>
      </c>
      <c r="L976" s="13" t="n">
        <v>23451</v>
      </c>
      <c r="M976" s="13">
        <f>IFERROR($L976/$H976,"")</f>
        <v/>
      </c>
      <c r="N976" s="11" t="n">
        <v>46028</v>
      </c>
      <c r="O976" s="10">
        <f>IF($N976="","No","Yes")</f>
        <v/>
      </c>
      <c r="P976" s="12">
        <f>IF(OR($F976="",$G976=""),0,IF(AND($F976&lt;=README!$B$4,README!$B$4&lt;=$G976),1,0))</f>
        <v/>
      </c>
      <c r="Q976" s="12">
        <f>IF(OR($F976="",$G976=""),0,IF(AND($F976&lt;=DATE(README!$B$5,12,31),$G976&gt;=DATE(README!$B$5,1,1)),1,0))</f>
        <v/>
      </c>
      <c r="R976" s="10" t="inlineStr">
        <is>
          <t>GUP-VEH0019</t>
        </is>
      </c>
      <c r="S976" s="11" t="n">
        <v>45777</v>
      </c>
      <c r="T976" s="10" t="inlineStr">
        <is>
          <t>638</t>
        </is>
      </c>
      <c r="U976" s="10" t="inlineStr">
        <is>
          <t>VEHICLE</t>
        </is>
      </c>
      <c r="V976" s="10" t="inlineStr">
        <is>
          <t>T</t>
        </is>
      </c>
      <c r="W976" s="10" t="inlineStr">
        <is>
          <t>VIVEK B</t>
        </is>
      </c>
    </row>
    <row r="977">
      <c r="A977" s="10" t="inlineStr">
        <is>
          <t>TN58BS3636</t>
        </is>
      </c>
      <c r="B977" s="10" t="inlineStr">
        <is>
          <t>SOCKS</t>
        </is>
      </c>
      <c r="C977" s="10" t="inlineStr">
        <is>
          <t>RTO EXPENSE</t>
        </is>
      </c>
      <c r="D977" s="10" t="inlineStr">
        <is>
          <t>HP-LOAN CLOSURE</t>
        </is>
      </c>
      <c r="E977" s="10" t="inlineStr">
        <is>
          <t>FEBRUARY</t>
        </is>
      </c>
      <c r="F977" s="11" t="n">
        <v>46054</v>
      </c>
      <c r="G977" s="11" t="n">
        <v>46081</v>
      </c>
      <c r="H977" s="12">
        <f>IF(OR($F977="",$G977=""),"",$G977-$F977+1)</f>
        <v/>
      </c>
      <c r="I977" s="10">
        <f>IF($F977="","",IF(MONTH($F977)&gt;=4,YEAR($F977)&amp;"-"&amp;TEXT(YEAR($F977)+1-2000,"00"),YEAR($F977)-1&amp;"-"&amp;TEXT(YEAR($F977)-2000,"00")))</f>
        <v/>
      </c>
      <c r="J977" s="13" t="n">
        <v>2000</v>
      </c>
      <c r="K977" s="14">
        <f>IFERROR($L977/$J977,"")</f>
        <v/>
      </c>
      <c r="L977" s="13" t="n">
        <v>0</v>
      </c>
      <c r="M977" s="13">
        <f>IFERROR($L977/$H977,"")</f>
        <v/>
      </c>
      <c r="N977" s="11" t="n"/>
      <c r="O977" s="10">
        <f>IF($N977="","No","Yes")</f>
        <v/>
      </c>
      <c r="P977" s="12">
        <f>IF(OR($F977="",$G977=""),0,IF(AND($F977&lt;=README!$B$4,README!$B$4&lt;=$G977),1,0))</f>
        <v/>
      </c>
      <c r="Q977" s="12">
        <f>IF(OR($F977="",$G977=""),0,IF(AND($F977&lt;=DATE(README!$B$5,12,31),$G977&gt;=DATE(README!$B$5,1,1)),1,0))</f>
        <v/>
      </c>
      <c r="R977" s="10" t="inlineStr">
        <is>
          <t>GUP-VEH0022</t>
        </is>
      </c>
      <c r="S977" s="11" t="n">
        <v>45834</v>
      </c>
      <c r="T977" s="10" t="inlineStr">
        <is>
          <t>655</t>
        </is>
      </c>
      <c r="U977" s="10" t="inlineStr">
        <is>
          <t>VEHICLE</t>
        </is>
      </c>
      <c r="V977" s="10" t="inlineStr">
        <is>
          <t>T</t>
        </is>
      </c>
      <c r="W977" s="10" t="inlineStr">
        <is>
          <t>VIVEK B</t>
        </is>
      </c>
    </row>
    <row r="978">
      <c r="A978" s="10" t="inlineStr">
        <is>
          <t>TN58BS3636</t>
        </is>
      </c>
      <c r="B978" s="10" t="inlineStr">
        <is>
          <t>SOCKS</t>
        </is>
      </c>
      <c r="C978" s="10" t="inlineStr">
        <is>
          <t>VEHICLE INSURANCE</t>
        </is>
      </c>
      <c r="D978" s="10" t="inlineStr">
        <is>
          <t>VEHICLE INSURANCE</t>
        </is>
      </c>
      <c r="E978" s="10" t="inlineStr">
        <is>
          <t>YEARLY</t>
        </is>
      </c>
      <c r="F978" s="11" t="n">
        <v>46113</v>
      </c>
      <c r="G978" s="11" t="n">
        <v>46477</v>
      </c>
      <c r="H978" s="12">
        <f>IF(OR($F978="",$G978=""),"",$G978-$F978+1)</f>
        <v/>
      </c>
      <c r="I978" s="10">
        <f>IF($F978="","",IF(MONTH($F978)&gt;=4,YEAR($F978)&amp;"-"&amp;TEXT(YEAR($F978)+1-2000,"00"),YEAR($F978)-1&amp;"-"&amp;TEXT(YEAR($F978)-2000,"00")))</f>
        <v/>
      </c>
      <c r="J978" s="13" t="n">
        <v>56109</v>
      </c>
      <c r="K978" s="14">
        <f>IFERROR($L978/$J978,"")</f>
        <v/>
      </c>
      <c r="L978" s="13" t="n">
        <v>56109</v>
      </c>
      <c r="M978" s="13">
        <f>IFERROR($L978/$H978,"")</f>
        <v/>
      </c>
      <c r="N978" s="11" t="n">
        <v>46167</v>
      </c>
      <c r="O978" s="10">
        <f>IF($N978="","No","Yes")</f>
        <v/>
      </c>
      <c r="P978" s="12">
        <f>IF(OR($F978="",$G978=""),0,IF(AND($F978&lt;=README!$B$4,README!$B$4&lt;=$G978),1,0))</f>
        <v/>
      </c>
      <c r="Q978" s="12">
        <f>IF(OR($F978="",$G978=""),0,IF(AND($F978&lt;=DATE(README!$B$5,12,31),$G978&gt;=DATE(README!$B$5,1,1)),1,0))</f>
        <v/>
      </c>
      <c r="R978" s="10" t="inlineStr">
        <is>
          <t>GUP-VEH0038</t>
        </is>
      </c>
      <c r="S978" s="11" t="n">
        <v>46162</v>
      </c>
      <c r="T978" s="10" t="inlineStr">
        <is>
          <t>859</t>
        </is>
      </c>
      <c r="U978" s="10" t="inlineStr">
        <is>
          <t>VEHICLE</t>
        </is>
      </c>
      <c r="V978" s="10" t="inlineStr">
        <is>
          <t>T</t>
        </is>
      </c>
      <c r="W978" s="10" t="inlineStr">
        <is>
          <t>VIVEK B</t>
        </is>
      </c>
    </row>
    <row r="979">
      <c r="A979" s="10" t="inlineStr">
        <is>
          <t>TN58BS3636</t>
        </is>
      </c>
      <c r="B979" s="10" t="inlineStr">
        <is>
          <t>SOCKS</t>
        </is>
      </c>
      <c r="C979" s="10" t="inlineStr">
        <is>
          <t>VEHICLE OUTSIDE SERVICES</t>
        </is>
      </c>
      <c r="D979" s="10" t="inlineStr">
        <is>
          <t xml:space="preserve">MAINTENANCE SERVICE </t>
        </is>
      </c>
      <c r="E979" s="10" t="inlineStr">
        <is>
          <t>APRIL</t>
        </is>
      </c>
      <c r="F979" s="11" t="n">
        <v>46113</v>
      </c>
      <c r="G979" s="11" t="n">
        <v>46142</v>
      </c>
      <c r="H979" s="12">
        <f>IF(OR($F979="",$G979=""),"",$G979-$F979+1)</f>
        <v/>
      </c>
      <c r="I979" s="10">
        <f>IF($F979="","",IF(MONTH($F979)&gt;=4,YEAR($F979)&amp;"-"&amp;TEXT(YEAR($F979)+1-2000,"00"),YEAR($F979)-1&amp;"-"&amp;TEXT(YEAR($F979)-2000,"00")))</f>
        <v/>
      </c>
      <c r="J979" s="13" t="n">
        <v>44687</v>
      </c>
      <c r="K979" s="14">
        <f>IFERROR($L979/$J979,"")</f>
        <v/>
      </c>
      <c r="L979" s="13" t="n">
        <v>44687</v>
      </c>
      <c r="M979" s="13">
        <f>IFERROR($L979/$H979,"")</f>
        <v/>
      </c>
      <c r="N979" s="11" t="n">
        <v>46114</v>
      </c>
      <c r="O979" s="10">
        <f>IF($N979="","No","Yes")</f>
        <v/>
      </c>
      <c r="P979" s="12">
        <f>IF(OR($F979="",$G979=""),0,IF(AND($F979&lt;=README!$B$4,README!$B$4&lt;=$G979),1,0))</f>
        <v/>
      </c>
      <c r="Q979" s="12">
        <f>IF(OR($F979="",$G979=""),0,IF(AND($F979&lt;=DATE(README!$B$5,12,31),$G979&gt;=DATE(README!$B$5,1,1)),1,0))</f>
        <v/>
      </c>
      <c r="R979" s="10" t="inlineStr">
        <is>
          <t>GUP-VEH0031</t>
        </is>
      </c>
      <c r="S979" s="11" t="n">
        <v>46114</v>
      </c>
      <c r="T979" s="10" t="inlineStr">
        <is>
          <t>810</t>
        </is>
      </c>
      <c r="U979" s="10" t="inlineStr">
        <is>
          <t>VEHICLE</t>
        </is>
      </c>
      <c r="V979" s="10" t="inlineStr">
        <is>
          <t>T</t>
        </is>
      </c>
      <c r="W979" s="10" t="inlineStr">
        <is>
          <t>VIVEK B</t>
        </is>
      </c>
    </row>
    <row r="980">
      <c r="A980" s="10" t="inlineStr">
        <is>
          <t>TN58BS3636</t>
        </is>
      </c>
      <c r="B980" s="10" t="inlineStr">
        <is>
          <t>SOCKS</t>
        </is>
      </c>
      <c r="C980" s="10" t="inlineStr">
        <is>
          <t>VEHICLE OUTSIDE SERVICES</t>
        </is>
      </c>
      <c r="D980" s="10" t="inlineStr">
        <is>
          <t>ELETRICAL WORK - VEHICLE</t>
        </is>
      </c>
      <c r="E980" s="10" t="inlineStr">
        <is>
          <t>APRIL</t>
        </is>
      </c>
      <c r="F980" s="11" t="n">
        <v>46113</v>
      </c>
      <c r="G980" s="11" t="n">
        <v>46142</v>
      </c>
      <c r="H980" s="12">
        <f>IF(OR($F980="",$G980=""),"",$G980-$F980+1)</f>
        <v/>
      </c>
      <c r="I980" s="10">
        <f>IF($F980="","",IF(MONTH($F980)&gt;=4,YEAR($F980)&amp;"-"&amp;TEXT(YEAR($F980)+1-2000,"00"),YEAR($F980)-1&amp;"-"&amp;TEXT(YEAR($F980)-2000,"00")))</f>
        <v/>
      </c>
      <c r="J980" s="13" t="n">
        <v>6000</v>
      </c>
      <c r="K980" s="14">
        <f>IFERROR($L980/$J980,"")</f>
        <v/>
      </c>
      <c r="L980" s="13" t="n">
        <v>6000</v>
      </c>
      <c r="M980" s="13">
        <f>IFERROR($L980/$H980,"")</f>
        <v/>
      </c>
      <c r="N980" s="11" t="n">
        <v>46121</v>
      </c>
      <c r="O980" s="10">
        <f>IF($N980="","No","Yes")</f>
        <v/>
      </c>
      <c r="P980" s="12">
        <f>IF(OR($F980="",$G980=""),0,IF(AND($F980&lt;=README!$B$4,README!$B$4&lt;=$G980),1,0))</f>
        <v/>
      </c>
      <c r="Q980" s="12">
        <f>IF(OR($F980="",$G980=""),0,IF(AND($F980&lt;=DATE(README!$B$5,12,31),$G980&gt;=DATE(README!$B$5,1,1)),1,0))</f>
        <v/>
      </c>
      <c r="R980" s="10" t="inlineStr">
        <is>
          <t>GUP-VEH0031</t>
        </is>
      </c>
      <c r="S980" s="11" t="n">
        <v>46114</v>
      </c>
      <c r="T980" s="10" t="inlineStr">
        <is>
          <t>810</t>
        </is>
      </c>
      <c r="U980" s="10" t="inlineStr">
        <is>
          <t>VEHICLE</t>
        </is>
      </c>
      <c r="V980" s="10" t="inlineStr">
        <is>
          <t>T</t>
        </is>
      </c>
      <c r="W980" s="10" t="inlineStr">
        <is>
          <t>VIVEK B</t>
        </is>
      </c>
    </row>
    <row r="981">
      <c r="A981" s="10" t="inlineStr">
        <is>
          <t>TN58CA3636</t>
        </is>
      </c>
      <c r="B981" s="10" t="inlineStr">
        <is>
          <t>SOCKS</t>
        </is>
      </c>
      <c r="C981" s="10" t="inlineStr">
        <is>
          <t>VEHICLE OUTSIDE SERVICES</t>
        </is>
      </c>
      <c r="D981" s="10" t="inlineStr">
        <is>
          <t xml:space="preserve">MAINTENANCE SERVICE </t>
        </is>
      </c>
      <c r="E981" s="10" t="inlineStr">
        <is>
          <t>JUNE</t>
        </is>
      </c>
      <c r="F981" s="11" t="n">
        <v>46174</v>
      </c>
      <c r="G981" s="11" t="n">
        <v>46203</v>
      </c>
      <c r="H981" s="12">
        <f>IF(OR($F981="",$G981=""),"",$G981-$F981+1)</f>
        <v/>
      </c>
      <c r="I981" s="10">
        <f>IF($F981="","",IF(MONTH($F981)&gt;=4,YEAR($F981)&amp;"-"&amp;TEXT(YEAR($F981)+1-2000,"00"),YEAR($F981)-1&amp;"-"&amp;TEXT(YEAR($F981)-2000,"00")))</f>
        <v/>
      </c>
      <c r="J981" s="13" t="n">
        <v>3175</v>
      </c>
      <c r="K981" s="14">
        <f>IFERROR($L981/$J981,"")</f>
        <v/>
      </c>
      <c r="L981" s="13" t="n">
        <v>3175</v>
      </c>
      <c r="M981" s="13">
        <f>IFERROR($L981/$H981,"")</f>
        <v/>
      </c>
      <c r="N981" s="11" t="n">
        <v>46186</v>
      </c>
      <c r="O981" s="10">
        <f>IF($N981="","No","Yes")</f>
        <v/>
      </c>
      <c r="P981" s="12">
        <f>IF(OR($F981="",$G981=""),0,IF(AND($F981&lt;=README!$B$4,README!$B$4&lt;=$G981),1,0))</f>
        <v/>
      </c>
      <c r="Q981" s="12">
        <f>IF(OR($F981="",$G981=""),0,IF(AND($F981&lt;=DATE(README!$B$5,12,31),$G981&gt;=DATE(README!$B$5,1,1)),1,0))</f>
        <v/>
      </c>
      <c r="R981" s="10" t="inlineStr">
        <is>
          <t>GUP-VEH0031</t>
        </is>
      </c>
      <c r="S981" s="11" t="n">
        <v>46114</v>
      </c>
      <c r="T981" s="10" t="inlineStr">
        <is>
          <t>810</t>
        </is>
      </c>
      <c r="U981" s="10" t="inlineStr">
        <is>
          <t>VEHICLE</t>
        </is>
      </c>
      <c r="V981" s="10" t="inlineStr">
        <is>
          <t>T</t>
        </is>
      </c>
      <c r="W981" s="10" t="inlineStr">
        <is>
          <t>VIVEK B</t>
        </is>
      </c>
    </row>
    <row r="982">
      <c r="A982" s="10" t="inlineStr">
        <is>
          <t>TN60AP3434</t>
        </is>
      </c>
      <c r="B982" s="10" t="inlineStr">
        <is>
          <t>WOVEN</t>
        </is>
      </c>
      <c r="C982" s="10" t="inlineStr">
        <is>
          <t>ADBLU</t>
        </is>
      </c>
      <c r="D982" s="10" t="inlineStr">
        <is>
          <t>ADBLU</t>
        </is>
      </c>
      <c r="E982" s="10" t="inlineStr">
        <is>
          <t>YEARLY</t>
        </is>
      </c>
      <c r="F982" s="11" t="n">
        <v>45383</v>
      </c>
      <c r="G982" s="11" t="n">
        <v>45747</v>
      </c>
      <c r="H982" s="12">
        <f>IF(OR($F982="",$G982=""),"",$G982-$F982+1)</f>
        <v/>
      </c>
      <c r="I982" s="10">
        <f>IF($F982="","",IF(MONTH($F982)&gt;=4,YEAR($F982)&amp;"-"&amp;TEXT(YEAR($F982)+1-2000,"00"),YEAR($F982)-1&amp;"-"&amp;TEXT(YEAR($F982)-2000,"00")))</f>
        <v/>
      </c>
      <c r="J982" s="13" t="n">
        <v>61</v>
      </c>
      <c r="K982" s="14">
        <f>IFERROR($L982/$J982,"")</f>
        <v/>
      </c>
      <c r="L982" s="13" t="n">
        <v>2745</v>
      </c>
      <c r="M982" s="13">
        <f>IFERROR($L982/$H982,"")</f>
        <v/>
      </c>
      <c r="N982" s="11" t="n">
        <v>45623</v>
      </c>
      <c r="O982" s="10">
        <f>IF($N982="","No","Yes")</f>
        <v/>
      </c>
      <c r="P982" s="12">
        <f>IF(OR($F982="",$G982=""),0,IF(AND($F982&lt;=README!$B$4,README!$B$4&lt;=$G982),1,0))</f>
        <v/>
      </c>
      <c r="Q982" s="12">
        <f>IF(OR($F982="",$G982=""),0,IF(AND($F982&lt;=DATE(README!$B$5,12,31),$G982&gt;=DATE(README!$B$5,1,1)),1,0))</f>
        <v/>
      </c>
      <c r="R982" s="10" t="inlineStr">
        <is>
          <t>GUT-VEH0008</t>
        </is>
      </c>
      <c r="S982" s="11" t="n">
        <v>45475</v>
      </c>
      <c r="T982" s="10" t="inlineStr">
        <is>
          <t>3</t>
        </is>
      </c>
      <c r="U982" s="10" t="inlineStr">
        <is>
          <t>VEHICLE</t>
        </is>
      </c>
      <c r="V982" s="10" t="inlineStr">
        <is>
          <t>T</t>
        </is>
      </c>
      <c r="W982" s="10" t="inlineStr">
        <is>
          <t>VIVEK B</t>
        </is>
      </c>
    </row>
    <row r="983">
      <c r="A983" s="10" t="inlineStr">
        <is>
          <t>TN60AP3434</t>
        </is>
      </c>
      <c r="B983" s="10" t="inlineStr">
        <is>
          <t>WOVEN</t>
        </is>
      </c>
      <c r="C983" s="10" t="inlineStr">
        <is>
          <t>ADBLU</t>
        </is>
      </c>
      <c r="D983" s="10" t="inlineStr">
        <is>
          <t>ADBLU</t>
        </is>
      </c>
      <c r="E983" s="10" t="inlineStr">
        <is>
          <t>YEARLY</t>
        </is>
      </c>
      <c r="F983" s="11" t="n">
        <v>45383</v>
      </c>
      <c r="G983" s="11" t="n">
        <v>45747</v>
      </c>
      <c r="H983" s="12">
        <f>IF(OR($F983="",$G983=""),"",$G983-$F983+1)</f>
        <v/>
      </c>
      <c r="I983" s="10">
        <f>IF($F983="","",IF(MONTH($F983)&gt;=4,YEAR($F983)&amp;"-"&amp;TEXT(YEAR($F983)+1-2000,"00"),YEAR($F983)-1&amp;"-"&amp;TEXT(YEAR($F983)-2000,"00")))</f>
        <v/>
      </c>
      <c r="J983" s="13" t="n">
        <v>61</v>
      </c>
      <c r="K983" s="14">
        <f>IFERROR($L983/$J983,"")</f>
        <v/>
      </c>
      <c r="L983" s="13" t="n">
        <v>2745</v>
      </c>
      <c r="M983" s="13">
        <f>IFERROR($L983/$H983,"")</f>
        <v/>
      </c>
      <c r="N983" s="11" t="n">
        <v>45602</v>
      </c>
      <c r="O983" s="10">
        <f>IF($N983="","No","Yes")</f>
        <v/>
      </c>
      <c r="P983" s="12">
        <f>IF(OR($F983="",$G983=""),0,IF(AND($F983&lt;=README!$B$4,README!$B$4&lt;=$G983),1,0))</f>
        <v/>
      </c>
      <c r="Q983" s="12">
        <f>IF(OR($F983="",$G983=""),0,IF(AND($F983&lt;=DATE(README!$B$5,12,31),$G983&gt;=DATE(README!$B$5,1,1)),1,0))</f>
        <v/>
      </c>
      <c r="R983" s="10" t="inlineStr">
        <is>
          <t>GUT-VEH0008</t>
        </is>
      </c>
      <c r="S983" s="11" t="n">
        <v>45475</v>
      </c>
      <c r="T983" s="10" t="inlineStr">
        <is>
          <t>3</t>
        </is>
      </c>
      <c r="U983" s="10" t="inlineStr">
        <is>
          <t>VEHICLE</t>
        </is>
      </c>
      <c r="V983" s="10" t="inlineStr">
        <is>
          <t>T</t>
        </is>
      </c>
      <c r="W983" s="10" t="inlineStr">
        <is>
          <t>VIVEK B</t>
        </is>
      </c>
    </row>
    <row r="984">
      <c r="A984" s="10" t="inlineStr">
        <is>
          <t>TN60AP3434</t>
        </is>
      </c>
      <c r="B984" s="10" t="inlineStr">
        <is>
          <t>WOVEN</t>
        </is>
      </c>
      <c r="C984" s="10" t="inlineStr">
        <is>
          <t>ADBLU</t>
        </is>
      </c>
      <c r="D984" s="10" t="inlineStr">
        <is>
          <t>ADBLU</t>
        </is>
      </c>
      <c r="E984" s="10" t="inlineStr">
        <is>
          <t>YEARLY</t>
        </is>
      </c>
      <c r="F984" s="11" t="n">
        <v>45383</v>
      </c>
      <c r="G984" s="11" t="n">
        <v>45747</v>
      </c>
      <c r="H984" s="12">
        <f>IF(OR($F984="",$G984=""),"",$G984-$F984+1)</f>
        <v/>
      </c>
      <c r="I984" s="10">
        <f>IF($F984="","",IF(MONTH($F984)&gt;=4,YEAR($F984)&amp;"-"&amp;TEXT(YEAR($F984)+1-2000,"00"),YEAR($F984)-1&amp;"-"&amp;TEXT(YEAR($F984)-2000,"00")))</f>
        <v/>
      </c>
      <c r="J984" s="13" t="n">
        <v>61</v>
      </c>
      <c r="K984" s="14">
        <f>IFERROR($L984/$J984,"")</f>
        <v/>
      </c>
      <c r="L984" s="13" t="n">
        <v>2440</v>
      </c>
      <c r="M984" s="13">
        <f>IFERROR($L984/$H984,"")</f>
        <v/>
      </c>
      <c r="N984" s="11" t="n">
        <v>45479</v>
      </c>
      <c r="O984" s="10">
        <f>IF($N984="","No","Yes")</f>
        <v/>
      </c>
      <c r="P984" s="12">
        <f>IF(OR($F984="",$G984=""),0,IF(AND($F984&lt;=README!$B$4,README!$B$4&lt;=$G984),1,0))</f>
        <v/>
      </c>
      <c r="Q984" s="12">
        <f>IF(OR($F984="",$G984=""),0,IF(AND($F984&lt;=DATE(README!$B$5,12,31),$G984&gt;=DATE(README!$B$5,1,1)),1,0))</f>
        <v/>
      </c>
      <c r="R984" s="10" t="inlineStr">
        <is>
          <t>GUT-VEH0008</t>
        </is>
      </c>
      <c r="S984" s="11" t="n">
        <v>45475</v>
      </c>
      <c r="T984" s="10" t="inlineStr">
        <is>
          <t>3</t>
        </is>
      </c>
      <c r="U984" s="10" t="inlineStr">
        <is>
          <t>VEHICLE</t>
        </is>
      </c>
      <c r="V984" s="10" t="inlineStr">
        <is>
          <t>T</t>
        </is>
      </c>
      <c r="W984" s="10" t="inlineStr">
        <is>
          <t>VIVEK B</t>
        </is>
      </c>
    </row>
    <row r="985">
      <c r="A985" s="10" t="inlineStr">
        <is>
          <t>TN60AP3434</t>
        </is>
      </c>
      <c r="B985" s="10" t="inlineStr">
        <is>
          <t>WOVEN</t>
        </is>
      </c>
      <c r="C985" s="10" t="inlineStr">
        <is>
          <t>ADBLU</t>
        </is>
      </c>
      <c r="D985" s="10" t="inlineStr">
        <is>
          <t>ADBLU</t>
        </is>
      </c>
      <c r="E985" s="10" t="inlineStr">
        <is>
          <t>YEARLY</t>
        </is>
      </c>
      <c r="F985" s="11" t="n">
        <v>45383</v>
      </c>
      <c r="G985" s="11" t="n">
        <v>45747</v>
      </c>
      <c r="H985" s="12">
        <f>IF(OR($F985="",$G985=""),"",$G985-$F985+1)</f>
        <v/>
      </c>
      <c r="I985" s="10">
        <f>IF($F985="","",IF(MONTH($F985)&gt;=4,YEAR($F985)&amp;"-"&amp;TEXT(YEAR($F985)+1-2000,"00"),YEAR($F985)-1&amp;"-"&amp;TEXT(YEAR($F985)-2000,"00")))</f>
        <v/>
      </c>
      <c r="J985" s="13" t="n">
        <v>61</v>
      </c>
      <c r="K985" s="14">
        <f>IFERROR($L985/$J985,"")</f>
        <v/>
      </c>
      <c r="L985" s="13" t="n">
        <v>2745</v>
      </c>
      <c r="M985" s="13">
        <f>IFERROR($L985/$H985,"")</f>
        <v/>
      </c>
      <c r="N985" s="11" t="n">
        <v>45700</v>
      </c>
      <c r="O985" s="10">
        <f>IF($N985="","No","Yes")</f>
        <v/>
      </c>
      <c r="P985" s="12">
        <f>IF(OR($F985="",$G985=""),0,IF(AND($F985&lt;=README!$B$4,README!$B$4&lt;=$G985),1,0))</f>
        <v/>
      </c>
      <c r="Q985" s="12">
        <f>IF(OR($F985="",$G985=""),0,IF(AND($F985&lt;=DATE(README!$B$5,12,31),$G985&gt;=DATE(README!$B$5,1,1)),1,0))</f>
        <v/>
      </c>
      <c r="R985" s="10" t="inlineStr">
        <is>
          <t>GUT-VEH0008</t>
        </is>
      </c>
      <c r="S985" s="11" t="n">
        <v>45475</v>
      </c>
      <c r="T985" s="10" t="inlineStr">
        <is>
          <t>3</t>
        </is>
      </c>
      <c r="U985" s="10" t="inlineStr">
        <is>
          <t>VEHICLE</t>
        </is>
      </c>
      <c r="V985" s="10" t="inlineStr">
        <is>
          <t>T</t>
        </is>
      </c>
      <c r="W985" s="10" t="inlineStr">
        <is>
          <t>VIVEK B</t>
        </is>
      </c>
    </row>
    <row r="986">
      <c r="A986" s="10" t="inlineStr">
        <is>
          <t>TN60AP3434</t>
        </is>
      </c>
      <c r="B986" s="10" t="inlineStr">
        <is>
          <t>WOVEN</t>
        </is>
      </c>
      <c r="C986" s="10" t="inlineStr">
        <is>
          <t>ADBLU</t>
        </is>
      </c>
      <c r="D986" s="10" t="inlineStr">
        <is>
          <t>ADBLU</t>
        </is>
      </c>
      <c r="E986" s="10" t="inlineStr">
        <is>
          <t>YEARLY</t>
        </is>
      </c>
      <c r="F986" s="11" t="n">
        <v>45383</v>
      </c>
      <c r="G986" s="11" t="n">
        <v>45747</v>
      </c>
      <c r="H986" s="12">
        <f>IF(OR($F986="",$G986=""),"",$G986-$F986+1)</f>
        <v/>
      </c>
      <c r="I986" s="10">
        <f>IF($F986="","",IF(MONTH($F986)&gt;=4,YEAR($F986)&amp;"-"&amp;TEXT(YEAR($F986)+1-2000,"00"),YEAR($F986)-1&amp;"-"&amp;TEXT(YEAR($F986)-2000,"00")))</f>
        <v/>
      </c>
      <c r="J986" s="13" t="n">
        <v>61</v>
      </c>
      <c r="K986" s="14">
        <f>IFERROR($L986/$J986,"")</f>
        <v/>
      </c>
      <c r="L986" s="13" t="n">
        <v>2745</v>
      </c>
      <c r="M986" s="13">
        <f>IFERROR($L986/$H986,"")</f>
        <v/>
      </c>
      <c r="N986" s="11" t="n">
        <v>45700</v>
      </c>
      <c r="O986" s="10">
        <f>IF($N986="","No","Yes")</f>
        <v/>
      </c>
      <c r="P986" s="12">
        <f>IF(OR($F986="",$G986=""),0,IF(AND($F986&lt;=README!$B$4,README!$B$4&lt;=$G986),1,0))</f>
        <v/>
      </c>
      <c r="Q986" s="12">
        <f>IF(OR($F986="",$G986=""),0,IF(AND($F986&lt;=DATE(README!$B$5,12,31),$G986&gt;=DATE(README!$B$5,1,1)),1,0))</f>
        <v/>
      </c>
      <c r="R986" s="10" t="inlineStr">
        <is>
          <t>GUT-VEH0008</t>
        </is>
      </c>
      <c r="S986" s="11" t="n">
        <v>45475</v>
      </c>
      <c r="T986" s="10" t="inlineStr">
        <is>
          <t>3</t>
        </is>
      </c>
      <c r="U986" s="10" t="inlineStr">
        <is>
          <t>VEHICLE</t>
        </is>
      </c>
      <c r="V986" s="10" t="inlineStr">
        <is>
          <t>T</t>
        </is>
      </c>
      <c r="W986" s="10" t="inlineStr">
        <is>
          <t>VIVEK B</t>
        </is>
      </c>
    </row>
    <row r="987">
      <c r="A987" s="10" t="inlineStr">
        <is>
          <t>TN60AP3434</t>
        </is>
      </c>
      <c r="B987" s="10" t="inlineStr">
        <is>
          <t>WOVEN</t>
        </is>
      </c>
      <c r="C987" s="10" t="inlineStr">
        <is>
          <t>ROAD TAX</t>
        </is>
      </c>
      <c r="D987" s="10" t="inlineStr">
        <is>
          <t>ROAD TAX</t>
        </is>
      </c>
      <c r="E987" s="10" t="inlineStr">
        <is>
          <t>YEARLY</t>
        </is>
      </c>
      <c r="F987" s="11" t="n">
        <v>45383</v>
      </c>
      <c r="G987" s="11" t="n">
        <v>45747</v>
      </c>
      <c r="H987" s="12">
        <f>IF(OR($F987="",$G987=""),"",$G987-$F987+1)</f>
        <v/>
      </c>
      <c r="I987" s="10">
        <f>IF($F987="","",IF(MONTH($F987)&gt;=4,YEAR($F987)&amp;"-"&amp;TEXT(YEAR($F987)+1-2000,"00"),YEAR($F987)-1&amp;"-"&amp;TEXT(YEAR($F987)-2000,"00")))</f>
        <v/>
      </c>
      <c r="J987" s="13" t="n">
        <v>32724</v>
      </c>
      <c r="K987" s="14">
        <f>IFERROR($L987/$J987,"")</f>
        <v/>
      </c>
      <c r="L987" s="13" t="n">
        <v>32724</v>
      </c>
      <c r="M987" s="13">
        <f>IFERROR($L987/$H987,"")</f>
        <v/>
      </c>
      <c r="N987" s="11" t="n">
        <v>45727</v>
      </c>
      <c r="O987" s="10">
        <f>IF($N987="","No","Yes")</f>
        <v/>
      </c>
      <c r="P987" s="12">
        <f>IF(OR($F987="",$G987=""),0,IF(AND($F987&lt;=README!$B$4,README!$B$4&lt;=$G987),1,0))</f>
        <v/>
      </c>
      <c r="Q987" s="12">
        <f>IF(OR($F987="",$G987=""),0,IF(AND($F987&lt;=DATE(README!$B$5,12,31),$G987&gt;=DATE(README!$B$5,1,1)),1,0))</f>
        <v/>
      </c>
      <c r="R987" s="10" t="inlineStr">
        <is>
          <t>GUT-VEH0016</t>
        </is>
      </c>
      <c r="S987" s="11" t="n">
        <v>46023</v>
      </c>
      <c r="T987" s="10" t="inlineStr">
        <is>
          <t>5</t>
        </is>
      </c>
      <c r="U987" s="10" t="inlineStr">
        <is>
          <t>VEHICLE</t>
        </is>
      </c>
      <c r="V987" s="10" t="inlineStr">
        <is>
          <t>T</t>
        </is>
      </c>
      <c r="W987" s="10" t="inlineStr">
        <is>
          <t>VIVEK B</t>
        </is>
      </c>
    </row>
    <row r="988">
      <c r="A988" s="10" t="inlineStr">
        <is>
          <t>TN60AP3434</t>
        </is>
      </c>
      <c r="B988" s="10" t="inlineStr">
        <is>
          <t>WOVEN</t>
        </is>
      </c>
      <c r="C988" s="10" t="inlineStr">
        <is>
          <t>ROAD TAX</t>
        </is>
      </c>
      <c r="D988" s="10" t="inlineStr">
        <is>
          <t>ROAD TAX</t>
        </is>
      </c>
      <c r="E988" s="10" t="inlineStr">
        <is>
          <t>YEARLY</t>
        </is>
      </c>
      <c r="F988" s="11" t="n">
        <v>45383</v>
      </c>
      <c r="G988" s="11" t="n">
        <v>45747</v>
      </c>
      <c r="H988" s="12">
        <f>IF(OR($F988="",$G988=""),"",$G988-$F988+1)</f>
        <v/>
      </c>
      <c r="I988" s="10">
        <f>IF($F988="","",IF(MONTH($F988)&gt;=4,YEAR($F988)&amp;"-"&amp;TEXT(YEAR($F988)+1-2000,"00"),YEAR($F988)-1&amp;"-"&amp;TEXT(YEAR($F988)-2000,"00")))</f>
        <v/>
      </c>
      <c r="J988" s="13" t="n">
        <v>32734</v>
      </c>
      <c r="K988" s="14">
        <f>IFERROR($L988/$J988,"")</f>
        <v/>
      </c>
      <c r="L988" s="13" t="n">
        <v>32734</v>
      </c>
      <c r="M988" s="13">
        <f>IFERROR($L988/$H988,"")</f>
        <v/>
      </c>
      <c r="N988" s="11" t="n">
        <v>45910</v>
      </c>
      <c r="O988" s="10">
        <f>IF($N988="","No","Yes")</f>
        <v/>
      </c>
      <c r="P988" s="12">
        <f>IF(OR($F988="",$G988=""),0,IF(AND($F988&lt;=README!$B$4,README!$B$4&lt;=$G988),1,0))</f>
        <v/>
      </c>
      <c r="Q988" s="12">
        <f>IF(OR($F988="",$G988=""),0,IF(AND($F988&lt;=DATE(README!$B$5,12,31),$G988&gt;=DATE(README!$B$5,1,1)),1,0))</f>
        <v/>
      </c>
      <c r="R988" s="10" t="inlineStr">
        <is>
          <t>GUT-VEH0016</t>
        </is>
      </c>
      <c r="S988" s="11" t="n">
        <v>46023</v>
      </c>
      <c r="T988" s="10" t="inlineStr">
        <is>
          <t>5</t>
        </is>
      </c>
      <c r="U988" s="10" t="inlineStr">
        <is>
          <t>VEHICLE</t>
        </is>
      </c>
      <c r="V988" s="10" t="inlineStr">
        <is>
          <t>T</t>
        </is>
      </c>
      <c r="W988" s="10" t="inlineStr">
        <is>
          <t>VIVEK B</t>
        </is>
      </c>
    </row>
    <row r="989">
      <c r="A989" s="10" t="inlineStr">
        <is>
          <t>TN60AP3434</t>
        </is>
      </c>
      <c r="B989" s="10" t="inlineStr">
        <is>
          <t>WOVEN</t>
        </is>
      </c>
      <c r="C989" s="10" t="inlineStr">
        <is>
          <t>ROAD TAX</t>
        </is>
      </c>
      <c r="D989" s="10" t="inlineStr">
        <is>
          <t>ROAD TAX</t>
        </is>
      </c>
      <c r="E989" s="10" t="inlineStr">
        <is>
          <t>YEARLY</t>
        </is>
      </c>
      <c r="F989" s="11" t="n">
        <v>45383</v>
      </c>
      <c r="G989" s="11" t="n">
        <v>45747</v>
      </c>
      <c r="H989" s="12">
        <f>IF(OR($F989="",$G989=""),"",$G989-$F989+1)</f>
        <v/>
      </c>
      <c r="I989" s="10">
        <f>IF($F989="","",IF(MONTH($F989)&gt;=4,YEAR($F989)&amp;"-"&amp;TEXT(YEAR($F989)+1-2000,"00"),YEAR($F989)-1&amp;"-"&amp;TEXT(YEAR($F989)-2000,"00")))</f>
        <v/>
      </c>
      <c r="J989" s="13" t="n">
        <v>32724</v>
      </c>
      <c r="K989" s="14">
        <f>IFERROR($L989/$J989,"")</f>
        <v/>
      </c>
      <c r="L989" s="13" t="n">
        <v>32724</v>
      </c>
      <c r="M989" s="13">
        <f>IFERROR($L989/$H989,"")</f>
        <v/>
      </c>
      <c r="N989" s="11" t="n">
        <v>45840</v>
      </c>
      <c r="O989" s="10">
        <f>IF($N989="","No","Yes")</f>
        <v/>
      </c>
      <c r="P989" s="12">
        <f>IF(OR($F989="",$G989=""),0,IF(AND($F989&lt;=README!$B$4,README!$B$4&lt;=$G989),1,0))</f>
        <v/>
      </c>
      <c r="Q989" s="12">
        <f>IF(OR($F989="",$G989=""),0,IF(AND($F989&lt;=DATE(README!$B$5,12,31),$G989&gt;=DATE(README!$B$5,1,1)),1,0))</f>
        <v/>
      </c>
      <c r="R989" s="10" t="inlineStr">
        <is>
          <t>GUT-VEH0016</t>
        </is>
      </c>
      <c r="S989" s="11" t="n">
        <v>46023</v>
      </c>
      <c r="T989" s="10" t="inlineStr">
        <is>
          <t>5</t>
        </is>
      </c>
      <c r="U989" s="10" t="inlineStr">
        <is>
          <t>VEHICLE</t>
        </is>
      </c>
      <c r="V989" s="10" t="inlineStr">
        <is>
          <t>T</t>
        </is>
      </c>
      <c r="W989" s="10" t="inlineStr">
        <is>
          <t>VIVEK B</t>
        </is>
      </c>
    </row>
    <row r="990">
      <c r="A990" s="10" t="inlineStr">
        <is>
          <t>TN60AP3434</t>
        </is>
      </c>
      <c r="B990" s="10" t="inlineStr">
        <is>
          <t>WOVEN</t>
        </is>
      </c>
      <c r="C990" s="10" t="inlineStr">
        <is>
          <t>ROAD TAX</t>
        </is>
      </c>
      <c r="D990" s="10" t="inlineStr">
        <is>
          <t>ROAD TAX</t>
        </is>
      </c>
      <c r="E990" s="10" t="inlineStr">
        <is>
          <t>YEARLY</t>
        </is>
      </c>
      <c r="F990" s="11" t="n">
        <v>45383</v>
      </c>
      <c r="G990" s="11" t="n">
        <v>45747</v>
      </c>
      <c r="H990" s="12">
        <f>IF(OR($F990="",$G990=""),"",$G990-$F990+1)</f>
        <v/>
      </c>
      <c r="I990" s="10">
        <f>IF($F990="","",IF(MONTH($F990)&gt;=4,YEAR($F990)&amp;"-"&amp;TEXT(YEAR($F990)+1-2000,"00"),YEAR($F990)-1&amp;"-"&amp;TEXT(YEAR($F990)-2000,"00")))</f>
        <v/>
      </c>
      <c r="J990" s="13" t="n">
        <v>32724</v>
      </c>
      <c r="K990" s="14">
        <f>IFERROR($L990/$J990,"")</f>
        <v/>
      </c>
      <c r="L990" s="13" t="n">
        <v>32724</v>
      </c>
      <c r="M990" s="13">
        <f>IFERROR($L990/$H990,"")</f>
        <v/>
      </c>
      <c r="N990" s="11" t="n">
        <v>45569</v>
      </c>
      <c r="O990" s="10">
        <f>IF($N990="","No","Yes")</f>
        <v/>
      </c>
      <c r="P990" s="12">
        <f>IF(OR($F990="",$G990=""),0,IF(AND($F990&lt;=README!$B$4,README!$B$4&lt;=$G990),1,0))</f>
        <v/>
      </c>
      <c r="Q990" s="12">
        <f>IF(OR($F990="",$G990=""),0,IF(AND($F990&lt;=DATE(README!$B$5,12,31),$G990&gt;=DATE(README!$B$5,1,1)),1,0))</f>
        <v/>
      </c>
      <c r="R990" s="10" t="inlineStr">
        <is>
          <t>GUT-VEH0011</t>
        </is>
      </c>
      <c r="S990" s="11" t="n">
        <v>45475</v>
      </c>
      <c r="T990" s="10" t="inlineStr">
        <is>
          <t>3</t>
        </is>
      </c>
      <c r="U990" s="10" t="inlineStr">
        <is>
          <t>VEHICLE</t>
        </is>
      </c>
      <c r="V990" s="10" t="inlineStr">
        <is>
          <t>T</t>
        </is>
      </c>
      <c r="W990" s="10" t="inlineStr">
        <is>
          <t>VIVEK B</t>
        </is>
      </c>
    </row>
    <row r="991">
      <c r="A991" s="10" t="inlineStr">
        <is>
          <t>TN60AP3434</t>
        </is>
      </c>
      <c r="B991" s="10" t="inlineStr">
        <is>
          <t>WOVEN</t>
        </is>
      </c>
      <c r="C991" s="10" t="inlineStr">
        <is>
          <t>ROAD TAX</t>
        </is>
      </c>
      <c r="D991" s="10" t="inlineStr">
        <is>
          <t>ROAD TAX</t>
        </is>
      </c>
      <c r="E991" s="10" t="inlineStr">
        <is>
          <t>YEARLY</t>
        </is>
      </c>
      <c r="F991" s="11" t="n">
        <v>45383</v>
      </c>
      <c r="G991" s="11" t="n">
        <v>45747</v>
      </c>
      <c r="H991" s="12">
        <f>IF(OR($F991="",$G991=""),"",$G991-$F991+1)</f>
        <v/>
      </c>
      <c r="I991" s="10">
        <f>IF($F991="","",IF(MONTH($F991)&gt;=4,YEAR($F991)&amp;"-"&amp;TEXT(YEAR($F991)+1-2000,"00"),YEAR($F991)-1&amp;"-"&amp;TEXT(YEAR($F991)-2000,"00")))</f>
        <v/>
      </c>
      <c r="J991" s="13" t="n">
        <v>32724</v>
      </c>
      <c r="K991" s="14">
        <f>IFERROR($L991/$J991,"")</f>
        <v/>
      </c>
      <c r="L991" s="13" t="n">
        <v>32724</v>
      </c>
      <c r="M991" s="13">
        <f>IFERROR($L991/$H991,"")</f>
        <v/>
      </c>
      <c r="N991" s="11" t="n">
        <v>45649</v>
      </c>
      <c r="O991" s="10">
        <f>IF($N991="","No","Yes")</f>
        <v/>
      </c>
      <c r="P991" s="12">
        <f>IF(OR($F991="",$G991=""),0,IF(AND($F991&lt;=README!$B$4,README!$B$4&lt;=$G991),1,0))</f>
        <v/>
      </c>
      <c r="Q991" s="12">
        <f>IF(OR($F991="",$G991=""),0,IF(AND($F991&lt;=DATE(README!$B$5,12,31),$G991&gt;=DATE(README!$B$5,1,1)),1,0))</f>
        <v/>
      </c>
      <c r="R991" s="10" t="inlineStr">
        <is>
          <t>GUT-VEH0011</t>
        </is>
      </c>
      <c r="S991" s="11" t="n">
        <v>45475</v>
      </c>
      <c r="T991" s="10" t="inlineStr">
        <is>
          <t>3</t>
        </is>
      </c>
      <c r="U991" s="10" t="inlineStr">
        <is>
          <t>VEHICLE</t>
        </is>
      </c>
      <c r="V991" s="10" t="inlineStr">
        <is>
          <t>T</t>
        </is>
      </c>
      <c r="W991" s="10" t="inlineStr">
        <is>
          <t>VIVEK B</t>
        </is>
      </c>
    </row>
    <row r="992">
      <c r="A992" s="10" t="inlineStr">
        <is>
          <t>TN60AP3434</t>
        </is>
      </c>
      <c r="B992" s="10" t="inlineStr">
        <is>
          <t>WOVEN</t>
        </is>
      </c>
      <c r="C992" s="10" t="inlineStr">
        <is>
          <t>VEHICLE INSURANCE</t>
        </is>
      </c>
      <c r="D992" s="10" t="inlineStr">
        <is>
          <t>VEHICLE INSURANCE</t>
        </is>
      </c>
      <c r="E992" s="10" t="inlineStr">
        <is>
          <t>YEARLY</t>
        </is>
      </c>
      <c r="F992" s="11" t="n">
        <v>45383</v>
      </c>
      <c r="G992" s="11" t="n">
        <v>45747</v>
      </c>
      <c r="H992" s="12">
        <f>IF(OR($F992="",$G992=""),"",$G992-$F992+1)</f>
        <v/>
      </c>
      <c r="I992" s="10">
        <f>IF($F992="","",IF(MONTH($F992)&gt;=4,YEAR($F992)&amp;"-"&amp;TEXT(YEAR($F992)+1-2000,"00"),YEAR($F992)-1&amp;"-"&amp;TEXT(YEAR($F992)-2000,"00")))</f>
        <v/>
      </c>
      <c r="J992" s="13" t="n">
        <v>81685</v>
      </c>
      <c r="K992" s="14">
        <f>IFERROR($L992/$J992,"")</f>
        <v/>
      </c>
      <c r="L992" s="13" t="n">
        <v>81685</v>
      </c>
      <c r="M992" s="13">
        <f>IFERROR($L992/$H992,"")</f>
        <v/>
      </c>
      <c r="N992" s="11" t="n">
        <v>45737</v>
      </c>
      <c r="O992" s="10">
        <f>IF($N992="","No","Yes")</f>
        <v/>
      </c>
      <c r="P992" s="12">
        <f>IF(OR($F992="",$G992=""),0,IF(AND($F992&lt;=README!$B$4,README!$B$4&lt;=$G992),1,0))</f>
        <v/>
      </c>
      <c r="Q992" s="12">
        <f>IF(OR($F992="",$G992=""),0,IF(AND($F992&lt;=DATE(README!$B$5,12,31),$G992&gt;=DATE(README!$B$5,1,1)),1,0))</f>
        <v/>
      </c>
      <c r="R992" s="10" t="inlineStr">
        <is>
          <t>GUT-VEH0012</t>
        </is>
      </c>
      <c r="S992" s="11" t="n">
        <v>45478</v>
      </c>
      <c r="T992" s="10" t="inlineStr">
        <is>
          <t>3</t>
        </is>
      </c>
      <c r="U992" s="10" t="inlineStr">
        <is>
          <t>VEHICLE</t>
        </is>
      </c>
      <c r="V992" s="10" t="inlineStr">
        <is>
          <t>T</t>
        </is>
      </c>
      <c r="W992" s="10" t="inlineStr">
        <is>
          <t>VIVEK B</t>
        </is>
      </c>
    </row>
    <row r="993">
      <c r="A993" s="10" t="inlineStr">
        <is>
          <t>TN60AP3434</t>
        </is>
      </c>
      <c r="B993" s="10" t="inlineStr">
        <is>
          <t>WOVEN</t>
        </is>
      </c>
      <c r="C993" s="10" t="inlineStr">
        <is>
          <t>VEHICLE INSURANCE</t>
        </is>
      </c>
      <c r="D993" s="10" t="inlineStr">
        <is>
          <t>VEHICLE INSURANCE</t>
        </is>
      </c>
      <c r="E993" s="10" t="inlineStr">
        <is>
          <t>YEARLY</t>
        </is>
      </c>
      <c r="F993" s="11" t="n">
        <v>45748</v>
      </c>
      <c r="G993" s="11" t="n">
        <v>46112</v>
      </c>
      <c r="H993" s="12">
        <f>IF(OR($F993="",$G993=""),"",$G993-$F993+1)</f>
        <v/>
      </c>
      <c r="I993" s="10">
        <f>IF($F993="","",IF(MONTH($F993)&gt;=4,YEAR($F993)&amp;"-"&amp;TEXT(YEAR($F993)+1-2000,"00"),YEAR($F993)-1&amp;"-"&amp;TEXT(YEAR($F993)-2000,"00")))</f>
        <v/>
      </c>
      <c r="J993" s="13" t="n">
        <v>80110</v>
      </c>
      <c r="K993" s="14">
        <f>IFERROR($L993/$J993,"")</f>
        <v/>
      </c>
      <c r="L993" s="13" t="n">
        <v>80110</v>
      </c>
      <c r="M993" s="13">
        <f>IFERROR($L993/$H993,"")</f>
        <v/>
      </c>
      <c r="N993" s="11" t="n">
        <v>46108</v>
      </c>
      <c r="O993" s="10">
        <f>IF($N993="","No","Yes")</f>
        <v/>
      </c>
      <c r="P993" s="12">
        <f>IF(OR($F993="",$G993=""),0,IF(AND($F993&lt;=README!$B$4,README!$B$4&lt;=$G993),1,0))</f>
        <v/>
      </c>
      <c r="Q993" s="12">
        <f>IF(OR($F993="",$G993=""),0,IF(AND($F993&lt;=DATE(README!$B$5,12,31),$G993&gt;=DATE(README!$B$5,1,1)),1,0))</f>
        <v/>
      </c>
      <c r="R993" s="10" t="inlineStr">
        <is>
          <t>GUT-VEH0019</t>
        </is>
      </c>
      <c r="S993" s="11" t="n">
        <v>45799</v>
      </c>
      <c r="T993" s="10" t="inlineStr">
        <is>
          <t>5</t>
        </is>
      </c>
      <c r="U993" s="10" t="inlineStr">
        <is>
          <t>VEHICLE</t>
        </is>
      </c>
      <c r="V993" s="10" t="inlineStr">
        <is>
          <t>T</t>
        </is>
      </c>
      <c r="W993" s="10" t="inlineStr">
        <is>
          <t>VIVEK B</t>
        </is>
      </c>
    </row>
    <row r="994">
      <c r="A994" s="10" t="inlineStr">
        <is>
          <t>TN60AP3434</t>
        </is>
      </c>
      <c r="B994" s="10" t="inlineStr"/>
      <c r="C994" s="10" t="inlineStr">
        <is>
          <t>VEHICLE OUTSIDE SERVICES</t>
        </is>
      </c>
      <c r="D994" s="10" t="inlineStr">
        <is>
          <t xml:space="preserve">MAINTENANCE SERVICE </t>
        </is>
      </c>
      <c r="E994" s="10" t="inlineStr">
        <is>
          <t>YEARLY</t>
        </is>
      </c>
      <c r="F994" s="11" t="n">
        <v>45748</v>
      </c>
      <c r="G994" s="11" t="n">
        <v>46112</v>
      </c>
      <c r="H994" s="12">
        <f>IF(OR($F994="",$G994=""),"",$G994-$F994+1)</f>
        <v/>
      </c>
      <c r="I994" s="10">
        <f>IF($F994="","",IF(MONTH($F994)&gt;=4,YEAR($F994)&amp;"-"&amp;TEXT(YEAR($F994)+1-2000,"00"),YEAR($F994)-1&amp;"-"&amp;TEXT(YEAR($F994)-2000,"00")))</f>
        <v/>
      </c>
      <c r="J994" s="13" t="n">
        <v>14341.31</v>
      </c>
      <c r="K994" s="14">
        <f>IFERROR($L994/$J994,"")</f>
        <v/>
      </c>
      <c r="L994" s="13" t="n">
        <v>14341.31</v>
      </c>
      <c r="M994" s="13">
        <f>IFERROR($L994/$H994,"")</f>
        <v/>
      </c>
      <c r="N994" s="11" t="n">
        <v>45954</v>
      </c>
      <c r="O994" s="10">
        <f>IF($N994="","No","Yes")</f>
        <v/>
      </c>
      <c r="P994" s="12">
        <f>IF(OR($F994="",$G994=""),0,IF(AND($F994&lt;=README!$B$4,README!$B$4&lt;=$G994),1,0))</f>
        <v/>
      </c>
      <c r="Q994" s="12">
        <f>IF(OR($F994="",$G994=""),0,IF(AND($F994&lt;=DATE(README!$B$5,12,31),$G994&gt;=DATE(README!$B$5,1,1)),1,0))</f>
        <v/>
      </c>
      <c r="R994" s="10" t="inlineStr">
        <is>
          <t>GUT-VEH0021</t>
        </is>
      </c>
      <c r="S994" s="11" t="n">
        <v>45812</v>
      </c>
      <c r="T994" s="10" t="inlineStr">
        <is>
          <t>5</t>
        </is>
      </c>
      <c r="U994" s="10" t="inlineStr">
        <is>
          <t>VEHICLE</t>
        </is>
      </c>
      <c r="V994" s="10" t="inlineStr">
        <is>
          <t>T</t>
        </is>
      </c>
      <c r="W994" s="10" t="inlineStr">
        <is>
          <t>VIVEK B</t>
        </is>
      </c>
    </row>
    <row r="995">
      <c r="A995" s="10" t="inlineStr">
        <is>
          <t>TN60AP3434</t>
        </is>
      </c>
      <c r="B995" s="10" t="inlineStr">
        <is>
          <t>WOVEN</t>
        </is>
      </c>
      <c r="C995" s="10" t="inlineStr">
        <is>
          <t>ROAD TAX</t>
        </is>
      </c>
      <c r="D995" s="10" t="inlineStr">
        <is>
          <t>ROAD TAX</t>
        </is>
      </c>
      <c r="E995" s="10" t="inlineStr">
        <is>
          <t>QUARTER - IV</t>
        </is>
      </c>
      <c r="F995" s="11" t="n">
        <v>46023</v>
      </c>
      <c r="G995" s="11" t="n">
        <v>46112</v>
      </c>
      <c r="H995" s="12">
        <f>IF(OR($F995="",$G995=""),"",$G995-$F995+1)</f>
        <v/>
      </c>
      <c r="I995" s="10">
        <f>IF($F995="","",IF(MONTH($F995)&gt;=4,YEAR($F995)&amp;"-"&amp;TEXT(YEAR($F995)+1-2000,"00"),YEAR($F995)-1&amp;"-"&amp;TEXT(YEAR($F995)-2000,"00")))</f>
        <v/>
      </c>
      <c r="J995" s="13" t="n">
        <v>32734</v>
      </c>
      <c r="K995" s="14">
        <f>IFERROR($L995/$J995,"")</f>
        <v/>
      </c>
      <c r="L995" s="13" t="n">
        <v>32734</v>
      </c>
      <c r="M995" s="13">
        <f>IFERROR($L995/$H995,"")</f>
        <v/>
      </c>
      <c r="N995" s="11" t="n">
        <v>46065</v>
      </c>
      <c r="O995" s="10">
        <f>IF($N995="","No","Yes")</f>
        <v/>
      </c>
      <c r="P995" s="12">
        <f>IF(OR($F995="",$G995=""),0,IF(AND($F995&lt;=README!$B$4,README!$B$4&lt;=$G995),1,0))</f>
        <v/>
      </c>
      <c r="Q995" s="12">
        <f>IF(OR($F995="",$G995=""),0,IF(AND($F995&lt;=DATE(README!$B$5,12,31),$G995&gt;=DATE(README!$B$5,1,1)),1,0))</f>
        <v/>
      </c>
      <c r="R995" s="10" t="inlineStr">
        <is>
          <t>GUT-VEH0016</t>
        </is>
      </c>
      <c r="S995" s="11" t="n">
        <v>46023</v>
      </c>
      <c r="T995" s="10" t="inlineStr">
        <is>
          <t>5</t>
        </is>
      </c>
      <c r="U995" s="10" t="inlineStr">
        <is>
          <t>VEHICLE</t>
        </is>
      </c>
      <c r="V995" s="10" t="inlineStr">
        <is>
          <t>T</t>
        </is>
      </c>
      <c r="W995" s="10" t="inlineStr">
        <is>
          <t>VIVEK B</t>
        </is>
      </c>
    </row>
    <row r="996">
      <c r="A996" s="10" t="inlineStr">
        <is>
          <t>TN60AP3434</t>
        </is>
      </c>
      <c r="B996" s="10" t="inlineStr">
        <is>
          <t>WOVEN</t>
        </is>
      </c>
      <c r="C996" s="10" t="inlineStr">
        <is>
          <t>FC WORK</t>
        </is>
      </c>
      <c r="D996" s="10" t="inlineStr">
        <is>
          <t>FC WORK</t>
        </is>
      </c>
      <c r="E996" s="10" t="inlineStr">
        <is>
          <t>YEARLY</t>
        </is>
      </c>
      <c r="F996" s="11" t="n">
        <v>46113</v>
      </c>
      <c r="G996" s="11" t="n">
        <v>46477</v>
      </c>
      <c r="H996" s="12">
        <f>IF(OR($F996="",$G996=""),"",$G996-$F996+1)</f>
        <v/>
      </c>
      <c r="I996" s="10">
        <f>IF($F996="","",IF(MONTH($F996)&gt;=4,YEAR($F996)&amp;"-"&amp;TEXT(YEAR($F996)+1-2000,"00"),YEAR($F996)-1&amp;"-"&amp;TEXT(YEAR($F996)-2000,"00")))</f>
        <v/>
      </c>
      <c r="J996" s="13" t="n">
        <v>45350</v>
      </c>
      <c r="K996" s="14">
        <f>IFERROR($L996/$J996,"")</f>
        <v/>
      </c>
      <c r="L996" s="13" t="n">
        <v>45350</v>
      </c>
      <c r="M996" s="13">
        <f>IFERROR($L996/$H996,"")</f>
        <v/>
      </c>
      <c r="N996" s="11" t="n">
        <v>46210</v>
      </c>
      <c r="O996" s="10">
        <f>IF($N996="","No","Yes")</f>
        <v/>
      </c>
      <c r="P996" s="12">
        <f>IF(OR($F996="",$G996=""),0,IF(AND($F996&lt;=README!$B$4,README!$B$4&lt;=$G996),1,0))</f>
        <v/>
      </c>
      <c r="Q996" s="12">
        <f>IF(OR($F996="",$G996=""),0,IF(AND($F996&lt;=DATE(README!$B$5,12,31),$G996&gt;=DATE(README!$B$5,1,1)),1,0))</f>
        <v/>
      </c>
      <c r="R996" s="10" t="inlineStr">
        <is>
          <t>GUT-VEH0036</t>
        </is>
      </c>
      <c r="S996" s="11" t="n">
        <v>46191</v>
      </c>
      <c r="T996" s="10" t="inlineStr">
        <is>
          <t>5</t>
        </is>
      </c>
      <c r="U996" s="10" t="inlineStr">
        <is>
          <t>VEHICLE</t>
        </is>
      </c>
      <c r="V996" s="10" t="inlineStr">
        <is>
          <t>T</t>
        </is>
      </c>
      <c r="W996" s="10" t="inlineStr">
        <is>
          <t>VIVEK B</t>
        </is>
      </c>
    </row>
    <row r="997">
      <c r="A997" s="10" t="inlineStr">
        <is>
          <t>TN60AP3434</t>
        </is>
      </c>
      <c r="B997" s="10" t="inlineStr">
        <is>
          <t>WOVEN</t>
        </is>
      </c>
      <c r="C997" s="10" t="inlineStr">
        <is>
          <t>ROAD TAX</t>
        </is>
      </c>
      <c r="D997" s="10" t="inlineStr">
        <is>
          <t>ROAD TAX</t>
        </is>
      </c>
      <c r="E997" s="10" t="inlineStr">
        <is>
          <t>QUARTER - I</t>
        </is>
      </c>
      <c r="F997" s="11" t="n">
        <v>46113</v>
      </c>
      <c r="G997" s="11" t="n">
        <v>46203</v>
      </c>
      <c r="H997" s="12">
        <f>IF(OR($F997="",$G997=""),"",$G997-$F997+1)</f>
        <v/>
      </c>
      <c r="I997" s="10">
        <f>IF($F997="","",IF(MONTH($F997)&gt;=4,YEAR($F997)&amp;"-"&amp;TEXT(YEAR($F997)+1-2000,"00"),YEAR($F997)-1&amp;"-"&amp;TEXT(YEAR($F997)-2000,"00")))</f>
        <v/>
      </c>
      <c r="J997" s="13" t="n">
        <v>32734</v>
      </c>
      <c r="K997" s="14">
        <f>IFERROR($L997/$J997,"")</f>
        <v/>
      </c>
      <c r="L997" s="13" t="n">
        <v>32734</v>
      </c>
      <c r="M997" s="13">
        <f>IFERROR($L997/$H997,"")</f>
        <v/>
      </c>
      <c r="N997" s="11" t="n">
        <v>46088</v>
      </c>
      <c r="O997" s="10">
        <f>IF($N997="","No","Yes")</f>
        <v/>
      </c>
      <c r="P997" s="12">
        <f>IF(OR($F997="",$G997=""),0,IF(AND($F997&lt;=README!$B$4,README!$B$4&lt;=$G997),1,0))</f>
        <v/>
      </c>
      <c r="Q997" s="12">
        <f>IF(OR($F997="",$G997=""),0,IF(AND($F997&lt;=DATE(README!$B$5,12,31),$G997&gt;=DATE(README!$B$5,1,1)),1,0))</f>
        <v/>
      </c>
      <c r="R997" s="10" t="inlineStr">
        <is>
          <t>GUT-VEH0029</t>
        </is>
      </c>
      <c r="S997" s="11" t="n">
        <v>46087</v>
      </c>
      <c r="T997" s="10" t="inlineStr">
        <is>
          <t>5</t>
        </is>
      </c>
      <c r="U997" s="10" t="inlineStr">
        <is>
          <t>VEHICLE</t>
        </is>
      </c>
      <c r="V997" s="10" t="inlineStr">
        <is>
          <t>T</t>
        </is>
      </c>
      <c r="W997" s="10" t="inlineStr">
        <is>
          <t>VIVEK B</t>
        </is>
      </c>
    </row>
    <row r="998">
      <c r="A998" s="10" t="inlineStr">
        <is>
          <t>TN60AP3434</t>
        </is>
      </c>
      <c r="B998" s="10" t="inlineStr">
        <is>
          <t>WOVEN</t>
        </is>
      </c>
      <c r="C998" s="10" t="inlineStr">
        <is>
          <t>RTO EXPENSE</t>
        </is>
      </c>
      <c r="D998" s="10" t="inlineStr">
        <is>
          <t>RTO EXPENSES - FC</t>
        </is>
      </c>
      <c r="E998" s="10" t="inlineStr">
        <is>
          <t>YEARLY</t>
        </is>
      </c>
      <c r="F998" s="11" t="n">
        <v>46113</v>
      </c>
      <c r="G998" s="11" t="n">
        <v>46477</v>
      </c>
      <c r="H998" s="12">
        <f>IF(OR($F998="",$G998=""),"",$G998-$F998+1)</f>
        <v/>
      </c>
      <c r="I998" s="10">
        <f>IF($F998="","",IF(MONTH($F998)&gt;=4,YEAR($F998)&amp;"-"&amp;TEXT(YEAR($F998)+1-2000,"00"),YEAR($F998)-1&amp;"-"&amp;TEXT(YEAR($F998)-2000,"00")))</f>
        <v/>
      </c>
      <c r="J998" s="13" t="n">
        <v>12500</v>
      </c>
      <c r="K998" s="14">
        <f>IFERROR($L998/$J998,"")</f>
        <v/>
      </c>
      <c r="L998" s="13" t="n">
        <v>12500</v>
      </c>
      <c r="M998" s="13">
        <f>IFERROR($L998/$H998,"")</f>
        <v/>
      </c>
      <c r="N998" s="11" t="n">
        <v>46196</v>
      </c>
      <c r="O998" s="10">
        <f>IF($N998="","No","Yes")</f>
        <v/>
      </c>
      <c r="P998" s="12">
        <f>IF(OR($F998="",$G998=""),0,IF(AND($F998&lt;=README!$B$4,README!$B$4&lt;=$G998),1,0))</f>
        <v/>
      </c>
      <c r="Q998" s="12">
        <f>IF(OR($F998="",$G998=""),0,IF(AND($F998&lt;=DATE(README!$B$5,12,31),$G998&gt;=DATE(README!$B$5,1,1)),1,0))</f>
        <v/>
      </c>
      <c r="R998" s="10" t="inlineStr">
        <is>
          <t>GUT-VEH0037</t>
        </is>
      </c>
      <c r="S998" s="11" t="n">
        <v>46191</v>
      </c>
      <c r="T998" s="10" t="inlineStr">
        <is>
          <t>5</t>
        </is>
      </c>
      <c r="U998" s="10" t="inlineStr">
        <is>
          <t>VEHICLE</t>
        </is>
      </c>
      <c r="V998" s="10" t="inlineStr">
        <is>
          <t>T</t>
        </is>
      </c>
      <c r="W998" s="10" t="inlineStr">
        <is>
          <t>VIVEK B</t>
        </is>
      </c>
    </row>
    <row r="999">
      <c r="A999" s="10" t="inlineStr">
        <is>
          <t>TN60AP3434</t>
        </is>
      </c>
      <c r="B999" s="10" t="inlineStr">
        <is>
          <t>WOVEN</t>
        </is>
      </c>
      <c r="C999" s="10" t="inlineStr">
        <is>
          <t>ROAD TAX</t>
        </is>
      </c>
      <c r="D999" s="10" t="inlineStr">
        <is>
          <t>ROAD TAX</t>
        </is>
      </c>
      <c r="E999" s="10" t="inlineStr">
        <is>
          <t>QUARTER - II</t>
        </is>
      </c>
      <c r="F999" s="11" t="n">
        <v>46204</v>
      </c>
      <c r="G999" s="11" t="n">
        <v>46295</v>
      </c>
      <c r="H999" s="12">
        <f>IF(OR($F999="",$G999=""),"",$G999-$F999+1)</f>
        <v/>
      </c>
      <c r="I999" s="10">
        <f>IF($F999="","",IF(MONTH($F999)&gt;=4,YEAR($F999)&amp;"-"&amp;TEXT(YEAR($F999)+1-2000,"00"),YEAR($F999)-1&amp;"-"&amp;TEXT(YEAR($F999)-2000,"00")))</f>
        <v/>
      </c>
      <c r="J999" s="13" t="n">
        <v>32734</v>
      </c>
      <c r="K999" s="14">
        <f>IFERROR($L999/$J999,"")</f>
        <v/>
      </c>
      <c r="L999" s="13" t="n">
        <v>32734</v>
      </c>
      <c r="M999" s="13">
        <f>IFERROR($L999/$H999,"")</f>
        <v/>
      </c>
      <c r="N999" s="11" t="n">
        <v>46196</v>
      </c>
      <c r="O999" s="10">
        <f>IF($N999="","No","Yes")</f>
        <v/>
      </c>
      <c r="P999" s="12">
        <f>IF(OR($F999="",$G999=""),0,IF(AND($F999&lt;=README!$B$4,README!$B$4&lt;=$G999),1,0))</f>
        <v/>
      </c>
      <c r="Q999" s="12">
        <f>IF(OR($F999="",$G999=""),0,IF(AND($F999&lt;=DATE(README!$B$5,12,31),$G999&gt;=DATE(README!$B$5,1,1)),1,0))</f>
        <v/>
      </c>
      <c r="R999" s="10" t="inlineStr">
        <is>
          <t>GUT-VEH0038</t>
        </is>
      </c>
      <c r="S999" s="11" t="n">
        <v>46193</v>
      </c>
      <c r="T999" s="10" t="inlineStr">
        <is>
          <t>5</t>
        </is>
      </c>
      <c r="U999" s="10" t="inlineStr">
        <is>
          <t>VEHICLE</t>
        </is>
      </c>
      <c r="V999" s="10" t="inlineStr">
        <is>
          <t>T</t>
        </is>
      </c>
      <c r="W999" s="10" t="inlineStr">
        <is>
          <t>VIVEK B</t>
        </is>
      </c>
    </row>
    <row r="1000">
      <c r="A1000" s="10" t="inlineStr">
        <is>
          <t>TN60AQ3434</t>
        </is>
      </c>
      <c r="B1000" s="10" t="inlineStr">
        <is>
          <t>WOVEN</t>
        </is>
      </c>
      <c r="C1000" s="10" t="inlineStr">
        <is>
          <t>ADBLU</t>
        </is>
      </c>
      <c r="D1000" s="10" t="inlineStr">
        <is>
          <t>ADBLU</t>
        </is>
      </c>
      <c r="E1000" s="10" t="inlineStr">
        <is>
          <t>YEARLY</t>
        </is>
      </c>
      <c r="F1000" s="11" t="n">
        <v>45383</v>
      </c>
      <c r="G1000" s="11" t="n">
        <v>45747</v>
      </c>
      <c r="H1000" s="12">
        <f>IF(OR($F1000="",$G1000=""),"",$G1000-$F1000+1)</f>
        <v/>
      </c>
      <c r="I1000" s="10">
        <f>IF($F1000="","",IF(MONTH($F1000)&gt;=4,YEAR($F1000)&amp;"-"&amp;TEXT(YEAR($F1000)+1-2000,"00"),YEAR($F1000)-1&amp;"-"&amp;TEXT(YEAR($F1000)-2000,"00")))</f>
        <v/>
      </c>
      <c r="J1000" s="13" t="n">
        <v>61</v>
      </c>
      <c r="K1000" s="14">
        <f>IFERROR($L1000/$J1000,"")</f>
        <v/>
      </c>
      <c r="L1000" s="13" t="n">
        <v>2745</v>
      </c>
      <c r="M1000" s="13">
        <f>IFERROR($L1000/$H1000,"")</f>
        <v/>
      </c>
      <c r="N1000" s="11" t="n">
        <v>45602</v>
      </c>
      <c r="O1000" s="10">
        <f>IF($N1000="","No","Yes")</f>
        <v/>
      </c>
      <c r="P1000" s="12">
        <f>IF(OR($F1000="",$G1000=""),0,IF(AND($F1000&lt;=README!$B$4,README!$B$4&lt;=$G1000),1,0))</f>
        <v/>
      </c>
      <c r="Q1000" s="12">
        <f>IF(OR($F1000="",$G1000=""),0,IF(AND($F1000&lt;=DATE(README!$B$5,12,31),$G1000&gt;=DATE(README!$B$5,1,1)),1,0))</f>
        <v/>
      </c>
      <c r="R1000" s="10" t="inlineStr">
        <is>
          <t>GUT-VEH0008</t>
        </is>
      </c>
      <c r="S1000" s="11" t="n">
        <v>45475</v>
      </c>
      <c r="T1000" s="10" t="inlineStr">
        <is>
          <t>3</t>
        </is>
      </c>
      <c r="U1000" s="10" t="inlineStr">
        <is>
          <t>VEHICLE</t>
        </is>
      </c>
      <c r="V1000" s="10" t="inlineStr">
        <is>
          <t>T</t>
        </is>
      </c>
      <c r="W1000" s="10" t="inlineStr">
        <is>
          <t>VIVEK B</t>
        </is>
      </c>
    </row>
    <row r="1001">
      <c r="A1001" s="10" t="inlineStr">
        <is>
          <t>TN60AQ3434</t>
        </is>
      </c>
      <c r="B1001" s="10" t="inlineStr">
        <is>
          <t>WOVEN</t>
        </is>
      </c>
      <c r="C1001" s="10" t="inlineStr">
        <is>
          <t>ADBLU</t>
        </is>
      </c>
      <c r="D1001" s="10" t="inlineStr">
        <is>
          <t>ADBLU</t>
        </is>
      </c>
      <c r="E1001" s="10" t="inlineStr">
        <is>
          <t>YEARLY</t>
        </is>
      </c>
      <c r="F1001" s="11" t="n">
        <v>45383</v>
      </c>
      <c r="G1001" s="11" t="n">
        <v>45747</v>
      </c>
      <c r="H1001" s="12">
        <f>IF(OR($F1001="",$G1001=""),"",$G1001-$F1001+1)</f>
        <v/>
      </c>
      <c r="I1001" s="10">
        <f>IF($F1001="","",IF(MONTH($F1001)&gt;=4,YEAR($F1001)&amp;"-"&amp;TEXT(YEAR($F1001)+1-2000,"00"),YEAR($F1001)-1&amp;"-"&amp;TEXT(YEAR($F1001)-2000,"00")))</f>
        <v/>
      </c>
      <c r="J1001" s="13" t="n">
        <v>61</v>
      </c>
      <c r="K1001" s="14">
        <f>IFERROR($L1001/$J1001,"")</f>
        <v/>
      </c>
      <c r="L1001" s="13" t="n">
        <v>2745</v>
      </c>
      <c r="M1001" s="13">
        <f>IFERROR($L1001/$H1001,"")</f>
        <v/>
      </c>
      <c r="N1001" s="11" t="n">
        <v>45623</v>
      </c>
      <c r="O1001" s="10">
        <f>IF($N1001="","No","Yes")</f>
        <v/>
      </c>
      <c r="P1001" s="12">
        <f>IF(OR($F1001="",$G1001=""),0,IF(AND($F1001&lt;=README!$B$4,README!$B$4&lt;=$G1001),1,0))</f>
        <v/>
      </c>
      <c r="Q1001" s="12">
        <f>IF(OR($F1001="",$G1001=""),0,IF(AND($F1001&lt;=DATE(README!$B$5,12,31),$G1001&gt;=DATE(README!$B$5,1,1)),1,0))</f>
        <v/>
      </c>
      <c r="R1001" s="10" t="inlineStr">
        <is>
          <t>GUT-VEH0008</t>
        </is>
      </c>
      <c r="S1001" s="11" t="n">
        <v>45475</v>
      </c>
      <c r="T1001" s="10" t="inlineStr">
        <is>
          <t>3</t>
        </is>
      </c>
      <c r="U1001" s="10" t="inlineStr">
        <is>
          <t>VEHICLE</t>
        </is>
      </c>
      <c r="V1001" s="10" t="inlineStr">
        <is>
          <t>T</t>
        </is>
      </c>
      <c r="W1001" s="10" t="inlineStr">
        <is>
          <t>VIVEK B</t>
        </is>
      </c>
    </row>
    <row r="1002">
      <c r="A1002" s="10" t="inlineStr">
        <is>
          <t>TN60AQ3434</t>
        </is>
      </c>
      <c r="B1002" s="10" t="inlineStr">
        <is>
          <t>WOVEN</t>
        </is>
      </c>
      <c r="C1002" s="10" t="inlineStr">
        <is>
          <t>ADBLU</t>
        </is>
      </c>
      <c r="D1002" s="10" t="inlineStr">
        <is>
          <t>ADBLU</t>
        </is>
      </c>
      <c r="E1002" s="10" t="inlineStr">
        <is>
          <t>YEARLY</t>
        </is>
      </c>
      <c r="F1002" s="11" t="n">
        <v>45383</v>
      </c>
      <c r="G1002" s="11" t="n">
        <v>45747</v>
      </c>
      <c r="H1002" s="12">
        <f>IF(OR($F1002="",$G1002=""),"",$G1002-$F1002+1)</f>
        <v/>
      </c>
      <c r="I1002" s="10">
        <f>IF($F1002="","",IF(MONTH($F1002)&gt;=4,YEAR($F1002)&amp;"-"&amp;TEXT(YEAR($F1002)+1-2000,"00"),YEAR($F1002)-1&amp;"-"&amp;TEXT(YEAR($F1002)-2000,"00")))</f>
        <v/>
      </c>
      <c r="J1002" s="13" t="n">
        <v>61</v>
      </c>
      <c r="K1002" s="14">
        <f>IFERROR($L1002/$J1002,"")</f>
        <v/>
      </c>
      <c r="L1002" s="13" t="n">
        <v>2440</v>
      </c>
      <c r="M1002" s="13">
        <f>IFERROR($L1002/$H1002,"")</f>
        <v/>
      </c>
      <c r="N1002" s="11" t="n">
        <v>45479</v>
      </c>
      <c r="O1002" s="10">
        <f>IF($N1002="","No","Yes")</f>
        <v/>
      </c>
      <c r="P1002" s="12">
        <f>IF(OR($F1002="",$G1002=""),0,IF(AND($F1002&lt;=README!$B$4,README!$B$4&lt;=$G1002),1,0))</f>
        <v/>
      </c>
      <c r="Q1002" s="12">
        <f>IF(OR($F1002="",$G1002=""),0,IF(AND($F1002&lt;=DATE(README!$B$5,12,31),$G1002&gt;=DATE(README!$B$5,1,1)),1,0))</f>
        <v/>
      </c>
      <c r="R1002" s="10" t="inlineStr">
        <is>
          <t>GUT-VEH0008</t>
        </is>
      </c>
      <c r="S1002" s="11" t="n">
        <v>45475</v>
      </c>
      <c r="T1002" s="10" t="inlineStr">
        <is>
          <t>3</t>
        </is>
      </c>
      <c r="U1002" s="10" t="inlineStr">
        <is>
          <t>VEHICLE</t>
        </is>
      </c>
      <c r="V1002" s="10" t="inlineStr">
        <is>
          <t>T</t>
        </is>
      </c>
      <c r="W1002" s="10" t="inlineStr">
        <is>
          <t>VIVEK B</t>
        </is>
      </c>
    </row>
    <row r="1003">
      <c r="A1003" s="10" t="inlineStr">
        <is>
          <t>TN60AQ3434</t>
        </is>
      </c>
      <c r="B1003" s="10" t="inlineStr">
        <is>
          <t>WOVEN</t>
        </is>
      </c>
      <c r="C1003" s="10" t="inlineStr">
        <is>
          <t>ADBLU</t>
        </is>
      </c>
      <c r="D1003" s="10" t="inlineStr">
        <is>
          <t>ADBLU</t>
        </is>
      </c>
      <c r="E1003" s="10" t="inlineStr">
        <is>
          <t>YEARLY</t>
        </is>
      </c>
      <c r="F1003" s="11" t="n">
        <v>45383</v>
      </c>
      <c r="G1003" s="11" t="n">
        <v>45747</v>
      </c>
      <c r="H1003" s="12">
        <f>IF(OR($F1003="",$G1003=""),"",$G1003-$F1003+1)</f>
        <v/>
      </c>
      <c r="I1003" s="10">
        <f>IF($F1003="","",IF(MONTH($F1003)&gt;=4,YEAR($F1003)&amp;"-"&amp;TEXT(YEAR($F1003)+1-2000,"00"),YEAR($F1003)-1&amp;"-"&amp;TEXT(YEAR($F1003)-2000,"00")))</f>
        <v/>
      </c>
      <c r="J1003" s="13" t="n">
        <v>61</v>
      </c>
      <c r="K1003" s="14">
        <f>IFERROR($L1003/$J1003,"")</f>
        <v/>
      </c>
      <c r="L1003" s="13" t="n">
        <v>2745</v>
      </c>
      <c r="M1003" s="13">
        <f>IFERROR($L1003/$H1003,"")</f>
        <v/>
      </c>
      <c r="N1003" s="11" t="n">
        <v>45700</v>
      </c>
      <c r="O1003" s="10">
        <f>IF($N1003="","No","Yes")</f>
        <v/>
      </c>
      <c r="P1003" s="12">
        <f>IF(OR($F1003="",$G1003=""),0,IF(AND($F1003&lt;=README!$B$4,README!$B$4&lt;=$G1003),1,0))</f>
        <v/>
      </c>
      <c r="Q1003" s="12">
        <f>IF(OR($F1003="",$G1003=""),0,IF(AND($F1003&lt;=DATE(README!$B$5,12,31),$G1003&gt;=DATE(README!$B$5,1,1)),1,0))</f>
        <v/>
      </c>
      <c r="R1003" s="10" t="inlineStr">
        <is>
          <t>GUT-VEH0008</t>
        </is>
      </c>
      <c r="S1003" s="11" t="n">
        <v>45475</v>
      </c>
      <c r="T1003" s="10" t="inlineStr">
        <is>
          <t>3</t>
        </is>
      </c>
      <c r="U1003" s="10" t="inlineStr">
        <is>
          <t>VEHICLE</t>
        </is>
      </c>
      <c r="V1003" s="10" t="inlineStr">
        <is>
          <t>T</t>
        </is>
      </c>
      <c r="W1003" s="10" t="inlineStr">
        <is>
          <t>VIVEK B</t>
        </is>
      </c>
    </row>
    <row r="1004">
      <c r="A1004" s="10" t="inlineStr">
        <is>
          <t>TN60AQ3434</t>
        </is>
      </c>
      <c r="B1004" s="10" t="inlineStr">
        <is>
          <t>WOVEN</t>
        </is>
      </c>
      <c r="C1004" s="10" t="inlineStr">
        <is>
          <t>ROAD TAX</t>
        </is>
      </c>
      <c r="D1004" s="10" t="inlineStr">
        <is>
          <t>ROAD TAX</t>
        </is>
      </c>
      <c r="E1004" s="10" t="inlineStr">
        <is>
          <t>YEARLY</t>
        </is>
      </c>
      <c r="F1004" s="11" t="n">
        <v>45383</v>
      </c>
      <c r="G1004" s="11" t="n">
        <v>45747</v>
      </c>
      <c r="H1004" s="12">
        <f>IF(OR($F1004="",$G1004=""),"",$G1004-$F1004+1)</f>
        <v/>
      </c>
      <c r="I1004" s="10">
        <f>IF($F1004="","",IF(MONTH($F1004)&gt;=4,YEAR($F1004)&amp;"-"&amp;TEXT(YEAR($F1004)+1-2000,"00"),YEAR($F1004)-1&amp;"-"&amp;TEXT(YEAR($F1004)-2000,"00")))</f>
        <v/>
      </c>
      <c r="J1004" s="13" t="n">
        <v>32724</v>
      </c>
      <c r="K1004" s="14">
        <f>IFERROR($L1004/$J1004,"")</f>
        <v/>
      </c>
      <c r="L1004" s="13" t="n">
        <v>32724</v>
      </c>
      <c r="M1004" s="13">
        <f>IFERROR($L1004/$H1004,"")</f>
        <v/>
      </c>
      <c r="N1004" s="11" t="n">
        <v>45727</v>
      </c>
      <c r="O1004" s="10">
        <f>IF($N1004="","No","Yes")</f>
        <v/>
      </c>
      <c r="P1004" s="12">
        <f>IF(OR($F1004="",$G1004=""),0,IF(AND($F1004&lt;=README!$B$4,README!$B$4&lt;=$G1004),1,0))</f>
        <v/>
      </c>
      <c r="Q1004" s="12">
        <f>IF(OR($F1004="",$G1004=""),0,IF(AND($F1004&lt;=DATE(README!$B$5,12,31),$G1004&gt;=DATE(README!$B$5,1,1)),1,0))</f>
        <v/>
      </c>
      <c r="R1004" s="10" t="inlineStr">
        <is>
          <t>GUT-VEH0016</t>
        </is>
      </c>
      <c r="S1004" s="11" t="n">
        <v>46023</v>
      </c>
      <c r="T1004" s="10" t="inlineStr">
        <is>
          <t>5</t>
        </is>
      </c>
      <c r="U1004" s="10" t="inlineStr">
        <is>
          <t>VEHICLE</t>
        </is>
      </c>
      <c r="V1004" s="10" t="inlineStr">
        <is>
          <t>T</t>
        </is>
      </c>
      <c r="W1004" s="10" t="inlineStr">
        <is>
          <t>VIVEK B</t>
        </is>
      </c>
    </row>
    <row r="1005">
      <c r="A1005" s="10" t="inlineStr">
        <is>
          <t>TN60AQ3434</t>
        </is>
      </c>
      <c r="B1005" s="10" t="inlineStr">
        <is>
          <t>WOVEN</t>
        </is>
      </c>
      <c r="C1005" s="10" t="inlineStr">
        <is>
          <t>ROAD TAX</t>
        </is>
      </c>
      <c r="D1005" s="10" t="inlineStr">
        <is>
          <t>ROAD TAX</t>
        </is>
      </c>
      <c r="E1005" s="10" t="inlineStr">
        <is>
          <t>YEARLY</t>
        </is>
      </c>
      <c r="F1005" s="11" t="n">
        <v>45383</v>
      </c>
      <c r="G1005" s="11" t="n">
        <v>45747</v>
      </c>
      <c r="H1005" s="12">
        <f>IF(OR($F1005="",$G1005=""),"",$G1005-$F1005+1)</f>
        <v/>
      </c>
      <c r="I1005" s="10">
        <f>IF($F1005="","",IF(MONTH($F1005)&gt;=4,YEAR($F1005)&amp;"-"&amp;TEXT(YEAR($F1005)+1-2000,"00"),YEAR($F1005)-1&amp;"-"&amp;TEXT(YEAR($F1005)-2000,"00")))</f>
        <v/>
      </c>
      <c r="J1005" s="13" t="n">
        <v>32734</v>
      </c>
      <c r="K1005" s="14">
        <f>IFERROR($L1005/$J1005,"")</f>
        <v/>
      </c>
      <c r="L1005" s="13" t="n">
        <v>32734</v>
      </c>
      <c r="M1005" s="13">
        <f>IFERROR($L1005/$H1005,"")</f>
        <v/>
      </c>
      <c r="N1005" s="11" t="n">
        <v>45910</v>
      </c>
      <c r="O1005" s="10">
        <f>IF($N1005="","No","Yes")</f>
        <v/>
      </c>
      <c r="P1005" s="12">
        <f>IF(OR($F1005="",$G1005=""),0,IF(AND($F1005&lt;=README!$B$4,README!$B$4&lt;=$G1005),1,0))</f>
        <v/>
      </c>
      <c r="Q1005" s="12">
        <f>IF(OR($F1005="",$G1005=""),0,IF(AND($F1005&lt;=DATE(README!$B$5,12,31),$G1005&gt;=DATE(README!$B$5,1,1)),1,0))</f>
        <v/>
      </c>
      <c r="R1005" s="10" t="inlineStr">
        <is>
          <t>GUT-VEH0016</t>
        </is>
      </c>
      <c r="S1005" s="11" t="n">
        <v>46023</v>
      </c>
      <c r="T1005" s="10" t="inlineStr">
        <is>
          <t>5</t>
        </is>
      </c>
      <c r="U1005" s="10" t="inlineStr">
        <is>
          <t>VEHICLE</t>
        </is>
      </c>
      <c r="V1005" s="10" t="inlineStr">
        <is>
          <t>T</t>
        </is>
      </c>
      <c r="W1005" s="10" t="inlineStr">
        <is>
          <t>VIVEK B</t>
        </is>
      </c>
    </row>
    <row r="1006">
      <c r="A1006" s="10" t="inlineStr">
        <is>
          <t>TN60AQ3434</t>
        </is>
      </c>
      <c r="B1006" s="10" t="inlineStr">
        <is>
          <t>WOVEN</t>
        </is>
      </c>
      <c r="C1006" s="10" t="inlineStr">
        <is>
          <t>ROAD TAX</t>
        </is>
      </c>
      <c r="D1006" s="10" t="inlineStr">
        <is>
          <t>ROAD TAX</t>
        </is>
      </c>
      <c r="E1006" s="10" t="inlineStr">
        <is>
          <t>YEARLY</t>
        </is>
      </c>
      <c r="F1006" s="11" t="n">
        <v>45383</v>
      </c>
      <c r="G1006" s="11" t="n">
        <v>45747</v>
      </c>
      <c r="H1006" s="12">
        <f>IF(OR($F1006="",$G1006=""),"",$G1006-$F1006+1)</f>
        <v/>
      </c>
      <c r="I1006" s="10">
        <f>IF($F1006="","",IF(MONTH($F1006)&gt;=4,YEAR($F1006)&amp;"-"&amp;TEXT(YEAR($F1006)+1-2000,"00"),YEAR($F1006)-1&amp;"-"&amp;TEXT(YEAR($F1006)-2000,"00")))</f>
        <v/>
      </c>
      <c r="J1006" s="13" t="n">
        <v>32724</v>
      </c>
      <c r="K1006" s="14">
        <f>IFERROR($L1006/$J1006,"")</f>
        <v/>
      </c>
      <c r="L1006" s="13" t="n">
        <v>32724</v>
      </c>
      <c r="M1006" s="13">
        <f>IFERROR($L1006/$H1006,"")</f>
        <v/>
      </c>
      <c r="N1006" s="11" t="n">
        <v>45840</v>
      </c>
      <c r="O1006" s="10">
        <f>IF($N1006="","No","Yes")</f>
        <v/>
      </c>
      <c r="P1006" s="12">
        <f>IF(OR($F1006="",$G1006=""),0,IF(AND($F1006&lt;=README!$B$4,README!$B$4&lt;=$G1006),1,0))</f>
        <v/>
      </c>
      <c r="Q1006" s="12">
        <f>IF(OR($F1006="",$G1006=""),0,IF(AND($F1006&lt;=DATE(README!$B$5,12,31),$G1006&gt;=DATE(README!$B$5,1,1)),1,0))</f>
        <v/>
      </c>
      <c r="R1006" s="10" t="inlineStr">
        <is>
          <t>GUT-VEH0016</t>
        </is>
      </c>
      <c r="S1006" s="11" t="n">
        <v>46023</v>
      </c>
      <c r="T1006" s="10" t="inlineStr">
        <is>
          <t>5</t>
        </is>
      </c>
      <c r="U1006" s="10" t="inlineStr">
        <is>
          <t>VEHICLE</t>
        </is>
      </c>
      <c r="V1006" s="10" t="inlineStr">
        <is>
          <t>T</t>
        </is>
      </c>
      <c r="W1006" s="10" t="inlineStr">
        <is>
          <t>VIVEK B</t>
        </is>
      </c>
    </row>
    <row r="1007">
      <c r="A1007" s="10" t="inlineStr">
        <is>
          <t>TN60AQ3434</t>
        </is>
      </c>
      <c r="B1007" s="10" t="inlineStr">
        <is>
          <t>WOVEN</t>
        </is>
      </c>
      <c r="C1007" s="10" t="inlineStr">
        <is>
          <t>ROAD TAX</t>
        </is>
      </c>
      <c r="D1007" s="10" t="inlineStr">
        <is>
          <t>ROAD TAX</t>
        </is>
      </c>
      <c r="E1007" s="10" t="inlineStr">
        <is>
          <t>YEARLY</t>
        </is>
      </c>
      <c r="F1007" s="11" t="n">
        <v>45383</v>
      </c>
      <c r="G1007" s="11" t="n">
        <v>45747</v>
      </c>
      <c r="H1007" s="12">
        <f>IF(OR($F1007="",$G1007=""),"",$G1007-$F1007+1)</f>
        <v/>
      </c>
      <c r="I1007" s="10">
        <f>IF($F1007="","",IF(MONTH($F1007)&gt;=4,YEAR($F1007)&amp;"-"&amp;TEXT(YEAR($F1007)+1-2000,"00"),YEAR($F1007)-1&amp;"-"&amp;TEXT(YEAR($F1007)-2000,"00")))</f>
        <v/>
      </c>
      <c r="J1007" s="13" t="n">
        <v>32724</v>
      </c>
      <c r="K1007" s="14">
        <f>IFERROR($L1007/$J1007,"")</f>
        <v/>
      </c>
      <c r="L1007" s="13" t="n">
        <v>32724</v>
      </c>
      <c r="M1007" s="13">
        <f>IFERROR($L1007/$H1007,"")</f>
        <v/>
      </c>
      <c r="N1007" s="11" t="n">
        <v>45569</v>
      </c>
      <c r="O1007" s="10">
        <f>IF($N1007="","No","Yes")</f>
        <v/>
      </c>
      <c r="P1007" s="12">
        <f>IF(OR($F1007="",$G1007=""),0,IF(AND($F1007&lt;=README!$B$4,README!$B$4&lt;=$G1007),1,0))</f>
        <v/>
      </c>
      <c r="Q1007" s="12">
        <f>IF(OR($F1007="",$G1007=""),0,IF(AND($F1007&lt;=DATE(README!$B$5,12,31),$G1007&gt;=DATE(README!$B$5,1,1)),1,0))</f>
        <v/>
      </c>
      <c r="R1007" s="10" t="inlineStr">
        <is>
          <t>GUT-VEH0011</t>
        </is>
      </c>
      <c r="S1007" s="11" t="n">
        <v>45475</v>
      </c>
      <c r="T1007" s="10" t="inlineStr">
        <is>
          <t>3</t>
        </is>
      </c>
      <c r="U1007" s="10" t="inlineStr">
        <is>
          <t>VEHICLE</t>
        </is>
      </c>
      <c r="V1007" s="10" t="inlineStr">
        <is>
          <t>T</t>
        </is>
      </c>
      <c r="W1007" s="10" t="inlineStr">
        <is>
          <t>VIVEK B</t>
        </is>
      </c>
    </row>
    <row r="1008">
      <c r="A1008" s="10" t="inlineStr">
        <is>
          <t>TN60AQ3434</t>
        </is>
      </c>
      <c r="B1008" s="10" t="inlineStr">
        <is>
          <t>WOVEN</t>
        </is>
      </c>
      <c r="C1008" s="10" t="inlineStr">
        <is>
          <t>ROAD TAX</t>
        </is>
      </c>
      <c r="D1008" s="10" t="inlineStr">
        <is>
          <t>ROAD TAX</t>
        </is>
      </c>
      <c r="E1008" s="10" t="inlineStr">
        <is>
          <t>YEARLY</t>
        </is>
      </c>
      <c r="F1008" s="11" t="n">
        <v>45383</v>
      </c>
      <c r="G1008" s="11" t="n">
        <v>45747</v>
      </c>
      <c r="H1008" s="12">
        <f>IF(OR($F1008="",$G1008=""),"",$G1008-$F1008+1)</f>
        <v/>
      </c>
      <c r="I1008" s="10">
        <f>IF($F1008="","",IF(MONTH($F1008)&gt;=4,YEAR($F1008)&amp;"-"&amp;TEXT(YEAR($F1008)+1-2000,"00"),YEAR($F1008)-1&amp;"-"&amp;TEXT(YEAR($F1008)-2000,"00")))</f>
        <v/>
      </c>
      <c r="J1008" s="13" t="n">
        <v>32724</v>
      </c>
      <c r="K1008" s="14">
        <f>IFERROR($L1008/$J1008,"")</f>
        <v/>
      </c>
      <c r="L1008" s="13" t="n">
        <v>32724</v>
      </c>
      <c r="M1008" s="13">
        <f>IFERROR($L1008/$H1008,"")</f>
        <v/>
      </c>
      <c r="N1008" s="11" t="n">
        <v>45649</v>
      </c>
      <c r="O1008" s="10">
        <f>IF($N1008="","No","Yes")</f>
        <v/>
      </c>
      <c r="P1008" s="12">
        <f>IF(OR($F1008="",$G1008=""),0,IF(AND($F1008&lt;=README!$B$4,README!$B$4&lt;=$G1008),1,0))</f>
        <v/>
      </c>
      <c r="Q1008" s="12">
        <f>IF(OR($F1008="",$G1008=""),0,IF(AND($F1008&lt;=DATE(README!$B$5,12,31),$G1008&gt;=DATE(README!$B$5,1,1)),1,0))</f>
        <v/>
      </c>
      <c r="R1008" s="10" t="inlineStr">
        <is>
          <t>GUT-VEH0011</t>
        </is>
      </c>
      <c r="S1008" s="11" t="n">
        <v>45475</v>
      </c>
      <c r="T1008" s="10" t="inlineStr">
        <is>
          <t>3</t>
        </is>
      </c>
      <c r="U1008" s="10" t="inlineStr">
        <is>
          <t>VEHICLE</t>
        </is>
      </c>
      <c r="V1008" s="10" t="inlineStr">
        <is>
          <t>T</t>
        </is>
      </c>
      <c r="W1008" s="10" t="inlineStr">
        <is>
          <t>VIVEK B</t>
        </is>
      </c>
    </row>
    <row r="1009">
      <c r="A1009" s="10" t="inlineStr">
        <is>
          <t>TN60AQ3434</t>
        </is>
      </c>
      <c r="B1009" s="10" t="inlineStr">
        <is>
          <t>WOVEN</t>
        </is>
      </c>
      <c r="C1009" s="10" t="inlineStr">
        <is>
          <t>VEHICLE INSURANCE</t>
        </is>
      </c>
      <c r="D1009" s="10" t="inlineStr">
        <is>
          <t>VEHICLE INSURANCE</t>
        </is>
      </c>
      <c r="E1009" s="10" t="inlineStr">
        <is>
          <t>YEARLY</t>
        </is>
      </c>
      <c r="F1009" s="11" t="n">
        <v>45383</v>
      </c>
      <c r="G1009" s="11" t="n">
        <v>45747</v>
      </c>
      <c r="H1009" s="12">
        <f>IF(OR($F1009="",$G1009=""),"",$G1009-$F1009+1)</f>
        <v/>
      </c>
      <c r="I1009" s="10">
        <f>IF($F1009="","",IF(MONTH($F1009)&gt;=4,YEAR($F1009)&amp;"-"&amp;TEXT(YEAR($F1009)+1-2000,"00"),YEAR($F1009)-1&amp;"-"&amp;TEXT(YEAR($F1009)-2000,"00")))</f>
        <v/>
      </c>
      <c r="J1009" s="13" t="n">
        <v>81685</v>
      </c>
      <c r="K1009" s="14">
        <f>IFERROR($L1009/$J1009,"")</f>
        <v/>
      </c>
      <c r="L1009" s="13" t="n">
        <v>81685</v>
      </c>
      <c r="M1009" s="13">
        <f>IFERROR($L1009/$H1009,"")</f>
        <v/>
      </c>
      <c r="N1009" s="11" t="n">
        <v>45737</v>
      </c>
      <c r="O1009" s="10">
        <f>IF($N1009="","No","Yes")</f>
        <v/>
      </c>
      <c r="P1009" s="12">
        <f>IF(OR($F1009="",$G1009=""),0,IF(AND($F1009&lt;=README!$B$4,README!$B$4&lt;=$G1009),1,0))</f>
        <v/>
      </c>
      <c r="Q1009" s="12">
        <f>IF(OR($F1009="",$G1009=""),0,IF(AND($F1009&lt;=DATE(README!$B$5,12,31),$G1009&gt;=DATE(README!$B$5,1,1)),1,0))</f>
        <v/>
      </c>
      <c r="R1009" s="10" t="inlineStr">
        <is>
          <t>GUT-VEH0012</t>
        </is>
      </c>
      <c r="S1009" s="11" t="n">
        <v>45478</v>
      </c>
      <c r="T1009" s="10" t="inlineStr">
        <is>
          <t>3</t>
        </is>
      </c>
      <c r="U1009" s="10" t="inlineStr">
        <is>
          <t>VEHICLE</t>
        </is>
      </c>
      <c r="V1009" s="10" t="inlineStr">
        <is>
          <t>T</t>
        </is>
      </c>
      <c r="W1009" s="10" t="inlineStr">
        <is>
          <t>VIVEK B</t>
        </is>
      </c>
    </row>
    <row r="1010">
      <c r="A1010" s="10" t="inlineStr">
        <is>
          <t>TN60AQ3434</t>
        </is>
      </c>
      <c r="B1010" s="10" t="inlineStr">
        <is>
          <t>WOVEN</t>
        </is>
      </c>
      <c r="C1010" s="10" t="inlineStr">
        <is>
          <t>TYRE</t>
        </is>
      </c>
      <c r="D1010" s="10" t="inlineStr">
        <is>
          <t>TYRE</t>
        </is>
      </c>
      <c r="E1010" s="10" t="inlineStr">
        <is>
          <t>YEARLY</t>
        </is>
      </c>
      <c r="F1010" s="11" t="n">
        <v>45748</v>
      </c>
      <c r="G1010" s="11" t="n">
        <v>46112</v>
      </c>
      <c r="H1010" s="12">
        <f>IF(OR($F1010="",$G1010=""),"",$G1010-$F1010+1)</f>
        <v/>
      </c>
      <c r="I1010" s="10">
        <f>IF($F1010="","",IF(MONTH($F1010)&gt;=4,YEAR($F1010)&amp;"-"&amp;TEXT(YEAR($F1010)+1-2000,"00"),YEAR($F1010)-1&amp;"-"&amp;TEXT(YEAR($F1010)-2000,"00")))</f>
        <v/>
      </c>
      <c r="J1010" s="13" t="n">
        <v>32300</v>
      </c>
      <c r="K1010" s="14">
        <f>IFERROR($L1010/$J1010,"")</f>
        <v/>
      </c>
      <c r="L1010" s="13" t="n">
        <v>32300</v>
      </c>
      <c r="M1010" s="13">
        <f>IFERROR($L1010/$H1010,"")</f>
        <v/>
      </c>
      <c r="N1010" s="11" t="n">
        <v>45957</v>
      </c>
      <c r="O1010" s="10">
        <f>IF($N1010="","No","Yes")</f>
        <v/>
      </c>
      <c r="P1010" s="12">
        <f>IF(OR($F1010="",$G1010=""),0,IF(AND($F1010&lt;=README!$B$4,README!$B$4&lt;=$G1010),1,0))</f>
        <v/>
      </c>
      <c r="Q1010" s="12">
        <f>IF(OR($F1010="",$G1010=""),0,IF(AND($F1010&lt;=DATE(README!$B$5,12,31),$G1010&gt;=DATE(README!$B$5,1,1)),1,0))</f>
        <v/>
      </c>
      <c r="R1010" s="10" t="inlineStr">
        <is>
          <t>GUT-VEH0026</t>
        </is>
      </c>
      <c r="S1010" s="11" t="n">
        <v>45957</v>
      </c>
      <c r="T1010" s="10" t="inlineStr">
        <is>
          <t>5</t>
        </is>
      </c>
      <c r="U1010" s="10" t="inlineStr">
        <is>
          <t>VEHICLE</t>
        </is>
      </c>
      <c r="V1010" s="10" t="inlineStr">
        <is>
          <t>T</t>
        </is>
      </c>
      <c r="W1010" s="10" t="inlineStr">
        <is>
          <t>VIVEK B</t>
        </is>
      </c>
    </row>
    <row r="1011">
      <c r="A1011" s="10" t="inlineStr">
        <is>
          <t>TN60AQ3434</t>
        </is>
      </c>
      <c r="B1011" s="10" t="inlineStr">
        <is>
          <t>WOVEN</t>
        </is>
      </c>
      <c r="C1011" s="10" t="inlineStr">
        <is>
          <t>VEHICLE INSURANCE</t>
        </is>
      </c>
      <c r="D1011" s="10" t="inlineStr">
        <is>
          <t>VEHICLE INSURANCE</t>
        </is>
      </c>
      <c r="E1011" s="10" t="inlineStr">
        <is>
          <t>YEARLY</t>
        </is>
      </c>
      <c r="F1011" s="11" t="n">
        <v>45748</v>
      </c>
      <c r="G1011" s="11" t="n">
        <v>46112</v>
      </c>
      <c r="H1011" s="12">
        <f>IF(OR($F1011="",$G1011=""),"",$G1011-$F1011+1)</f>
        <v/>
      </c>
      <c r="I1011" s="10">
        <f>IF($F1011="","",IF(MONTH($F1011)&gt;=4,YEAR($F1011)&amp;"-"&amp;TEXT(YEAR($F1011)+1-2000,"00"),YEAR($F1011)-1&amp;"-"&amp;TEXT(YEAR($F1011)-2000,"00")))</f>
        <v/>
      </c>
      <c r="J1011" s="13" t="n">
        <v>80110</v>
      </c>
      <c r="K1011" s="14">
        <f>IFERROR($L1011/$J1011,"")</f>
        <v/>
      </c>
      <c r="L1011" s="13" t="n">
        <v>80110</v>
      </c>
      <c r="M1011" s="13">
        <f>IFERROR($L1011/$H1011,"")</f>
        <v/>
      </c>
      <c r="N1011" s="11" t="n">
        <v>46108</v>
      </c>
      <c r="O1011" s="10">
        <f>IF($N1011="","No","Yes")</f>
        <v/>
      </c>
      <c r="P1011" s="12">
        <f>IF(OR($F1011="",$G1011=""),0,IF(AND($F1011&lt;=README!$B$4,README!$B$4&lt;=$G1011),1,0))</f>
        <v/>
      </c>
      <c r="Q1011" s="12">
        <f>IF(OR($F1011="",$G1011=""),0,IF(AND($F1011&lt;=DATE(README!$B$5,12,31),$G1011&gt;=DATE(README!$B$5,1,1)),1,0))</f>
        <v/>
      </c>
      <c r="R1011" s="10" t="inlineStr">
        <is>
          <t>GUT-VEH0019</t>
        </is>
      </c>
      <c r="S1011" s="11" t="n">
        <v>45799</v>
      </c>
      <c r="T1011" s="10" t="inlineStr">
        <is>
          <t>5</t>
        </is>
      </c>
      <c r="U1011" s="10" t="inlineStr">
        <is>
          <t>VEHICLE</t>
        </is>
      </c>
      <c r="V1011" s="10" t="inlineStr">
        <is>
          <t>T</t>
        </is>
      </c>
      <c r="W1011" s="10" t="inlineStr">
        <is>
          <t>VIVEK B</t>
        </is>
      </c>
    </row>
    <row r="1012">
      <c r="A1012" s="10" t="inlineStr">
        <is>
          <t>TN60AQ3434</t>
        </is>
      </c>
      <c r="B1012" s="10" t="inlineStr"/>
      <c r="C1012" s="10" t="inlineStr">
        <is>
          <t>VEHICLE OUTSIDE SERVICES</t>
        </is>
      </c>
      <c r="D1012" s="10" t="inlineStr">
        <is>
          <t xml:space="preserve">MAINTENANCE SERVICE </t>
        </is>
      </c>
      <c r="E1012" s="10" t="inlineStr">
        <is>
          <t>YEARLY</t>
        </is>
      </c>
      <c r="F1012" s="11" t="n">
        <v>45748</v>
      </c>
      <c r="G1012" s="11" t="n">
        <v>46112</v>
      </c>
      <c r="H1012" s="12">
        <f>IF(OR($F1012="",$G1012=""),"",$G1012-$F1012+1)</f>
        <v/>
      </c>
      <c r="I1012" s="10">
        <f>IF($F1012="","",IF(MONTH($F1012)&gt;=4,YEAR($F1012)&amp;"-"&amp;TEXT(YEAR($F1012)+1-2000,"00"),YEAR($F1012)-1&amp;"-"&amp;TEXT(YEAR($F1012)-2000,"00")))</f>
        <v/>
      </c>
      <c r="J1012" s="13" t="n">
        <v>14932</v>
      </c>
      <c r="K1012" s="14">
        <f>IFERROR($L1012/$J1012,"")</f>
        <v/>
      </c>
      <c r="L1012" s="13" t="n">
        <v>14932</v>
      </c>
      <c r="M1012" s="13">
        <f>IFERROR($L1012/$H1012,"")</f>
        <v/>
      </c>
      <c r="N1012" s="11" t="n">
        <v>45873</v>
      </c>
      <c r="O1012" s="10">
        <f>IF($N1012="","No","Yes")</f>
        <v/>
      </c>
      <c r="P1012" s="12">
        <f>IF(OR($F1012="",$G1012=""),0,IF(AND($F1012&lt;=README!$B$4,README!$B$4&lt;=$G1012),1,0))</f>
        <v/>
      </c>
      <c r="Q1012" s="12">
        <f>IF(OR($F1012="",$G1012=""),0,IF(AND($F1012&lt;=DATE(README!$B$5,12,31),$G1012&gt;=DATE(README!$B$5,1,1)),1,0))</f>
        <v/>
      </c>
      <c r="R1012" s="10" t="inlineStr">
        <is>
          <t>GUT-VEH0021</t>
        </is>
      </c>
      <c r="S1012" s="11" t="n">
        <v>45812</v>
      </c>
      <c r="T1012" s="10" t="inlineStr">
        <is>
          <t>5</t>
        </is>
      </c>
      <c r="U1012" s="10" t="inlineStr">
        <is>
          <t>VEHICLE</t>
        </is>
      </c>
      <c r="V1012" s="10" t="inlineStr">
        <is>
          <t>T</t>
        </is>
      </c>
      <c r="W1012" s="10" t="inlineStr">
        <is>
          <t>VIVEK B</t>
        </is>
      </c>
    </row>
    <row r="1013">
      <c r="A1013" s="10" t="inlineStr">
        <is>
          <t>TN60AQ3434</t>
        </is>
      </c>
      <c r="B1013" s="10" t="inlineStr">
        <is>
          <t>WOVEN</t>
        </is>
      </c>
      <c r="C1013" s="10" t="inlineStr">
        <is>
          <t>ROAD TAX</t>
        </is>
      </c>
      <c r="D1013" s="10" t="inlineStr">
        <is>
          <t>ROAD TAX</t>
        </is>
      </c>
      <c r="E1013" s="10" t="inlineStr">
        <is>
          <t>QUARTER - IV</t>
        </is>
      </c>
      <c r="F1013" s="11" t="n">
        <v>46023</v>
      </c>
      <c r="G1013" s="11" t="n">
        <v>46112</v>
      </c>
      <c r="H1013" s="12">
        <f>IF(OR($F1013="",$G1013=""),"",$G1013-$F1013+1)</f>
        <v/>
      </c>
      <c r="I1013" s="10">
        <f>IF($F1013="","",IF(MONTH($F1013)&gt;=4,YEAR($F1013)&amp;"-"&amp;TEXT(YEAR($F1013)+1-2000,"00"),YEAR($F1013)-1&amp;"-"&amp;TEXT(YEAR($F1013)-2000,"00")))</f>
        <v/>
      </c>
      <c r="J1013" s="13" t="n">
        <v>32734</v>
      </c>
      <c r="K1013" s="14">
        <f>IFERROR($L1013/$J1013,"")</f>
        <v/>
      </c>
      <c r="L1013" s="13" t="n">
        <v>32734</v>
      </c>
      <c r="M1013" s="13">
        <f>IFERROR($L1013/$H1013,"")</f>
        <v/>
      </c>
      <c r="N1013" s="11" t="n">
        <v>46065</v>
      </c>
      <c r="O1013" s="10">
        <f>IF($N1013="","No","Yes")</f>
        <v/>
      </c>
      <c r="P1013" s="12">
        <f>IF(OR($F1013="",$G1013=""),0,IF(AND($F1013&lt;=README!$B$4,README!$B$4&lt;=$G1013),1,0))</f>
        <v/>
      </c>
      <c r="Q1013" s="12">
        <f>IF(OR($F1013="",$G1013=""),0,IF(AND($F1013&lt;=DATE(README!$B$5,12,31),$G1013&gt;=DATE(README!$B$5,1,1)),1,0))</f>
        <v/>
      </c>
      <c r="R1013" s="10" t="inlineStr">
        <is>
          <t>GUT-VEH0016</t>
        </is>
      </c>
      <c r="S1013" s="11" t="n">
        <v>46023</v>
      </c>
      <c r="T1013" s="10" t="inlineStr">
        <is>
          <t>5</t>
        </is>
      </c>
      <c r="U1013" s="10" t="inlineStr">
        <is>
          <t>VEHICLE</t>
        </is>
      </c>
      <c r="V1013" s="10" t="inlineStr">
        <is>
          <t>T</t>
        </is>
      </c>
      <c r="W1013" s="10" t="inlineStr">
        <is>
          <t>VIVEK B</t>
        </is>
      </c>
    </row>
    <row r="1014">
      <c r="A1014" s="10" t="inlineStr">
        <is>
          <t>TN60AQ3434</t>
        </is>
      </c>
      <c r="B1014" s="10" t="inlineStr">
        <is>
          <t>WOVEN</t>
        </is>
      </c>
      <c r="C1014" s="10" t="inlineStr">
        <is>
          <t>FC WORK</t>
        </is>
      </c>
      <c r="D1014" s="10" t="inlineStr">
        <is>
          <t>FC WORK</t>
        </is>
      </c>
      <c r="E1014" s="10" t="inlineStr">
        <is>
          <t>YEARLY</t>
        </is>
      </c>
      <c r="F1014" s="11" t="n">
        <v>46113</v>
      </c>
      <c r="G1014" s="11" t="n">
        <v>46477</v>
      </c>
      <c r="H1014" s="12">
        <f>IF(OR($F1014="",$G1014=""),"",$G1014-$F1014+1)</f>
        <v/>
      </c>
      <c r="I1014" s="10">
        <f>IF($F1014="","",IF(MONTH($F1014)&gt;=4,YEAR($F1014)&amp;"-"&amp;TEXT(YEAR($F1014)+1-2000,"00"),YEAR($F1014)-1&amp;"-"&amp;TEXT(YEAR($F1014)-2000,"00")))</f>
        <v/>
      </c>
      <c r="J1014" s="13" t="n">
        <v>66462</v>
      </c>
      <c r="K1014" s="14">
        <f>IFERROR($L1014/$J1014,"")</f>
        <v/>
      </c>
      <c r="L1014" s="13" t="n">
        <v>66462</v>
      </c>
      <c r="M1014" s="13">
        <f>IFERROR($L1014/$H1014,"")</f>
        <v/>
      </c>
      <c r="N1014" s="11" t="n">
        <v>46191</v>
      </c>
      <c r="O1014" s="10">
        <f>IF($N1014="","No","Yes")</f>
        <v/>
      </c>
      <c r="P1014" s="12">
        <f>IF(OR($F1014="",$G1014=""),0,IF(AND($F1014&lt;=README!$B$4,README!$B$4&lt;=$G1014),1,0))</f>
        <v/>
      </c>
      <c r="Q1014" s="12">
        <f>IF(OR($F1014="",$G1014=""),0,IF(AND($F1014&lt;=DATE(README!$B$5,12,31),$G1014&gt;=DATE(README!$B$5,1,1)),1,0))</f>
        <v/>
      </c>
      <c r="R1014" s="10" t="inlineStr">
        <is>
          <t>GUT-VEH0036</t>
        </is>
      </c>
      <c r="S1014" s="11" t="n">
        <v>46191</v>
      </c>
      <c r="T1014" s="10" t="inlineStr">
        <is>
          <t>5</t>
        </is>
      </c>
      <c r="U1014" s="10" t="inlineStr">
        <is>
          <t>VEHICLE</t>
        </is>
      </c>
      <c r="V1014" s="10" t="inlineStr">
        <is>
          <t>T</t>
        </is>
      </c>
      <c r="W1014" s="10" t="inlineStr">
        <is>
          <t>VIVEK B</t>
        </is>
      </c>
    </row>
    <row r="1015">
      <c r="A1015" s="10" t="inlineStr">
        <is>
          <t>TN60AQ3434</t>
        </is>
      </c>
      <c r="B1015" s="10" t="inlineStr">
        <is>
          <t>WOVEN</t>
        </is>
      </c>
      <c r="C1015" s="10" t="inlineStr">
        <is>
          <t>ROAD TAX</t>
        </is>
      </c>
      <c r="D1015" s="10" t="inlineStr">
        <is>
          <t>ROAD TAX</t>
        </is>
      </c>
      <c r="E1015" s="10" t="inlineStr">
        <is>
          <t>QUARTER - I</t>
        </is>
      </c>
      <c r="F1015" s="11" t="n">
        <v>46113</v>
      </c>
      <c r="G1015" s="11" t="n">
        <v>46203</v>
      </c>
      <c r="H1015" s="12">
        <f>IF(OR($F1015="",$G1015=""),"",$G1015-$F1015+1)</f>
        <v/>
      </c>
      <c r="I1015" s="10">
        <f>IF($F1015="","",IF(MONTH($F1015)&gt;=4,YEAR($F1015)&amp;"-"&amp;TEXT(YEAR($F1015)+1-2000,"00"),YEAR($F1015)-1&amp;"-"&amp;TEXT(YEAR($F1015)-2000,"00")))</f>
        <v/>
      </c>
      <c r="J1015" s="13" t="n">
        <v>32734</v>
      </c>
      <c r="K1015" s="14">
        <f>IFERROR($L1015/$J1015,"")</f>
        <v/>
      </c>
      <c r="L1015" s="13" t="n">
        <v>32734</v>
      </c>
      <c r="M1015" s="13">
        <f>IFERROR($L1015/$H1015,"")</f>
        <v/>
      </c>
      <c r="N1015" s="11" t="n">
        <v>46088</v>
      </c>
      <c r="O1015" s="10">
        <f>IF($N1015="","No","Yes")</f>
        <v/>
      </c>
      <c r="P1015" s="12">
        <f>IF(OR($F1015="",$G1015=""),0,IF(AND($F1015&lt;=README!$B$4,README!$B$4&lt;=$G1015),1,0))</f>
        <v/>
      </c>
      <c r="Q1015" s="12">
        <f>IF(OR($F1015="",$G1015=""),0,IF(AND($F1015&lt;=DATE(README!$B$5,12,31),$G1015&gt;=DATE(README!$B$5,1,1)),1,0))</f>
        <v/>
      </c>
      <c r="R1015" s="10" t="inlineStr">
        <is>
          <t>GUT-VEH0029</t>
        </is>
      </c>
      <c r="S1015" s="11" t="n">
        <v>46087</v>
      </c>
      <c r="T1015" s="10" t="inlineStr">
        <is>
          <t>5</t>
        </is>
      </c>
      <c r="U1015" s="10" t="inlineStr">
        <is>
          <t>VEHICLE</t>
        </is>
      </c>
      <c r="V1015" s="10" t="inlineStr">
        <is>
          <t>T</t>
        </is>
      </c>
      <c r="W1015" s="10" t="inlineStr">
        <is>
          <t>VIVEK B</t>
        </is>
      </c>
    </row>
    <row r="1016">
      <c r="A1016" s="10" t="inlineStr">
        <is>
          <t>TN60AQ3434</t>
        </is>
      </c>
      <c r="B1016" s="10" t="inlineStr">
        <is>
          <t>WOVEN</t>
        </is>
      </c>
      <c r="C1016" s="10" t="inlineStr">
        <is>
          <t>RTO EXPENSE</t>
        </is>
      </c>
      <c r="D1016" s="10" t="inlineStr">
        <is>
          <t>RTO EXPENSES - FC</t>
        </is>
      </c>
      <c r="E1016" s="10" t="inlineStr">
        <is>
          <t>YEARLY</t>
        </is>
      </c>
      <c r="F1016" s="11" t="n">
        <v>46113</v>
      </c>
      <c r="G1016" s="11" t="n">
        <v>46477</v>
      </c>
      <c r="H1016" s="12">
        <f>IF(OR($F1016="",$G1016=""),"",$G1016-$F1016+1)</f>
        <v/>
      </c>
      <c r="I1016" s="10">
        <f>IF($F1016="","",IF(MONTH($F1016)&gt;=4,YEAR($F1016)&amp;"-"&amp;TEXT(YEAR($F1016)+1-2000,"00"),YEAR($F1016)-1&amp;"-"&amp;TEXT(YEAR($F1016)-2000,"00")))</f>
        <v/>
      </c>
      <c r="J1016" s="13" t="n">
        <v>12500</v>
      </c>
      <c r="K1016" s="14">
        <f>IFERROR($L1016/$J1016,"")</f>
        <v/>
      </c>
      <c r="L1016" s="13" t="n">
        <v>12500</v>
      </c>
      <c r="M1016" s="13">
        <f>IFERROR($L1016/$H1016,"")</f>
        <v/>
      </c>
      <c r="N1016" s="11" t="n">
        <v>46191</v>
      </c>
      <c r="O1016" s="10">
        <f>IF($N1016="","No","Yes")</f>
        <v/>
      </c>
      <c r="P1016" s="12">
        <f>IF(OR($F1016="",$G1016=""),0,IF(AND($F1016&lt;=README!$B$4,README!$B$4&lt;=$G1016),1,0))</f>
        <v/>
      </c>
      <c r="Q1016" s="12">
        <f>IF(OR($F1016="",$G1016=""),0,IF(AND($F1016&lt;=DATE(README!$B$5,12,31),$G1016&gt;=DATE(README!$B$5,1,1)),1,0))</f>
        <v/>
      </c>
      <c r="R1016" s="10" t="inlineStr">
        <is>
          <t>GUT-VEH0037</t>
        </is>
      </c>
      <c r="S1016" s="11" t="n">
        <v>46191</v>
      </c>
      <c r="T1016" s="10" t="inlineStr">
        <is>
          <t>5</t>
        </is>
      </c>
      <c r="U1016" s="10" t="inlineStr">
        <is>
          <t>VEHICLE</t>
        </is>
      </c>
      <c r="V1016" s="10" t="inlineStr">
        <is>
          <t>T</t>
        </is>
      </c>
      <c r="W1016" s="10" t="inlineStr">
        <is>
          <t>VIVEK B</t>
        </is>
      </c>
    </row>
    <row r="1017">
      <c r="A1017" s="10" t="inlineStr">
        <is>
          <t>TN60AQ3434</t>
        </is>
      </c>
      <c r="B1017" s="10" t="inlineStr">
        <is>
          <t>WOVEN</t>
        </is>
      </c>
      <c r="C1017" s="10" t="inlineStr">
        <is>
          <t>VEHICLE OUTSIDE SERVICES</t>
        </is>
      </c>
      <c r="D1017" s="10" t="inlineStr">
        <is>
          <t xml:space="preserve">MAINTENANCE SERVICE </t>
        </is>
      </c>
      <c r="E1017" s="10" t="inlineStr">
        <is>
          <t>MAY</t>
        </is>
      </c>
      <c r="F1017" s="11" t="n">
        <v>46143</v>
      </c>
      <c r="G1017" s="11" t="n">
        <v>46173</v>
      </c>
      <c r="H1017" s="12">
        <f>IF(OR($F1017="",$G1017=""),"",$G1017-$F1017+1)</f>
        <v/>
      </c>
      <c r="I1017" s="10">
        <f>IF($F1017="","",IF(MONTH($F1017)&gt;=4,YEAR($F1017)&amp;"-"&amp;TEXT(YEAR($F1017)+1-2000,"00"),YEAR($F1017)-1&amp;"-"&amp;TEXT(YEAR($F1017)-2000,"00")))</f>
        <v/>
      </c>
      <c r="J1017" s="13" t="n">
        <v>52413.33</v>
      </c>
      <c r="K1017" s="14">
        <f>IFERROR($L1017/$J1017,"")</f>
        <v/>
      </c>
      <c r="L1017" s="13" t="n">
        <v>52413.33</v>
      </c>
      <c r="M1017" s="13">
        <f>IFERROR($L1017/$H1017,"")</f>
        <v/>
      </c>
      <c r="N1017" s="11" t="n">
        <v>46176</v>
      </c>
      <c r="O1017" s="10">
        <f>IF($N1017="","No","Yes")</f>
        <v/>
      </c>
      <c r="P1017" s="12">
        <f>IF(OR($F1017="",$G1017=""),0,IF(AND($F1017&lt;=README!$B$4,README!$B$4&lt;=$G1017),1,0))</f>
        <v/>
      </c>
      <c r="Q1017" s="12">
        <f>IF(OR($F1017="",$G1017=""),0,IF(AND($F1017&lt;=DATE(README!$B$5,12,31),$G1017&gt;=DATE(README!$B$5,1,1)),1,0))</f>
        <v/>
      </c>
      <c r="R1017" s="10" t="inlineStr">
        <is>
          <t>GUT-VEH0032</t>
        </is>
      </c>
      <c r="S1017" s="11" t="n">
        <v>46137</v>
      </c>
      <c r="T1017" s="10" t="inlineStr">
        <is>
          <t>5</t>
        </is>
      </c>
      <c r="U1017" s="10" t="inlineStr">
        <is>
          <t>VEHICLE</t>
        </is>
      </c>
      <c r="V1017" s="10" t="inlineStr">
        <is>
          <t>T</t>
        </is>
      </c>
      <c r="W1017" s="10" t="inlineStr">
        <is>
          <t>VIVEK B</t>
        </is>
      </c>
    </row>
    <row r="1018">
      <c r="A1018" s="10" t="inlineStr">
        <is>
          <t>TN60AQ3434</t>
        </is>
      </c>
      <c r="B1018" s="10" t="inlineStr">
        <is>
          <t>WOVEN</t>
        </is>
      </c>
      <c r="C1018" s="10" t="inlineStr">
        <is>
          <t>VEHICLE OUTSIDE SERVICES</t>
        </is>
      </c>
      <c r="D1018" s="10" t="inlineStr">
        <is>
          <t>MAINTENANCE SERVICE - 2</t>
        </is>
      </c>
      <c r="E1018" s="10" t="inlineStr">
        <is>
          <t>JUNE</t>
        </is>
      </c>
      <c r="F1018" s="11" t="n">
        <v>46174</v>
      </c>
      <c r="G1018" s="11" t="n">
        <v>46203</v>
      </c>
      <c r="H1018" s="12">
        <f>IF(OR($F1018="",$G1018=""),"",$G1018-$F1018+1)</f>
        <v/>
      </c>
      <c r="I1018" s="10">
        <f>IF($F1018="","",IF(MONTH($F1018)&gt;=4,YEAR($F1018)&amp;"-"&amp;TEXT(YEAR($F1018)+1-2000,"00"),YEAR($F1018)-1&amp;"-"&amp;TEXT(YEAR($F1018)-2000,"00")))</f>
        <v/>
      </c>
      <c r="J1018" s="13" t="n">
        <v>14695.05</v>
      </c>
      <c r="K1018" s="14">
        <f>IFERROR($L1018/$J1018,"")</f>
        <v/>
      </c>
      <c r="L1018" s="13" t="n">
        <v>14695.05</v>
      </c>
      <c r="M1018" s="13">
        <f>IFERROR($L1018/$H1018,"")</f>
        <v/>
      </c>
      <c r="N1018" s="11" t="n">
        <v>46200</v>
      </c>
      <c r="O1018" s="10">
        <f>IF($N1018="","No","Yes")</f>
        <v/>
      </c>
      <c r="P1018" s="12">
        <f>IF(OR($F1018="",$G1018=""),0,IF(AND($F1018&lt;=README!$B$4,README!$B$4&lt;=$G1018),1,0))</f>
        <v/>
      </c>
      <c r="Q1018" s="12">
        <f>IF(OR($F1018="",$G1018=""),0,IF(AND($F1018&lt;=DATE(README!$B$5,12,31),$G1018&gt;=DATE(README!$B$5,1,1)),1,0))</f>
        <v/>
      </c>
      <c r="R1018" s="10" t="inlineStr">
        <is>
          <t>GUT-VEH0032</t>
        </is>
      </c>
      <c r="S1018" s="11" t="n">
        <v>46137</v>
      </c>
      <c r="T1018" s="10" t="inlineStr">
        <is>
          <t>5</t>
        </is>
      </c>
      <c r="U1018" s="10" t="inlineStr">
        <is>
          <t>VEHICLE</t>
        </is>
      </c>
      <c r="V1018" s="10" t="inlineStr">
        <is>
          <t>T</t>
        </is>
      </c>
      <c r="W1018" s="10" t="inlineStr">
        <is>
          <t>VIVEK B</t>
        </is>
      </c>
    </row>
    <row r="1019">
      <c r="A1019" s="10" t="inlineStr">
        <is>
          <t>TN60AQ3434</t>
        </is>
      </c>
      <c r="B1019" s="10" t="inlineStr">
        <is>
          <t>WOVEN</t>
        </is>
      </c>
      <c r="C1019" s="10" t="inlineStr">
        <is>
          <t>ROAD TAX</t>
        </is>
      </c>
      <c r="D1019" s="10" t="inlineStr">
        <is>
          <t>ROAD TAX</t>
        </is>
      </c>
      <c r="E1019" s="10" t="inlineStr">
        <is>
          <t>QUARTER - II</t>
        </is>
      </c>
      <c r="F1019" s="11" t="n">
        <v>46204</v>
      </c>
      <c r="G1019" s="11" t="n">
        <v>46295</v>
      </c>
      <c r="H1019" s="12">
        <f>IF(OR($F1019="",$G1019=""),"",$G1019-$F1019+1)</f>
        <v/>
      </c>
      <c r="I1019" s="10">
        <f>IF($F1019="","",IF(MONTH($F1019)&gt;=4,YEAR($F1019)&amp;"-"&amp;TEXT(YEAR($F1019)+1-2000,"00"),YEAR($F1019)-1&amp;"-"&amp;TEXT(YEAR($F1019)-2000,"00")))</f>
        <v/>
      </c>
      <c r="J1019" s="13" t="n">
        <v>32734</v>
      </c>
      <c r="K1019" s="14">
        <f>IFERROR($L1019/$J1019,"")</f>
        <v/>
      </c>
      <c r="L1019" s="13" t="n">
        <v>32734</v>
      </c>
      <c r="M1019" s="13">
        <f>IFERROR($L1019/$H1019,"")</f>
        <v/>
      </c>
      <c r="N1019" s="11" t="n">
        <v>46196</v>
      </c>
      <c r="O1019" s="10">
        <f>IF($N1019="","No","Yes")</f>
        <v/>
      </c>
      <c r="P1019" s="12">
        <f>IF(OR($F1019="",$G1019=""),0,IF(AND($F1019&lt;=README!$B$4,README!$B$4&lt;=$G1019),1,0))</f>
        <v/>
      </c>
      <c r="Q1019" s="12">
        <f>IF(OR($F1019="",$G1019=""),0,IF(AND($F1019&lt;=DATE(README!$B$5,12,31),$G1019&gt;=DATE(README!$B$5,1,1)),1,0))</f>
        <v/>
      </c>
      <c r="R1019" s="10" t="inlineStr">
        <is>
          <t>GUT-VEH0038</t>
        </is>
      </c>
      <c r="S1019" s="11" t="n">
        <v>46193</v>
      </c>
      <c r="T1019" s="10" t="inlineStr">
        <is>
          <t>5</t>
        </is>
      </c>
      <c r="U1019" s="10" t="inlineStr">
        <is>
          <t>VEHICLE</t>
        </is>
      </c>
      <c r="V1019" s="10" t="inlineStr">
        <is>
          <t>T</t>
        </is>
      </c>
      <c r="W1019" s="10" t="inlineStr">
        <is>
          <t>VIVEK B</t>
        </is>
      </c>
    </row>
    <row r="1020">
      <c r="A1020" s="10" t="inlineStr">
        <is>
          <t>TN60AS3434</t>
        </is>
      </c>
      <c r="B1020" s="10" t="inlineStr">
        <is>
          <t>WOVEN</t>
        </is>
      </c>
      <c r="C1020" s="10" t="inlineStr">
        <is>
          <t>ADBLU</t>
        </is>
      </c>
      <c r="D1020" s="10" t="inlineStr">
        <is>
          <t>ADBLU</t>
        </is>
      </c>
      <c r="E1020" s="10" t="inlineStr">
        <is>
          <t>YEARLY</t>
        </is>
      </c>
      <c r="F1020" s="11" t="n">
        <v>45383</v>
      </c>
      <c r="G1020" s="11" t="n">
        <v>45747</v>
      </c>
      <c r="H1020" s="12">
        <f>IF(OR($F1020="",$G1020=""),"",$G1020-$F1020+1)</f>
        <v/>
      </c>
      <c r="I1020" s="10">
        <f>IF($F1020="","",IF(MONTH($F1020)&gt;=4,YEAR($F1020)&amp;"-"&amp;TEXT(YEAR($F1020)+1-2000,"00"),YEAR($F1020)-1&amp;"-"&amp;TEXT(YEAR($F1020)-2000,"00")))</f>
        <v/>
      </c>
      <c r="J1020" s="13" t="n">
        <v>61</v>
      </c>
      <c r="K1020" s="14">
        <f>IFERROR($L1020/$J1020,"")</f>
        <v/>
      </c>
      <c r="L1020" s="13" t="n">
        <v>2745</v>
      </c>
      <c r="M1020" s="13">
        <f>IFERROR($L1020/$H1020,"")</f>
        <v/>
      </c>
      <c r="N1020" s="11" t="n">
        <v>45623</v>
      </c>
      <c r="O1020" s="10">
        <f>IF($N1020="","No","Yes")</f>
        <v/>
      </c>
      <c r="P1020" s="12">
        <f>IF(OR($F1020="",$G1020=""),0,IF(AND($F1020&lt;=README!$B$4,README!$B$4&lt;=$G1020),1,0))</f>
        <v/>
      </c>
      <c r="Q1020" s="12">
        <f>IF(OR($F1020="",$G1020=""),0,IF(AND($F1020&lt;=DATE(README!$B$5,12,31),$G1020&gt;=DATE(README!$B$5,1,1)),1,0))</f>
        <v/>
      </c>
      <c r="R1020" s="10" t="inlineStr">
        <is>
          <t>GUT-VEH0008</t>
        </is>
      </c>
      <c r="S1020" s="11" t="n">
        <v>45475</v>
      </c>
      <c r="T1020" s="10" t="inlineStr">
        <is>
          <t>3</t>
        </is>
      </c>
      <c r="U1020" s="10" t="inlineStr">
        <is>
          <t>VEHICLE</t>
        </is>
      </c>
      <c r="V1020" s="10" t="inlineStr">
        <is>
          <t>T</t>
        </is>
      </c>
      <c r="W1020" s="10" t="inlineStr">
        <is>
          <t>VIVEK B</t>
        </is>
      </c>
    </row>
    <row r="1021">
      <c r="A1021" s="10" t="inlineStr">
        <is>
          <t>TN60AS3434</t>
        </is>
      </c>
      <c r="B1021" s="10" t="inlineStr">
        <is>
          <t>WOVEN</t>
        </is>
      </c>
      <c r="C1021" s="10" t="inlineStr">
        <is>
          <t>ADBLU</t>
        </is>
      </c>
      <c r="D1021" s="10" t="inlineStr">
        <is>
          <t>ADBLU</t>
        </is>
      </c>
      <c r="E1021" s="10" t="inlineStr">
        <is>
          <t>YEARLY</t>
        </is>
      </c>
      <c r="F1021" s="11" t="n">
        <v>45383</v>
      </c>
      <c r="G1021" s="11" t="n">
        <v>45747</v>
      </c>
      <c r="H1021" s="12">
        <f>IF(OR($F1021="",$G1021=""),"",$G1021-$F1021+1)</f>
        <v/>
      </c>
      <c r="I1021" s="10">
        <f>IF($F1021="","",IF(MONTH($F1021)&gt;=4,YEAR($F1021)&amp;"-"&amp;TEXT(YEAR($F1021)+1-2000,"00"),YEAR($F1021)-1&amp;"-"&amp;TEXT(YEAR($F1021)-2000,"00")))</f>
        <v/>
      </c>
      <c r="J1021" s="13" t="n">
        <v>61</v>
      </c>
      <c r="K1021" s="14">
        <f>IFERROR($L1021/$J1021,"")</f>
        <v/>
      </c>
      <c r="L1021" s="13" t="n">
        <v>2745</v>
      </c>
      <c r="M1021" s="13">
        <f>IFERROR($L1021/$H1021,"")</f>
        <v/>
      </c>
      <c r="N1021" s="11" t="n">
        <v>45602</v>
      </c>
      <c r="O1021" s="10">
        <f>IF($N1021="","No","Yes")</f>
        <v/>
      </c>
      <c r="P1021" s="12">
        <f>IF(OR($F1021="",$G1021=""),0,IF(AND($F1021&lt;=README!$B$4,README!$B$4&lt;=$G1021),1,0))</f>
        <v/>
      </c>
      <c r="Q1021" s="12">
        <f>IF(OR($F1021="",$G1021=""),0,IF(AND($F1021&lt;=DATE(README!$B$5,12,31),$G1021&gt;=DATE(README!$B$5,1,1)),1,0))</f>
        <v/>
      </c>
      <c r="R1021" s="10" t="inlineStr">
        <is>
          <t>GUT-VEH0008</t>
        </is>
      </c>
      <c r="S1021" s="11" t="n">
        <v>45475</v>
      </c>
      <c r="T1021" s="10" t="inlineStr">
        <is>
          <t>3</t>
        </is>
      </c>
      <c r="U1021" s="10" t="inlineStr">
        <is>
          <t>VEHICLE</t>
        </is>
      </c>
      <c r="V1021" s="10" t="inlineStr">
        <is>
          <t>T</t>
        </is>
      </c>
      <c r="W1021" s="10" t="inlineStr">
        <is>
          <t>VIVEK B</t>
        </is>
      </c>
    </row>
    <row r="1022">
      <c r="A1022" s="10" t="inlineStr">
        <is>
          <t>TN60AS3434</t>
        </is>
      </c>
      <c r="B1022" s="10" t="inlineStr">
        <is>
          <t>WOVEN</t>
        </is>
      </c>
      <c r="C1022" s="10" t="inlineStr">
        <is>
          <t>ADBLU</t>
        </is>
      </c>
      <c r="D1022" s="10" t="inlineStr">
        <is>
          <t>ADBLU</t>
        </is>
      </c>
      <c r="E1022" s="10" t="inlineStr">
        <is>
          <t>YEARLY</t>
        </is>
      </c>
      <c r="F1022" s="11" t="n">
        <v>45383</v>
      </c>
      <c r="G1022" s="11" t="n">
        <v>45747</v>
      </c>
      <c r="H1022" s="12">
        <f>IF(OR($F1022="",$G1022=""),"",$G1022-$F1022+1)</f>
        <v/>
      </c>
      <c r="I1022" s="10">
        <f>IF($F1022="","",IF(MONTH($F1022)&gt;=4,YEAR($F1022)&amp;"-"&amp;TEXT(YEAR($F1022)+1-2000,"00"),YEAR($F1022)-1&amp;"-"&amp;TEXT(YEAR($F1022)-2000,"00")))</f>
        <v/>
      </c>
      <c r="J1022" s="13" t="n">
        <v>61</v>
      </c>
      <c r="K1022" s="14">
        <f>IFERROR($L1022/$J1022,"")</f>
        <v/>
      </c>
      <c r="L1022" s="13" t="n">
        <v>2440</v>
      </c>
      <c r="M1022" s="13">
        <f>IFERROR($L1022/$H1022,"")</f>
        <v/>
      </c>
      <c r="N1022" s="11" t="n">
        <v>45479</v>
      </c>
      <c r="O1022" s="10">
        <f>IF($N1022="","No","Yes")</f>
        <v/>
      </c>
      <c r="P1022" s="12">
        <f>IF(OR($F1022="",$G1022=""),0,IF(AND($F1022&lt;=README!$B$4,README!$B$4&lt;=$G1022),1,0))</f>
        <v/>
      </c>
      <c r="Q1022" s="12">
        <f>IF(OR($F1022="",$G1022=""),0,IF(AND($F1022&lt;=DATE(README!$B$5,12,31),$G1022&gt;=DATE(README!$B$5,1,1)),1,0))</f>
        <v/>
      </c>
      <c r="R1022" s="10" t="inlineStr">
        <is>
          <t>GUT-VEH0008</t>
        </is>
      </c>
      <c r="S1022" s="11" t="n">
        <v>45475</v>
      </c>
      <c r="T1022" s="10" t="inlineStr">
        <is>
          <t>3</t>
        </is>
      </c>
      <c r="U1022" s="10" t="inlineStr">
        <is>
          <t>VEHICLE</t>
        </is>
      </c>
      <c r="V1022" s="10" t="inlineStr">
        <is>
          <t>T</t>
        </is>
      </c>
      <c r="W1022" s="10" t="inlineStr">
        <is>
          <t>VIVEK B</t>
        </is>
      </c>
    </row>
    <row r="1023">
      <c r="A1023" s="10" t="inlineStr">
        <is>
          <t>TN60AS3434</t>
        </is>
      </c>
      <c r="B1023" s="10" t="inlineStr">
        <is>
          <t>WOVEN</t>
        </is>
      </c>
      <c r="C1023" s="10" t="inlineStr">
        <is>
          <t>ADBLU</t>
        </is>
      </c>
      <c r="D1023" s="10" t="inlineStr">
        <is>
          <t>ADBLU</t>
        </is>
      </c>
      <c r="E1023" s="10" t="inlineStr">
        <is>
          <t>YEARLY</t>
        </is>
      </c>
      <c r="F1023" s="11" t="n">
        <v>45383</v>
      </c>
      <c r="G1023" s="11" t="n">
        <v>45747</v>
      </c>
      <c r="H1023" s="12">
        <f>IF(OR($F1023="",$G1023=""),"",$G1023-$F1023+1)</f>
        <v/>
      </c>
      <c r="I1023" s="10">
        <f>IF($F1023="","",IF(MONTH($F1023)&gt;=4,YEAR($F1023)&amp;"-"&amp;TEXT(YEAR($F1023)+1-2000,"00"),YEAR($F1023)-1&amp;"-"&amp;TEXT(YEAR($F1023)-2000,"00")))</f>
        <v/>
      </c>
      <c r="J1023" s="13" t="n">
        <v>61</v>
      </c>
      <c r="K1023" s="14">
        <f>IFERROR($L1023/$J1023,"")</f>
        <v/>
      </c>
      <c r="L1023" s="13" t="n">
        <v>2745</v>
      </c>
      <c r="M1023" s="13">
        <f>IFERROR($L1023/$H1023,"")</f>
        <v/>
      </c>
      <c r="N1023" s="11" t="n">
        <v>45700</v>
      </c>
      <c r="O1023" s="10">
        <f>IF($N1023="","No","Yes")</f>
        <v/>
      </c>
      <c r="P1023" s="12">
        <f>IF(OR($F1023="",$G1023=""),0,IF(AND($F1023&lt;=README!$B$4,README!$B$4&lt;=$G1023),1,0))</f>
        <v/>
      </c>
      <c r="Q1023" s="12">
        <f>IF(OR($F1023="",$G1023=""),0,IF(AND($F1023&lt;=DATE(README!$B$5,12,31),$G1023&gt;=DATE(README!$B$5,1,1)),1,0))</f>
        <v/>
      </c>
      <c r="R1023" s="10" t="inlineStr">
        <is>
          <t>GUT-VEH0008</t>
        </is>
      </c>
      <c r="S1023" s="11" t="n">
        <v>45475</v>
      </c>
      <c r="T1023" s="10" t="inlineStr">
        <is>
          <t>3</t>
        </is>
      </c>
      <c r="U1023" s="10" t="inlineStr">
        <is>
          <t>VEHICLE</t>
        </is>
      </c>
      <c r="V1023" s="10" t="inlineStr">
        <is>
          <t>T</t>
        </is>
      </c>
      <c r="W1023" s="10" t="inlineStr">
        <is>
          <t>VIVEK B</t>
        </is>
      </c>
    </row>
    <row r="1024">
      <c r="A1024" s="10" t="inlineStr">
        <is>
          <t>TN60AS3434</t>
        </is>
      </c>
      <c r="B1024" s="10" t="inlineStr">
        <is>
          <t>WOVEN</t>
        </is>
      </c>
      <c r="C1024" s="10" t="inlineStr">
        <is>
          <t>ADBLU</t>
        </is>
      </c>
      <c r="D1024" s="10" t="inlineStr">
        <is>
          <t>ADBLU</t>
        </is>
      </c>
      <c r="E1024" s="10" t="inlineStr">
        <is>
          <t>YEARLY</t>
        </is>
      </c>
      <c r="F1024" s="11" t="n">
        <v>45383</v>
      </c>
      <c r="G1024" s="11" t="n">
        <v>45747</v>
      </c>
      <c r="H1024" s="12">
        <f>IF(OR($F1024="",$G1024=""),"",$G1024-$F1024+1)</f>
        <v/>
      </c>
      <c r="I1024" s="10">
        <f>IF($F1024="","",IF(MONTH($F1024)&gt;=4,YEAR($F1024)&amp;"-"&amp;TEXT(YEAR($F1024)+1-2000,"00"),YEAR($F1024)-1&amp;"-"&amp;TEXT(YEAR($F1024)-2000,"00")))</f>
        <v/>
      </c>
      <c r="J1024" s="13" t="n">
        <v>61</v>
      </c>
      <c r="K1024" s="14">
        <f>IFERROR($L1024/$J1024,"")</f>
        <v/>
      </c>
      <c r="L1024" s="13" t="n">
        <v>2745</v>
      </c>
      <c r="M1024" s="13">
        <f>IFERROR($L1024/$H1024,"")</f>
        <v/>
      </c>
      <c r="N1024" s="11" t="n">
        <v>45700</v>
      </c>
      <c r="O1024" s="10">
        <f>IF($N1024="","No","Yes")</f>
        <v/>
      </c>
      <c r="P1024" s="12">
        <f>IF(OR($F1024="",$G1024=""),0,IF(AND($F1024&lt;=README!$B$4,README!$B$4&lt;=$G1024),1,0))</f>
        <v/>
      </c>
      <c r="Q1024" s="12">
        <f>IF(OR($F1024="",$G1024=""),0,IF(AND($F1024&lt;=DATE(README!$B$5,12,31),$G1024&gt;=DATE(README!$B$5,1,1)),1,0))</f>
        <v/>
      </c>
      <c r="R1024" s="10" t="inlineStr">
        <is>
          <t>GUT-VEH0008</t>
        </is>
      </c>
      <c r="S1024" s="11" t="n">
        <v>45475</v>
      </c>
      <c r="T1024" s="10" t="inlineStr">
        <is>
          <t>3</t>
        </is>
      </c>
      <c r="U1024" s="10" t="inlineStr">
        <is>
          <t>VEHICLE</t>
        </is>
      </c>
      <c r="V1024" s="10" t="inlineStr">
        <is>
          <t>T</t>
        </is>
      </c>
      <c r="W1024" s="10" t="inlineStr">
        <is>
          <t>VIVEK B</t>
        </is>
      </c>
    </row>
    <row r="1025">
      <c r="A1025" s="10" t="inlineStr">
        <is>
          <t>TN60AS3434</t>
        </is>
      </c>
      <c r="B1025" s="10" t="inlineStr">
        <is>
          <t>WOVEN</t>
        </is>
      </c>
      <c r="C1025" s="10" t="inlineStr">
        <is>
          <t>ROAD TAX</t>
        </is>
      </c>
      <c r="D1025" s="10" t="inlineStr">
        <is>
          <t>ROAD TAX</t>
        </is>
      </c>
      <c r="E1025" s="10" t="inlineStr">
        <is>
          <t>YEARLY</t>
        </is>
      </c>
      <c r="F1025" s="11" t="n">
        <v>45383</v>
      </c>
      <c r="G1025" s="11" t="n">
        <v>45747</v>
      </c>
      <c r="H1025" s="12">
        <f>IF(OR($F1025="",$G1025=""),"",$G1025-$F1025+1)</f>
        <v/>
      </c>
      <c r="I1025" s="10">
        <f>IF($F1025="","",IF(MONTH($F1025)&gt;=4,YEAR($F1025)&amp;"-"&amp;TEXT(YEAR($F1025)+1-2000,"00"),YEAR($F1025)-1&amp;"-"&amp;TEXT(YEAR($F1025)-2000,"00")))</f>
        <v/>
      </c>
      <c r="J1025" s="13" t="n">
        <v>32734</v>
      </c>
      <c r="K1025" s="14">
        <f>IFERROR($L1025/$J1025,"")</f>
        <v/>
      </c>
      <c r="L1025" s="13" t="n">
        <v>32734</v>
      </c>
      <c r="M1025" s="13">
        <f>IFERROR($L1025/$H1025,"")</f>
        <v/>
      </c>
      <c r="N1025" s="11" t="n">
        <v>45910</v>
      </c>
      <c r="O1025" s="10">
        <f>IF($N1025="","No","Yes")</f>
        <v/>
      </c>
      <c r="P1025" s="12">
        <f>IF(OR($F1025="",$G1025=""),0,IF(AND($F1025&lt;=README!$B$4,README!$B$4&lt;=$G1025),1,0))</f>
        <v/>
      </c>
      <c r="Q1025" s="12">
        <f>IF(OR($F1025="",$G1025=""),0,IF(AND($F1025&lt;=DATE(README!$B$5,12,31),$G1025&gt;=DATE(README!$B$5,1,1)),1,0))</f>
        <v/>
      </c>
      <c r="R1025" s="10" t="inlineStr">
        <is>
          <t>GUT-VEH0016</t>
        </is>
      </c>
      <c r="S1025" s="11" t="n">
        <v>46023</v>
      </c>
      <c r="T1025" s="10" t="inlineStr">
        <is>
          <t>5</t>
        </is>
      </c>
      <c r="U1025" s="10" t="inlineStr">
        <is>
          <t>VEHICLE</t>
        </is>
      </c>
      <c r="V1025" s="10" t="inlineStr">
        <is>
          <t>T</t>
        </is>
      </c>
      <c r="W1025" s="10" t="inlineStr">
        <is>
          <t>VIVEK B</t>
        </is>
      </c>
    </row>
    <row r="1026">
      <c r="A1026" s="10" t="inlineStr">
        <is>
          <t>TN60AS3434</t>
        </is>
      </c>
      <c r="B1026" s="10" t="inlineStr">
        <is>
          <t>WOVEN</t>
        </is>
      </c>
      <c r="C1026" s="10" t="inlineStr">
        <is>
          <t>ROAD TAX</t>
        </is>
      </c>
      <c r="D1026" s="10" t="inlineStr">
        <is>
          <t>ROAD TAX</t>
        </is>
      </c>
      <c r="E1026" s="10" t="inlineStr">
        <is>
          <t>YEARLY</t>
        </is>
      </c>
      <c r="F1026" s="11" t="n">
        <v>45383</v>
      </c>
      <c r="G1026" s="11" t="n">
        <v>45747</v>
      </c>
      <c r="H1026" s="12">
        <f>IF(OR($F1026="",$G1026=""),"",$G1026-$F1026+1)</f>
        <v/>
      </c>
      <c r="I1026" s="10">
        <f>IF($F1026="","",IF(MONTH($F1026)&gt;=4,YEAR($F1026)&amp;"-"&amp;TEXT(YEAR($F1026)+1-2000,"00"),YEAR($F1026)-1&amp;"-"&amp;TEXT(YEAR($F1026)-2000,"00")))</f>
        <v/>
      </c>
      <c r="J1026" s="13" t="n">
        <v>32724</v>
      </c>
      <c r="K1026" s="14">
        <f>IFERROR($L1026/$J1026,"")</f>
        <v/>
      </c>
      <c r="L1026" s="13" t="n">
        <v>32724</v>
      </c>
      <c r="M1026" s="13">
        <f>IFERROR($L1026/$H1026,"")</f>
        <v/>
      </c>
      <c r="N1026" s="11" t="n">
        <v>45840</v>
      </c>
      <c r="O1026" s="10">
        <f>IF($N1026="","No","Yes")</f>
        <v/>
      </c>
      <c r="P1026" s="12">
        <f>IF(OR($F1026="",$G1026=""),0,IF(AND($F1026&lt;=README!$B$4,README!$B$4&lt;=$G1026),1,0))</f>
        <v/>
      </c>
      <c r="Q1026" s="12">
        <f>IF(OR($F1026="",$G1026=""),0,IF(AND($F1026&lt;=DATE(README!$B$5,12,31),$G1026&gt;=DATE(README!$B$5,1,1)),1,0))</f>
        <v/>
      </c>
      <c r="R1026" s="10" t="inlineStr">
        <is>
          <t>GUT-VEH0016</t>
        </is>
      </c>
      <c r="S1026" s="11" t="n">
        <v>46023</v>
      </c>
      <c r="T1026" s="10" t="inlineStr">
        <is>
          <t>5</t>
        </is>
      </c>
      <c r="U1026" s="10" t="inlineStr">
        <is>
          <t>VEHICLE</t>
        </is>
      </c>
      <c r="V1026" s="10" t="inlineStr">
        <is>
          <t>T</t>
        </is>
      </c>
      <c r="W1026" s="10" t="inlineStr">
        <is>
          <t>VIVEK B</t>
        </is>
      </c>
    </row>
    <row r="1027">
      <c r="A1027" s="10" t="inlineStr">
        <is>
          <t>TN60AS3434</t>
        </is>
      </c>
      <c r="B1027" s="10" t="inlineStr">
        <is>
          <t>WOVEN</t>
        </is>
      </c>
      <c r="C1027" s="10" t="inlineStr">
        <is>
          <t>ROAD TAX</t>
        </is>
      </c>
      <c r="D1027" s="10" t="inlineStr">
        <is>
          <t>ROAD TAX</t>
        </is>
      </c>
      <c r="E1027" s="10" t="inlineStr">
        <is>
          <t>YEARLY</t>
        </is>
      </c>
      <c r="F1027" s="11" t="n">
        <v>45383</v>
      </c>
      <c r="G1027" s="11" t="n">
        <v>45747</v>
      </c>
      <c r="H1027" s="12">
        <f>IF(OR($F1027="",$G1027=""),"",$G1027-$F1027+1)</f>
        <v/>
      </c>
      <c r="I1027" s="10">
        <f>IF($F1027="","",IF(MONTH($F1027)&gt;=4,YEAR($F1027)&amp;"-"&amp;TEXT(YEAR($F1027)+1-2000,"00"),YEAR($F1027)-1&amp;"-"&amp;TEXT(YEAR($F1027)-2000,"00")))</f>
        <v/>
      </c>
      <c r="J1027" s="13" t="n">
        <v>32724</v>
      </c>
      <c r="K1027" s="14">
        <f>IFERROR($L1027/$J1027,"")</f>
        <v/>
      </c>
      <c r="L1027" s="13" t="n">
        <v>32724</v>
      </c>
      <c r="M1027" s="13">
        <f>IFERROR($L1027/$H1027,"")</f>
        <v/>
      </c>
      <c r="N1027" s="11" t="n">
        <v>45727</v>
      </c>
      <c r="O1027" s="10">
        <f>IF($N1027="","No","Yes")</f>
        <v/>
      </c>
      <c r="P1027" s="12">
        <f>IF(OR($F1027="",$G1027=""),0,IF(AND($F1027&lt;=README!$B$4,README!$B$4&lt;=$G1027),1,0))</f>
        <v/>
      </c>
      <c r="Q1027" s="12">
        <f>IF(OR($F1027="",$G1027=""),0,IF(AND($F1027&lt;=DATE(README!$B$5,12,31),$G1027&gt;=DATE(README!$B$5,1,1)),1,0))</f>
        <v/>
      </c>
      <c r="R1027" s="10" t="inlineStr">
        <is>
          <t>GUT-VEH0016</t>
        </is>
      </c>
      <c r="S1027" s="11" t="n">
        <v>46023</v>
      </c>
      <c r="T1027" s="10" t="inlineStr">
        <is>
          <t>5</t>
        </is>
      </c>
      <c r="U1027" s="10" t="inlineStr">
        <is>
          <t>VEHICLE</t>
        </is>
      </c>
      <c r="V1027" s="10" t="inlineStr">
        <is>
          <t>T</t>
        </is>
      </c>
      <c r="W1027" s="10" t="inlineStr">
        <is>
          <t>VIVEK B</t>
        </is>
      </c>
    </row>
    <row r="1028">
      <c r="A1028" s="10" t="inlineStr">
        <is>
          <t>TN60AS3434</t>
        </is>
      </c>
      <c r="B1028" s="10" t="inlineStr">
        <is>
          <t>WOVEN</t>
        </is>
      </c>
      <c r="C1028" s="10" t="inlineStr">
        <is>
          <t>ROAD TAX</t>
        </is>
      </c>
      <c r="D1028" s="10" t="inlineStr">
        <is>
          <t>ROAD TAX</t>
        </is>
      </c>
      <c r="E1028" s="10" t="inlineStr">
        <is>
          <t>YEARLY</t>
        </is>
      </c>
      <c r="F1028" s="11" t="n">
        <v>45383</v>
      </c>
      <c r="G1028" s="11" t="n">
        <v>45747</v>
      </c>
      <c r="H1028" s="12">
        <f>IF(OR($F1028="",$G1028=""),"",$G1028-$F1028+1)</f>
        <v/>
      </c>
      <c r="I1028" s="10">
        <f>IF($F1028="","",IF(MONTH($F1028)&gt;=4,YEAR($F1028)&amp;"-"&amp;TEXT(YEAR($F1028)+1-2000,"00"),YEAR($F1028)-1&amp;"-"&amp;TEXT(YEAR($F1028)-2000,"00")))</f>
        <v/>
      </c>
      <c r="J1028" s="13" t="n">
        <v>32724</v>
      </c>
      <c r="K1028" s="14">
        <f>IFERROR($L1028/$J1028,"")</f>
        <v/>
      </c>
      <c r="L1028" s="13" t="n">
        <v>32724</v>
      </c>
      <c r="M1028" s="13">
        <f>IFERROR($L1028/$H1028,"")</f>
        <v/>
      </c>
      <c r="N1028" s="11" t="n">
        <v>45569</v>
      </c>
      <c r="O1028" s="10">
        <f>IF($N1028="","No","Yes")</f>
        <v/>
      </c>
      <c r="P1028" s="12">
        <f>IF(OR($F1028="",$G1028=""),0,IF(AND($F1028&lt;=README!$B$4,README!$B$4&lt;=$G1028),1,0))</f>
        <v/>
      </c>
      <c r="Q1028" s="12">
        <f>IF(OR($F1028="",$G1028=""),0,IF(AND($F1028&lt;=DATE(README!$B$5,12,31),$G1028&gt;=DATE(README!$B$5,1,1)),1,0))</f>
        <v/>
      </c>
      <c r="R1028" s="10" t="inlineStr">
        <is>
          <t>GUT-VEH0011</t>
        </is>
      </c>
      <c r="S1028" s="11" t="n">
        <v>45475</v>
      </c>
      <c r="T1028" s="10" t="inlineStr">
        <is>
          <t>3</t>
        </is>
      </c>
      <c r="U1028" s="10" t="inlineStr">
        <is>
          <t>VEHICLE</t>
        </is>
      </c>
      <c r="V1028" s="10" t="inlineStr">
        <is>
          <t>T</t>
        </is>
      </c>
      <c r="W1028" s="10" t="inlineStr">
        <is>
          <t>VIVEK B</t>
        </is>
      </c>
    </row>
    <row r="1029">
      <c r="A1029" s="10" t="inlineStr">
        <is>
          <t>TN60AS3434</t>
        </is>
      </c>
      <c r="B1029" s="10" t="inlineStr">
        <is>
          <t>WOVEN</t>
        </is>
      </c>
      <c r="C1029" s="10" t="inlineStr">
        <is>
          <t>ROAD TAX</t>
        </is>
      </c>
      <c r="D1029" s="10" t="inlineStr">
        <is>
          <t>ROAD TAX</t>
        </is>
      </c>
      <c r="E1029" s="10" t="inlineStr">
        <is>
          <t>YEARLY</t>
        </is>
      </c>
      <c r="F1029" s="11" t="n">
        <v>45383</v>
      </c>
      <c r="G1029" s="11" t="n">
        <v>45747</v>
      </c>
      <c r="H1029" s="12">
        <f>IF(OR($F1029="",$G1029=""),"",$G1029-$F1029+1)</f>
        <v/>
      </c>
      <c r="I1029" s="10">
        <f>IF($F1029="","",IF(MONTH($F1029)&gt;=4,YEAR($F1029)&amp;"-"&amp;TEXT(YEAR($F1029)+1-2000,"00"),YEAR($F1029)-1&amp;"-"&amp;TEXT(YEAR($F1029)-2000,"00")))</f>
        <v/>
      </c>
      <c r="J1029" s="13" t="n">
        <v>32724</v>
      </c>
      <c r="K1029" s="14">
        <f>IFERROR($L1029/$J1029,"")</f>
        <v/>
      </c>
      <c r="L1029" s="13" t="n">
        <v>32724</v>
      </c>
      <c r="M1029" s="13">
        <f>IFERROR($L1029/$H1029,"")</f>
        <v/>
      </c>
      <c r="N1029" s="11" t="n">
        <v>45649</v>
      </c>
      <c r="O1029" s="10">
        <f>IF($N1029="","No","Yes")</f>
        <v/>
      </c>
      <c r="P1029" s="12">
        <f>IF(OR($F1029="",$G1029=""),0,IF(AND($F1029&lt;=README!$B$4,README!$B$4&lt;=$G1029),1,0))</f>
        <v/>
      </c>
      <c r="Q1029" s="12">
        <f>IF(OR($F1029="",$G1029=""),0,IF(AND($F1029&lt;=DATE(README!$B$5,12,31),$G1029&gt;=DATE(README!$B$5,1,1)),1,0))</f>
        <v/>
      </c>
      <c r="R1029" s="10" t="inlineStr">
        <is>
          <t>GUT-VEH0011</t>
        </is>
      </c>
      <c r="S1029" s="11" t="n">
        <v>45475</v>
      </c>
      <c r="T1029" s="10" t="inlineStr">
        <is>
          <t>3</t>
        </is>
      </c>
      <c r="U1029" s="10" t="inlineStr">
        <is>
          <t>VEHICLE</t>
        </is>
      </c>
      <c r="V1029" s="10" t="inlineStr">
        <is>
          <t>T</t>
        </is>
      </c>
      <c r="W1029" s="10" t="inlineStr">
        <is>
          <t>VIVEK B</t>
        </is>
      </c>
    </row>
    <row r="1030">
      <c r="A1030" s="10" t="inlineStr">
        <is>
          <t>TN60AS3434</t>
        </is>
      </c>
      <c r="B1030" s="10" t="inlineStr">
        <is>
          <t>WOVEN</t>
        </is>
      </c>
      <c r="C1030" s="10" t="inlineStr">
        <is>
          <t>VEHICLE INSURANCE</t>
        </is>
      </c>
      <c r="D1030" s="10" t="inlineStr">
        <is>
          <t>VEHICLE INSURANCE</t>
        </is>
      </c>
      <c r="E1030" s="10" t="inlineStr">
        <is>
          <t>YEARLY</t>
        </is>
      </c>
      <c r="F1030" s="11" t="n">
        <v>45383</v>
      </c>
      <c r="G1030" s="11" t="n">
        <v>45747</v>
      </c>
      <c r="H1030" s="12">
        <f>IF(OR($F1030="",$G1030=""),"",$G1030-$F1030+1)</f>
        <v/>
      </c>
      <c r="I1030" s="10">
        <f>IF($F1030="","",IF(MONTH($F1030)&gt;=4,YEAR($F1030)&amp;"-"&amp;TEXT(YEAR($F1030)+1-2000,"00"),YEAR($F1030)-1&amp;"-"&amp;TEXT(YEAR($F1030)-2000,"00")))</f>
        <v/>
      </c>
      <c r="J1030" s="13" t="n">
        <v>81685</v>
      </c>
      <c r="K1030" s="14">
        <f>IFERROR($L1030/$J1030,"")</f>
        <v/>
      </c>
      <c r="L1030" s="13" t="n">
        <v>81685</v>
      </c>
      <c r="M1030" s="13">
        <f>IFERROR($L1030/$H1030,"")</f>
        <v/>
      </c>
      <c r="N1030" s="11" t="n">
        <v>45737</v>
      </c>
      <c r="O1030" s="10">
        <f>IF($N1030="","No","Yes")</f>
        <v/>
      </c>
      <c r="P1030" s="12">
        <f>IF(OR($F1030="",$G1030=""),0,IF(AND($F1030&lt;=README!$B$4,README!$B$4&lt;=$G1030),1,0))</f>
        <v/>
      </c>
      <c r="Q1030" s="12">
        <f>IF(OR($F1030="",$G1030=""),0,IF(AND($F1030&lt;=DATE(README!$B$5,12,31),$G1030&gt;=DATE(README!$B$5,1,1)),1,0))</f>
        <v/>
      </c>
      <c r="R1030" s="10" t="inlineStr">
        <is>
          <t>GUT-VEH0012</t>
        </is>
      </c>
      <c r="S1030" s="11" t="n">
        <v>45478</v>
      </c>
      <c r="T1030" s="10" t="inlineStr">
        <is>
          <t>3</t>
        </is>
      </c>
      <c r="U1030" s="10" t="inlineStr">
        <is>
          <t>VEHICLE</t>
        </is>
      </c>
      <c r="V1030" s="10" t="inlineStr">
        <is>
          <t>T</t>
        </is>
      </c>
      <c r="W1030" s="10" t="inlineStr">
        <is>
          <t>VIVEK B</t>
        </is>
      </c>
    </row>
    <row r="1031">
      <c r="A1031" s="10" t="inlineStr">
        <is>
          <t>TN60AS3434</t>
        </is>
      </c>
      <c r="B1031" s="10" t="inlineStr">
        <is>
          <t>WOVEN</t>
        </is>
      </c>
      <c r="C1031" s="10" t="inlineStr">
        <is>
          <t>VEHICLE INSURANCE</t>
        </is>
      </c>
      <c r="D1031" s="10" t="inlineStr">
        <is>
          <t>VEHICLE INSURANCE</t>
        </is>
      </c>
      <c r="E1031" s="10" t="inlineStr">
        <is>
          <t>YEARLY</t>
        </is>
      </c>
      <c r="F1031" s="11" t="n">
        <v>45748</v>
      </c>
      <c r="G1031" s="11" t="n">
        <v>46112</v>
      </c>
      <c r="H1031" s="12">
        <f>IF(OR($F1031="",$G1031=""),"",$G1031-$F1031+1)</f>
        <v/>
      </c>
      <c r="I1031" s="10">
        <f>IF($F1031="","",IF(MONTH($F1031)&gt;=4,YEAR($F1031)&amp;"-"&amp;TEXT(YEAR($F1031)+1-2000,"00"),YEAR($F1031)-1&amp;"-"&amp;TEXT(YEAR($F1031)-2000,"00")))</f>
        <v/>
      </c>
      <c r="J1031" s="13" t="n">
        <v>80110</v>
      </c>
      <c r="K1031" s="14">
        <f>IFERROR($L1031/$J1031,"")</f>
        <v/>
      </c>
      <c r="L1031" s="13" t="n">
        <v>80110</v>
      </c>
      <c r="M1031" s="13">
        <f>IFERROR($L1031/$H1031,"")</f>
        <v/>
      </c>
      <c r="N1031" s="11" t="n">
        <v>46108</v>
      </c>
      <c r="O1031" s="10">
        <f>IF($N1031="","No","Yes")</f>
        <v/>
      </c>
      <c r="P1031" s="12">
        <f>IF(OR($F1031="",$G1031=""),0,IF(AND($F1031&lt;=README!$B$4,README!$B$4&lt;=$G1031),1,0))</f>
        <v/>
      </c>
      <c r="Q1031" s="12">
        <f>IF(OR($F1031="",$G1031=""),0,IF(AND($F1031&lt;=DATE(README!$B$5,12,31),$G1031&gt;=DATE(README!$B$5,1,1)),1,0))</f>
        <v/>
      </c>
      <c r="R1031" s="10" t="inlineStr">
        <is>
          <t>GUT-VEH0019</t>
        </is>
      </c>
      <c r="S1031" s="11" t="n">
        <v>45799</v>
      </c>
      <c r="T1031" s="10" t="inlineStr">
        <is>
          <t>5</t>
        </is>
      </c>
      <c r="U1031" s="10" t="inlineStr">
        <is>
          <t>VEHICLE</t>
        </is>
      </c>
      <c r="V1031" s="10" t="inlineStr">
        <is>
          <t>T</t>
        </is>
      </c>
      <c r="W1031" s="10" t="inlineStr">
        <is>
          <t>VIVEK B</t>
        </is>
      </c>
    </row>
    <row r="1032">
      <c r="A1032" s="10" t="inlineStr">
        <is>
          <t>TN60AS3434</t>
        </is>
      </c>
      <c r="B1032" s="10" t="inlineStr"/>
      <c r="C1032" s="10" t="inlineStr">
        <is>
          <t>VEHICLE OUTSIDE SERVICES</t>
        </is>
      </c>
      <c r="D1032" s="10" t="inlineStr">
        <is>
          <t xml:space="preserve">MAINTENANCE SERVICE </t>
        </is>
      </c>
      <c r="E1032" s="10" t="inlineStr">
        <is>
          <t>YEARLY</t>
        </is>
      </c>
      <c r="F1032" s="11" t="n">
        <v>45748</v>
      </c>
      <c r="G1032" s="11" t="n">
        <v>46112</v>
      </c>
      <c r="H1032" s="12">
        <f>IF(OR($F1032="",$G1032=""),"",$G1032-$F1032+1)</f>
        <v/>
      </c>
      <c r="I1032" s="10">
        <f>IF($F1032="","",IF(MONTH($F1032)&gt;=4,YEAR($F1032)&amp;"-"&amp;TEXT(YEAR($F1032)+1-2000,"00"),YEAR($F1032)-1&amp;"-"&amp;TEXT(YEAR($F1032)-2000,"00")))</f>
        <v/>
      </c>
      <c r="J1032" s="13" t="n">
        <v>28827.99</v>
      </c>
      <c r="K1032" s="14">
        <f>IFERROR($L1032/$J1032,"")</f>
        <v/>
      </c>
      <c r="L1032" s="13" t="n">
        <v>28827.99</v>
      </c>
      <c r="M1032" s="13">
        <f>IFERROR($L1032/$H1032,"")</f>
        <v/>
      </c>
      <c r="N1032" s="11" t="n">
        <v>45966</v>
      </c>
      <c r="O1032" s="10">
        <f>IF($N1032="","No","Yes")</f>
        <v/>
      </c>
      <c r="P1032" s="12">
        <f>IF(OR($F1032="",$G1032=""),0,IF(AND($F1032&lt;=README!$B$4,README!$B$4&lt;=$G1032),1,0))</f>
        <v/>
      </c>
      <c r="Q1032" s="12">
        <f>IF(OR($F1032="",$G1032=""),0,IF(AND($F1032&lt;=DATE(README!$B$5,12,31),$G1032&gt;=DATE(README!$B$5,1,1)),1,0))</f>
        <v/>
      </c>
      <c r="R1032" s="10" t="inlineStr">
        <is>
          <t>GUT-VEH0021</t>
        </is>
      </c>
      <c r="S1032" s="11" t="n">
        <v>45812</v>
      </c>
      <c r="T1032" s="10" t="inlineStr">
        <is>
          <t>5</t>
        </is>
      </c>
      <c r="U1032" s="10" t="inlineStr">
        <is>
          <t>VEHICLE</t>
        </is>
      </c>
      <c r="V1032" s="10" t="inlineStr">
        <is>
          <t>T</t>
        </is>
      </c>
      <c r="W1032" s="10" t="inlineStr">
        <is>
          <t>VIVEK B</t>
        </is>
      </c>
    </row>
    <row r="1033">
      <c r="A1033" s="10" t="inlineStr">
        <is>
          <t>TN60AS3434</t>
        </is>
      </c>
      <c r="B1033" s="10" t="inlineStr">
        <is>
          <t>WOVEN</t>
        </is>
      </c>
      <c r="C1033" s="10" t="inlineStr">
        <is>
          <t>ROAD TAX</t>
        </is>
      </c>
      <c r="D1033" s="10" t="inlineStr">
        <is>
          <t>ROAD TAX</t>
        </is>
      </c>
      <c r="E1033" s="10" t="inlineStr">
        <is>
          <t>QUARTER - IV</t>
        </is>
      </c>
      <c r="F1033" s="11" t="n">
        <v>46023</v>
      </c>
      <c r="G1033" s="11" t="n">
        <v>46112</v>
      </c>
      <c r="H1033" s="12">
        <f>IF(OR($F1033="",$G1033=""),"",$G1033-$F1033+1)</f>
        <v/>
      </c>
      <c r="I1033" s="10">
        <f>IF($F1033="","",IF(MONTH($F1033)&gt;=4,YEAR($F1033)&amp;"-"&amp;TEXT(YEAR($F1033)+1-2000,"00"),YEAR($F1033)-1&amp;"-"&amp;TEXT(YEAR($F1033)-2000,"00")))</f>
        <v/>
      </c>
      <c r="J1033" s="13" t="n">
        <v>32734</v>
      </c>
      <c r="K1033" s="14">
        <f>IFERROR($L1033/$J1033,"")</f>
        <v/>
      </c>
      <c r="L1033" s="13" t="n">
        <v>32734</v>
      </c>
      <c r="M1033" s="13">
        <f>IFERROR($L1033/$H1033,"")</f>
        <v/>
      </c>
      <c r="N1033" s="11" t="n">
        <v>46065</v>
      </c>
      <c r="O1033" s="10">
        <f>IF($N1033="","No","Yes")</f>
        <v/>
      </c>
      <c r="P1033" s="12">
        <f>IF(OR($F1033="",$G1033=""),0,IF(AND($F1033&lt;=README!$B$4,README!$B$4&lt;=$G1033),1,0))</f>
        <v/>
      </c>
      <c r="Q1033" s="12">
        <f>IF(OR($F1033="",$G1033=""),0,IF(AND($F1033&lt;=DATE(README!$B$5,12,31),$G1033&gt;=DATE(README!$B$5,1,1)),1,0))</f>
        <v/>
      </c>
      <c r="R1033" s="10" t="inlineStr">
        <is>
          <t>GUT-VEH0016</t>
        </is>
      </c>
      <c r="S1033" s="11" t="n">
        <v>46023</v>
      </c>
      <c r="T1033" s="10" t="inlineStr">
        <is>
          <t>5</t>
        </is>
      </c>
      <c r="U1033" s="10" t="inlineStr">
        <is>
          <t>VEHICLE</t>
        </is>
      </c>
      <c r="V1033" s="10" t="inlineStr">
        <is>
          <t>T</t>
        </is>
      </c>
      <c r="W1033" s="10" t="inlineStr">
        <is>
          <t>VIVEK B</t>
        </is>
      </c>
    </row>
    <row r="1034">
      <c r="A1034" s="10" t="inlineStr">
        <is>
          <t>TN60AS3434</t>
        </is>
      </c>
      <c r="B1034" s="10" t="inlineStr">
        <is>
          <t>WOVEN</t>
        </is>
      </c>
      <c r="C1034" s="10" t="inlineStr">
        <is>
          <t>FC WORK</t>
        </is>
      </c>
      <c r="D1034" s="10" t="inlineStr">
        <is>
          <t>FC WORK</t>
        </is>
      </c>
      <c r="E1034" s="10" t="inlineStr">
        <is>
          <t>YEARLY</t>
        </is>
      </c>
      <c r="F1034" s="11" t="n">
        <v>46113</v>
      </c>
      <c r="G1034" s="11" t="n">
        <v>46477</v>
      </c>
      <c r="H1034" s="12">
        <f>IF(OR($F1034="",$G1034=""),"",$G1034-$F1034+1)</f>
        <v/>
      </c>
      <c r="I1034" s="10">
        <f>IF($F1034="","",IF(MONTH($F1034)&gt;=4,YEAR($F1034)&amp;"-"&amp;TEXT(YEAR($F1034)+1-2000,"00"),YEAR($F1034)-1&amp;"-"&amp;TEXT(YEAR($F1034)-2000,"00")))</f>
        <v/>
      </c>
      <c r="J1034" s="13" t="n">
        <v>66962</v>
      </c>
      <c r="K1034" s="14">
        <f>IFERROR($L1034/$J1034,"")</f>
        <v/>
      </c>
      <c r="L1034" s="13" t="n">
        <v>66962</v>
      </c>
      <c r="M1034" s="13">
        <f>IFERROR($L1034/$H1034,"")</f>
        <v/>
      </c>
      <c r="N1034" s="11" t="n">
        <v>46191</v>
      </c>
      <c r="O1034" s="10">
        <f>IF($N1034="","No","Yes")</f>
        <v/>
      </c>
      <c r="P1034" s="12">
        <f>IF(OR($F1034="",$G1034=""),0,IF(AND($F1034&lt;=README!$B$4,README!$B$4&lt;=$G1034),1,0))</f>
        <v/>
      </c>
      <c r="Q1034" s="12">
        <f>IF(OR($F1034="",$G1034=""),0,IF(AND($F1034&lt;=DATE(README!$B$5,12,31),$G1034&gt;=DATE(README!$B$5,1,1)),1,0))</f>
        <v/>
      </c>
      <c r="R1034" s="10" t="inlineStr">
        <is>
          <t>GUT-VEH0036</t>
        </is>
      </c>
      <c r="S1034" s="11" t="n">
        <v>46191</v>
      </c>
      <c r="T1034" s="10" t="inlineStr">
        <is>
          <t>5</t>
        </is>
      </c>
      <c r="U1034" s="10" t="inlineStr">
        <is>
          <t>VEHICLE</t>
        </is>
      </c>
      <c r="V1034" s="10" t="inlineStr">
        <is>
          <t>T</t>
        </is>
      </c>
      <c r="W1034" s="10" t="inlineStr">
        <is>
          <t>VIVEK B</t>
        </is>
      </c>
    </row>
    <row r="1035">
      <c r="A1035" s="10" t="inlineStr">
        <is>
          <t>TN60AS3434</t>
        </is>
      </c>
      <c r="B1035" s="10" t="inlineStr">
        <is>
          <t>WOVEN</t>
        </is>
      </c>
      <c r="C1035" s="10" t="inlineStr">
        <is>
          <t>ROAD TAX</t>
        </is>
      </c>
      <c r="D1035" s="10" t="inlineStr">
        <is>
          <t>ROAD TAX</t>
        </is>
      </c>
      <c r="E1035" s="10" t="inlineStr">
        <is>
          <t>QUARTER - I</t>
        </is>
      </c>
      <c r="F1035" s="11" t="n">
        <v>46113</v>
      </c>
      <c r="G1035" s="11" t="n">
        <v>46203</v>
      </c>
      <c r="H1035" s="12">
        <f>IF(OR($F1035="",$G1035=""),"",$G1035-$F1035+1)</f>
        <v/>
      </c>
      <c r="I1035" s="10">
        <f>IF($F1035="","",IF(MONTH($F1035)&gt;=4,YEAR($F1035)&amp;"-"&amp;TEXT(YEAR($F1035)+1-2000,"00"),YEAR($F1035)-1&amp;"-"&amp;TEXT(YEAR($F1035)-2000,"00")))</f>
        <v/>
      </c>
      <c r="J1035" s="13" t="n">
        <v>32734</v>
      </c>
      <c r="K1035" s="14">
        <f>IFERROR($L1035/$J1035,"")</f>
        <v/>
      </c>
      <c r="L1035" s="13" t="n">
        <v>32734</v>
      </c>
      <c r="M1035" s="13">
        <f>IFERROR($L1035/$H1035,"")</f>
        <v/>
      </c>
      <c r="N1035" s="11" t="n">
        <v>46088</v>
      </c>
      <c r="O1035" s="10">
        <f>IF($N1035="","No","Yes")</f>
        <v/>
      </c>
      <c r="P1035" s="12">
        <f>IF(OR($F1035="",$G1035=""),0,IF(AND($F1035&lt;=README!$B$4,README!$B$4&lt;=$G1035),1,0))</f>
        <v/>
      </c>
      <c r="Q1035" s="12">
        <f>IF(OR($F1035="",$G1035=""),0,IF(AND($F1035&lt;=DATE(README!$B$5,12,31),$G1035&gt;=DATE(README!$B$5,1,1)),1,0))</f>
        <v/>
      </c>
      <c r="R1035" s="10" t="inlineStr">
        <is>
          <t>GUT-VEH0029</t>
        </is>
      </c>
      <c r="S1035" s="11" t="n">
        <v>46087</v>
      </c>
      <c r="T1035" s="10" t="inlineStr">
        <is>
          <t>5</t>
        </is>
      </c>
      <c r="U1035" s="10" t="inlineStr">
        <is>
          <t>VEHICLE</t>
        </is>
      </c>
      <c r="V1035" s="10" t="inlineStr">
        <is>
          <t>T</t>
        </is>
      </c>
      <c r="W1035" s="10" t="inlineStr">
        <is>
          <t>VIVEK B</t>
        </is>
      </c>
    </row>
    <row r="1036">
      <c r="A1036" s="10" t="inlineStr">
        <is>
          <t>TN60AS3434</t>
        </is>
      </c>
      <c r="B1036" s="10" t="inlineStr">
        <is>
          <t>WOVEN</t>
        </is>
      </c>
      <c r="C1036" s="10" t="inlineStr">
        <is>
          <t>RTO EXPENSE</t>
        </is>
      </c>
      <c r="D1036" s="10" t="inlineStr">
        <is>
          <t>RTO EXPENSES - FC</t>
        </is>
      </c>
      <c r="E1036" s="10" t="inlineStr">
        <is>
          <t>YEARLY</t>
        </is>
      </c>
      <c r="F1036" s="11" t="n">
        <v>46113</v>
      </c>
      <c r="G1036" s="11" t="n">
        <v>46477</v>
      </c>
      <c r="H1036" s="12">
        <f>IF(OR($F1036="",$G1036=""),"",$G1036-$F1036+1)</f>
        <v/>
      </c>
      <c r="I1036" s="10">
        <f>IF($F1036="","",IF(MONTH($F1036)&gt;=4,YEAR($F1036)&amp;"-"&amp;TEXT(YEAR($F1036)+1-2000,"00"),YEAR($F1036)-1&amp;"-"&amp;TEXT(YEAR($F1036)-2000,"00")))</f>
        <v/>
      </c>
      <c r="J1036" s="13" t="n">
        <v>12500</v>
      </c>
      <c r="K1036" s="14">
        <f>IFERROR($L1036/$J1036,"")</f>
        <v/>
      </c>
      <c r="L1036" s="13" t="n">
        <v>12500</v>
      </c>
      <c r="M1036" s="13">
        <f>IFERROR($L1036/$H1036,"")</f>
        <v/>
      </c>
      <c r="N1036" s="11" t="n">
        <v>46191</v>
      </c>
      <c r="O1036" s="10">
        <f>IF($N1036="","No","Yes")</f>
        <v/>
      </c>
      <c r="P1036" s="12">
        <f>IF(OR($F1036="",$G1036=""),0,IF(AND($F1036&lt;=README!$B$4,README!$B$4&lt;=$G1036),1,0))</f>
        <v/>
      </c>
      <c r="Q1036" s="12">
        <f>IF(OR($F1036="",$G1036=""),0,IF(AND($F1036&lt;=DATE(README!$B$5,12,31),$G1036&gt;=DATE(README!$B$5,1,1)),1,0))</f>
        <v/>
      </c>
      <c r="R1036" s="10" t="inlineStr">
        <is>
          <t>GUT-VEH0037</t>
        </is>
      </c>
      <c r="S1036" s="11" t="n">
        <v>46191</v>
      </c>
      <c r="T1036" s="10" t="inlineStr">
        <is>
          <t>5</t>
        </is>
      </c>
      <c r="U1036" s="10" t="inlineStr">
        <is>
          <t>VEHICLE</t>
        </is>
      </c>
      <c r="V1036" s="10" t="inlineStr">
        <is>
          <t>T</t>
        </is>
      </c>
      <c r="W1036" s="10" t="inlineStr">
        <is>
          <t>VIVEK B</t>
        </is>
      </c>
    </row>
    <row r="1037">
      <c r="A1037" s="10" t="inlineStr">
        <is>
          <t>TN60AS3434</t>
        </is>
      </c>
      <c r="B1037" s="10" t="inlineStr">
        <is>
          <t>WOVEN</t>
        </is>
      </c>
      <c r="C1037" s="10" t="inlineStr">
        <is>
          <t>ROAD TAX</t>
        </is>
      </c>
      <c r="D1037" s="10" t="inlineStr">
        <is>
          <t>ROAD TAX</t>
        </is>
      </c>
      <c r="E1037" s="10" t="inlineStr">
        <is>
          <t>QUARTER - II</t>
        </is>
      </c>
      <c r="F1037" s="11" t="n">
        <v>46204</v>
      </c>
      <c r="G1037" s="11" t="n">
        <v>46295</v>
      </c>
      <c r="H1037" s="12">
        <f>IF(OR($F1037="",$G1037=""),"",$G1037-$F1037+1)</f>
        <v/>
      </c>
      <c r="I1037" s="10">
        <f>IF($F1037="","",IF(MONTH($F1037)&gt;=4,YEAR($F1037)&amp;"-"&amp;TEXT(YEAR($F1037)+1-2000,"00"),YEAR($F1037)-1&amp;"-"&amp;TEXT(YEAR($F1037)-2000,"00")))</f>
        <v/>
      </c>
      <c r="J1037" s="13" t="n">
        <v>32734</v>
      </c>
      <c r="K1037" s="14">
        <f>IFERROR($L1037/$J1037,"")</f>
        <v/>
      </c>
      <c r="L1037" s="13" t="n">
        <v>32734</v>
      </c>
      <c r="M1037" s="13">
        <f>IFERROR($L1037/$H1037,"")</f>
        <v/>
      </c>
      <c r="N1037" s="11" t="n">
        <v>46196</v>
      </c>
      <c r="O1037" s="10">
        <f>IF($N1037="","No","Yes")</f>
        <v/>
      </c>
      <c r="P1037" s="12">
        <f>IF(OR($F1037="",$G1037=""),0,IF(AND($F1037&lt;=README!$B$4,README!$B$4&lt;=$G1037),1,0))</f>
        <v/>
      </c>
      <c r="Q1037" s="12">
        <f>IF(OR($F1037="",$G1037=""),0,IF(AND($F1037&lt;=DATE(README!$B$5,12,31),$G1037&gt;=DATE(README!$B$5,1,1)),1,0))</f>
        <v/>
      </c>
      <c r="R1037" s="10" t="inlineStr">
        <is>
          <t>GUT-VEH0038</t>
        </is>
      </c>
      <c r="S1037" s="11" t="n">
        <v>46193</v>
      </c>
      <c r="T1037" s="10" t="inlineStr">
        <is>
          <t>5</t>
        </is>
      </c>
      <c r="U1037" s="10" t="inlineStr">
        <is>
          <t>VEHICLE</t>
        </is>
      </c>
      <c r="V1037" s="10" t="inlineStr">
        <is>
          <t>T</t>
        </is>
      </c>
      <c r="W1037" s="10" t="inlineStr">
        <is>
          <t>VIVEK B</t>
        </is>
      </c>
    </row>
    <row r="1038">
      <c r="A1038" s="10" t="inlineStr">
        <is>
          <t>TN60AS3636</t>
        </is>
      </c>
      <c r="B1038" s="10" t="inlineStr">
        <is>
          <t>WOVEN</t>
        </is>
      </c>
      <c r="C1038" s="10" t="inlineStr">
        <is>
          <t>ADBLU</t>
        </is>
      </c>
      <c r="D1038" s="10" t="inlineStr">
        <is>
          <t>ADBLU</t>
        </is>
      </c>
      <c r="E1038" s="10" t="inlineStr">
        <is>
          <t>YEARLY</t>
        </is>
      </c>
      <c r="F1038" s="11" t="n">
        <v>45383</v>
      </c>
      <c r="G1038" s="11" t="n">
        <v>45747</v>
      </c>
      <c r="H1038" s="12">
        <f>IF(OR($F1038="",$G1038=""),"",$G1038-$F1038+1)</f>
        <v/>
      </c>
      <c r="I1038" s="10">
        <f>IF($F1038="","",IF(MONTH($F1038)&gt;=4,YEAR($F1038)&amp;"-"&amp;TEXT(YEAR($F1038)+1-2000,"00"),YEAR($F1038)-1&amp;"-"&amp;TEXT(YEAR($F1038)-2000,"00")))</f>
        <v/>
      </c>
      <c r="J1038" s="13" t="n">
        <v>61</v>
      </c>
      <c r="K1038" s="14">
        <f>IFERROR($L1038/$J1038,"")</f>
        <v/>
      </c>
      <c r="L1038" s="13" t="n">
        <v>3050</v>
      </c>
      <c r="M1038" s="13">
        <f>IFERROR($L1038/$H1038,"")</f>
        <v/>
      </c>
      <c r="N1038" s="11" t="n">
        <v>45623</v>
      </c>
      <c r="O1038" s="10">
        <f>IF($N1038="","No","Yes")</f>
        <v/>
      </c>
      <c r="P1038" s="12">
        <f>IF(OR($F1038="",$G1038=""),0,IF(AND($F1038&lt;=README!$B$4,README!$B$4&lt;=$G1038),1,0))</f>
        <v/>
      </c>
      <c r="Q1038" s="12">
        <f>IF(OR($F1038="",$G1038=""),0,IF(AND($F1038&lt;=DATE(README!$B$5,12,31),$G1038&gt;=DATE(README!$B$5,1,1)),1,0))</f>
        <v/>
      </c>
      <c r="R1038" s="10" t="inlineStr">
        <is>
          <t>GUT-VEH0008</t>
        </is>
      </c>
      <c r="S1038" s="11" t="n">
        <v>45475</v>
      </c>
      <c r="T1038" s="10" t="inlineStr">
        <is>
          <t>3</t>
        </is>
      </c>
      <c r="U1038" s="10" t="inlineStr">
        <is>
          <t>VEHICLE</t>
        </is>
      </c>
      <c r="V1038" s="10" t="inlineStr">
        <is>
          <t>T</t>
        </is>
      </c>
      <c r="W1038" s="10" t="inlineStr">
        <is>
          <t>VIVEK B</t>
        </is>
      </c>
    </row>
    <row r="1039">
      <c r="A1039" s="10" t="inlineStr">
        <is>
          <t>TN60AS3636</t>
        </is>
      </c>
      <c r="B1039" s="10" t="inlineStr">
        <is>
          <t>WOVEN</t>
        </is>
      </c>
      <c r="C1039" s="10" t="inlineStr">
        <is>
          <t>ADBLU</t>
        </is>
      </c>
      <c r="D1039" s="10" t="inlineStr">
        <is>
          <t>ADBLU</t>
        </is>
      </c>
      <c r="E1039" s="10" t="inlineStr">
        <is>
          <t>YEARLY</t>
        </is>
      </c>
      <c r="F1039" s="11" t="n">
        <v>45383</v>
      </c>
      <c r="G1039" s="11" t="n">
        <v>45747</v>
      </c>
      <c r="H1039" s="12">
        <f>IF(OR($F1039="",$G1039=""),"",$G1039-$F1039+1)</f>
        <v/>
      </c>
      <c r="I1039" s="10">
        <f>IF($F1039="","",IF(MONTH($F1039)&gt;=4,YEAR($F1039)&amp;"-"&amp;TEXT(YEAR($F1039)+1-2000,"00"),YEAR($F1039)-1&amp;"-"&amp;TEXT(YEAR($F1039)-2000,"00")))</f>
        <v/>
      </c>
      <c r="J1039" s="13" t="n">
        <v>61</v>
      </c>
      <c r="K1039" s="14">
        <f>IFERROR($L1039/$J1039,"")</f>
        <v/>
      </c>
      <c r="L1039" s="13" t="n">
        <v>3050</v>
      </c>
      <c r="M1039" s="13">
        <f>IFERROR($L1039/$H1039,"")</f>
        <v/>
      </c>
      <c r="N1039" s="11" t="n">
        <v>45602</v>
      </c>
      <c r="O1039" s="10">
        <f>IF($N1039="","No","Yes")</f>
        <v/>
      </c>
      <c r="P1039" s="12">
        <f>IF(OR($F1039="",$G1039=""),0,IF(AND($F1039&lt;=README!$B$4,README!$B$4&lt;=$G1039),1,0))</f>
        <v/>
      </c>
      <c r="Q1039" s="12">
        <f>IF(OR($F1039="",$G1039=""),0,IF(AND($F1039&lt;=DATE(README!$B$5,12,31),$G1039&gt;=DATE(README!$B$5,1,1)),1,0))</f>
        <v/>
      </c>
      <c r="R1039" s="10" t="inlineStr">
        <is>
          <t>GUT-VEH0008</t>
        </is>
      </c>
      <c r="S1039" s="11" t="n">
        <v>45475</v>
      </c>
      <c r="T1039" s="10" t="inlineStr">
        <is>
          <t>3</t>
        </is>
      </c>
      <c r="U1039" s="10" t="inlineStr">
        <is>
          <t>VEHICLE</t>
        </is>
      </c>
      <c r="V1039" s="10" t="inlineStr">
        <is>
          <t>T</t>
        </is>
      </c>
      <c r="W1039" s="10" t="inlineStr">
        <is>
          <t>VIVEK B</t>
        </is>
      </c>
    </row>
    <row r="1040">
      <c r="A1040" s="10" t="inlineStr">
        <is>
          <t>TN60AS3636</t>
        </is>
      </c>
      <c r="B1040" s="10" t="inlineStr">
        <is>
          <t>WOVEN</t>
        </is>
      </c>
      <c r="C1040" s="10" t="inlineStr">
        <is>
          <t>ADBLU</t>
        </is>
      </c>
      <c r="D1040" s="10" t="inlineStr">
        <is>
          <t>ADBLU</t>
        </is>
      </c>
      <c r="E1040" s="10" t="inlineStr">
        <is>
          <t>YEARLY</t>
        </is>
      </c>
      <c r="F1040" s="11" t="n">
        <v>45383</v>
      </c>
      <c r="G1040" s="11" t="n">
        <v>45747</v>
      </c>
      <c r="H1040" s="12">
        <f>IF(OR($F1040="",$G1040=""),"",$G1040-$F1040+1)</f>
        <v/>
      </c>
      <c r="I1040" s="10">
        <f>IF($F1040="","",IF(MONTH($F1040)&gt;=4,YEAR($F1040)&amp;"-"&amp;TEXT(YEAR($F1040)+1-2000,"00"),YEAR($F1040)-1&amp;"-"&amp;TEXT(YEAR($F1040)-2000,"00")))</f>
        <v/>
      </c>
      <c r="J1040" s="13" t="n">
        <v>61</v>
      </c>
      <c r="K1040" s="14">
        <f>IFERROR($L1040/$J1040,"")</f>
        <v/>
      </c>
      <c r="L1040" s="13" t="n">
        <v>2440</v>
      </c>
      <c r="M1040" s="13">
        <f>IFERROR($L1040/$H1040,"")</f>
        <v/>
      </c>
      <c r="N1040" s="11" t="n">
        <v>45479</v>
      </c>
      <c r="O1040" s="10">
        <f>IF($N1040="","No","Yes")</f>
        <v/>
      </c>
      <c r="P1040" s="12">
        <f>IF(OR($F1040="",$G1040=""),0,IF(AND($F1040&lt;=README!$B$4,README!$B$4&lt;=$G1040),1,0))</f>
        <v/>
      </c>
      <c r="Q1040" s="12">
        <f>IF(OR($F1040="",$G1040=""),0,IF(AND($F1040&lt;=DATE(README!$B$5,12,31),$G1040&gt;=DATE(README!$B$5,1,1)),1,0))</f>
        <v/>
      </c>
      <c r="R1040" s="10" t="inlineStr">
        <is>
          <t>GUT-VEH0008</t>
        </is>
      </c>
      <c r="S1040" s="11" t="n">
        <v>45475</v>
      </c>
      <c r="T1040" s="10" t="inlineStr">
        <is>
          <t>3</t>
        </is>
      </c>
      <c r="U1040" s="10" t="inlineStr">
        <is>
          <t>VEHICLE</t>
        </is>
      </c>
      <c r="V1040" s="10" t="inlineStr">
        <is>
          <t>T</t>
        </is>
      </c>
      <c r="W1040" s="10" t="inlineStr">
        <is>
          <t>VIVEK B</t>
        </is>
      </c>
    </row>
    <row r="1041">
      <c r="A1041" s="10" t="inlineStr">
        <is>
          <t>TN60AS3636</t>
        </is>
      </c>
      <c r="B1041" s="10" t="inlineStr">
        <is>
          <t>WOVEN</t>
        </is>
      </c>
      <c r="C1041" s="10" t="inlineStr">
        <is>
          <t>ADBLU</t>
        </is>
      </c>
      <c r="D1041" s="10" t="inlineStr">
        <is>
          <t>ADBLU</t>
        </is>
      </c>
      <c r="E1041" s="10" t="inlineStr">
        <is>
          <t>YEARLY</t>
        </is>
      </c>
      <c r="F1041" s="11" t="n">
        <v>45383</v>
      </c>
      <c r="G1041" s="11" t="n">
        <v>45747</v>
      </c>
      <c r="H1041" s="12">
        <f>IF(OR($F1041="",$G1041=""),"",$G1041-$F1041+1)</f>
        <v/>
      </c>
      <c r="I1041" s="10">
        <f>IF($F1041="","",IF(MONTH($F1041)&gt;=4,YEAR($F1041)&amp;"-"&amp;TEXT(YEAR($F1041)+1-2000,"00"),YEAR($F1041)-1&amp;"-"&amp;TEXT(YEAR($F1041)-2000,"00")))</f>
        <v/>
      </c>
      <c r="J1041" s="13" t="n">
        <v>61</v>
      </c>
      <c r="K1041" s="14">
        <f>IFERROR($L1041/$J1041,"")</f>
        <v/>
      </c>
      <c r="L1041" s="13" t="n">
        <v>3050</v>
      </c>
      <c r="M1041" s="13">
        <f>IFERROR($L1041/$H1041,"")</f>
        <v/>
      </c>
      <c r="N1041" s="11" t="n">
        <v>45700</v>
      </c>
      <c r="O1041" s="10">
        <f>IF($N1041="","No","Yes")</f>
        <v/>
      </c>
      <c r="P1041" s="12">
        <f>IF(OR($F1041="",$G1041=""),0,IF(AND($F1041&lt;=README!$B$4,README!$B$4&lt;=$G1041),1,0))</f>
        <v/>
      </c>
      <c r="Q1041" s="12">
        <f>IF(OR($F1041="",$G1041=""),0,IF(AND($F1041&lt;=DATE(README!$B$5,12,31),$G1041&gt;=DATE(README!$B$5,1,1)),1,0))</f>
        <v/>
      </c>
      <c r="R1041" s="10" t="inlineStr">
        <is>
          <t>GUT-VEH0008</t>
        </is>
      </c>
      <c r="S1041" s="11" t="n">
        <v>45475</v>
      </c>
      <c r="T1041" s="10" t="inlineStr">
        <is>
          <t>3</t>
        </is>
      </c>
      <c r="U1041" s="10" t="inlineStr">
        <is>
          <t>VEHICLE</t>
        </is>
      </c>
      <c r="V1041" s="10" t="inlineStr">
        <is>
          <t>T</t>
        </is>
      </c>
      <c r="W1041" s="10" t="inlineStr">
        <is>
          <t>VIVEK B</t>
        </is>
      </c>
    </row>
    <row r="1042">
      <c r="A1042" s="10" t="inlineStr">
        <is>
          <t>TN60AS3636</t>
        </is>
      </c>
      <c r="B1042" s="10" t="inlineStr">
        <is>
          <t>WOVEN</t>
        </is>
      </c>
      <c r="C1042" s="10" t="inlineStr">
        <is>
          <t>ADBLU</t>
        </is>
      </c>
      <c r="D1042" s="10" t="inlineStr">
        <is>
          <t>ADBLU</t>
        </is>
      </c>
      <c r="E1042" s="10" t="inlineStr">
        <is>
          <t>YEARLY</t>
        </is>
      </c>
      <c r="F1042" s="11" t="n">
        <v>45383</v>
      </c>
      <c r="G1042" s="11" t="n">
        <v>45747</v>
      </c>
      <c r="H1042" s="12">
        <f>IF(OR($F1042="",$G1042=""),"",$G1042-$F1042+1)</f>
        <v/>
      </c>
      <c r="I1042" s="10">
        <f>IF($F1042="","",IF(MONTH($F1042)&gt;=4,YEAR($F1042)&amp;"-"&amp;TEXT(YEAR($F1042)+1-2000,"00"),YEAR($F1042)-1&amp;"-"&amp;TEXT(YEAR($F1042)-2000,"00")))</f>
        <v/>
      </c>
      <c r="J1042" s="13" t="n">
        <v>61</v>
      </c>
      <c r="K1042" s="14">
        <f>IFERROR($L1042/$J1042,"")</f>
        <v/>
      </c>
      <c r="L1042" s="13" t="n">
        <v>3050</v>
      </c>
      <c r="M1042" s="13">
        <f>IFERROR($L1042/$H1042,"")</f>
        <v/>
      </c>
      <c r="N1042" s="11" t="n">
        <v>45700</v>
      </c>
      <c r="O1042" s="10">
        <f>IF($N1042="","No","Yes")</f>
        <v/>
      </c>
      <c r="P1042" s="12">
        <f>IF(OR($F1042="",$G1042=""),0,IF(AND($F1042&lt;=README!$B$4,README!$B$4&lt;=$G1042),1,0))</f>
        <v/>
      </c>
      <c r="Q1042" s="12">
        <f>IF(OR($F1042="",$G1042=""),0,IF(AND($F1042&lt;=DATE(README!$B$5,12,31),$G1042&gt;=DATE(README!$B$5,1,1)),1,0))</f>
        <v/>
      </c>
      <c r="R1042" s="10" t="inlineStr">
        <is>
          <t>GUT-VEH0008</t>
        </is>
      </c>
      <c r="S1042" s="11" t="n">
        <v>45475</v>
      </c>
      <c r="T1042" s="10" t="inlineStr">
        <is>
          <t>3</t>
        </is>
      </c>
      <c r="U1042" s="10" t="inlineStr">
        <is>
          <t>VEHICLE</t>
        </is>
      </c>
      <c r="V1042" s="10" t="inlineStr">
        <is>
          <t>T</t>
        </is>
      </c>
      <c r="W1042" s="10" t="inlineStr">
        <is>
          <t>VIVEK B</t>
        </is>
      </c>
    </row>
    <row r="1043">
      <c r="A1043" s="10" t="inlineStr">
        <is>
          <t>TN60AS3636</t>
        </is>
      </c>
      <c r="B1043" s="10" t="inlineStr">
        <is>
          <t>WOVEN</t>
        </is>
      </c>
      <c r="C1043" s="10" t="inlineStr">
        <is>
          <t>ROAD TAX</t>
        </is>
      </c>
      <c r="D1043" s="10" t="inlineStr">
        <is>
          <t>ROAD TAX</t>
        </is>
      </c>
      <c r="E1043" s="10" t="inlineStr">
        <is>
          <t>YEARLY</t>
        </is>
      </c>
      <c r="F1043" s="11" t="n">
        <v>45383</v>
      </c>
      <c r="G1043" s="11" t="n">
        <v>45747</v>
      </c>
      <c r="H1043" s="12">
        <f>IF(OR($F1043="",$G1043=""),"",$G1043-$F1043+1)</f>
        <v/>
      </c>
      <c r="I1043" s="10">
        <f>IF($F1043="","",IF(MONTH($F1043)&gt;=4,YEAR($F1043)&amp;"-"&amp;TEXT(YEAR($F1043)+1-2000,"00"),YEAR($F1043)-1&amp;"-"&amp;TEXT(YEAR($F1043)-2000,"00")))</f>
        <v/>
      </c>
      <c r="J1043" s="13" t="n">
        <v>32734</v>
      </c>
      <c r="K1043" s="14">
        <f>IFERROR($L1043/$J1043,"")</f>
        <v/>
      </c>
      <c r="L1043" s="13" t="n">
        <v>32734</v>
      </c>
      <c r="M1043" s="13">
        <f>IFERROR($L1043/$H1043,"")</f>
        <v/>
      </c>
      <c r="N1043" s="11" t="n">
        <v>45910</v>
      </c>
      <c r="O1043" s="10">
        <f>IF($N1043="","No","Yes")</f>
        <v/>
      </c>
      <c r="P1043" s="12">
        <f>IF(OR($F1043="",$G1043=""),0,IF(AND($F1043&lt;=README!$B$4,README!$B$4&lt;=$G1043),1,0))</f>
        <v/>
      </c>
      <c r="Q1043" s="12">
        <f>IF(OR($F1043="",$G1043=""),0,IF(AND($F1043&lt;=DATE(README!$B$5,12,31),$G1043&gt;=DATE(README!$B$5,1,1)),1,0))</f>
        <v/>
      </c>
      <c r="R1043" s="10" t="inlineStr">
        <is>
          <t>GUT-VEH0016</t>
        </is>
      </c>
      <c r="S1043" s="11" t="n">
        <v>46023</v>
      </c>
      <c r="T1043" s="10" t="inlineStr">
        <is>
          <t>5</t>
        </is>
      </c>
      <c r="U1043" s="10" t="inlineStr">
        <is>
          <t>VEHICLE</t>
        </is>
      </c>
      <c r="V1043" s="10" t="inlineStr">
        <is>
          <t>T</t>
        </is>
      </c>
      <c r="W1043" s="10" t="inlineStr">
        <is>
          <t>VIVEK B</t>
        </is>
      </c>
    </row>
    <row r="1044">
      <c r="A1044" s="10" t="inlineStr">
        <is>
          <t>TN60AS3636</t>
        </is>
      </c>
      <c r="B1044" s="10" t="inlineStr">
        <is>
          <t>WOVEN</t>
        </is>
      </c>
      <c r="C1044" s="10" t="inlineStr">
        <is>
          <t>ROAD TAX</t>
        </is>
      </c>
      <c r="D1044" s="10" t="inlineStr">
        <is>
          <t>ROAD TAX</t>
        </is>
      </c>
      <c r="E1044" s="10" t="inlineStr">
        <is>
          <t>YEARLY</t>
        </is>
      </c>
      <c r="F1044" s="11" t="n">
        <v>45383</v>
      </c>
      <c r="G1044" s="11" t="n">
        <v>45747</v>
      </c>
      <c r="H1044" s="12">
        <f>IF(OR($F1044="",$G1044=""),"",$G1044-$F1044+1)</f>
        <v/>
      </c>
      <c r="I1044" s="10">
        <f>IF($F1044="","",IF(MONTH($F1044)&gt;=4,YEAR($F1044)&amp;"-"&amp;TEXT(YEAR($F1044)+1-2000,"00"),YEAR($F1044)-1&amp;"-"&amp;TEXT(YEAR($F1044)-2000,"00")))</f>
        <v/>
      </c>
      <c r="J1044" s="13" t="n">
        <v>32724</v>
      </c>
      <c r="K1044" s="14">
        <f>IFERROR($L1044/$J1044,"")</f>
        <v/>
      </c>
      <c r="L1044" s="13" t="n">
        <v>32724</v>
      </c>
      <c r="M1044" s="13">
        <f>IFERROR($L1044/$H1044,"")</f>
        <v/>
      </c>
      <c r="N1044" s="11" t="n">
        <v>45840</v>
      </c>
      <c r="O1044" s="10">
        <f>IF($N1044="","No","Yes")</f>
        <v/>
      </c>
      <c r="P1044" s="12">
        <f>IF(OR($F1044="",$G1044=""),0,IF(AND($F1044&lt;=README!$B$4,README!$B$4&lt;=$G1044),1,0))</f>
        <v/>
      </c>
      <c r="Q1044" s="12">
        <f>IF(OR($F1044="",$G1044=""),0,IF(AND($F1044&lt;=DATE(README!$B$5,12,31),$G1044&gt;=DATE(README!$B$5,1,1)),1,0))</f>
        <v/>
      </c>
      <c r="R1044" s="10" t="inlineStr">
        <is>
          <t>GUT-VEH0016</t>
        </is>
      </c>
      <c r="S1044" s="11" t="n">
        <v>46023</v>
      </c>
      <c r="T1044" s="10" t="inlineStr">
        <is>
          <t>5</t>
        </is>
      </c>
      <c r="U1044" s="10" t="inlineStr">
        <is>
          <t>VEHICLE</t>
        </is>
      </c>
      <c r="V1044" s="10" t="inlineStr">
        <is>
          <t>T</t>
        </is>
      </c>
      <c r="W1044" s="10" t="inlineStr">
        <is>
          <t>VIVEK B</t>
        </is>
      </c>
    </row>
    <row r="1045">
      <c r="A1045" s="10" t="inlineStr">
        <is>
          <t>TN60AS3636</t>
        </is>
      </c>
      <c r="B1045" s="10" t="inlineStr">
        <is>
          <t>WOVEN</t>
        </is>
      </c>
      <c r="C1045" s="10" t="inlineStr">
        <is>
          <t>ROAD TAX</t>
        </is>
      </c>
      <c r="D1045" s="10" t="inlineStr">
        <is>
          <t>ROAD TAX</t>
        </is>
      </c>
      <c r="E1045" s="10" t="inlineStr">
        <is>
          <t>YEARLY</t>
        </is>
      </c>
      <c r="F1045" s="11" t="n">
        <v>45383</v>
      </c>
      <c r="G1045" s="11" t="n">
        <v>45747</v>
      </c>
      <c r="H1045" s="12">
        <f>IF(OR($F1045="",$G1045=""),"",$G1045-$F1045+1)</f>
        <v/>
      </c>
      <c r="I1045" s="10">
        <f>IF($F1045="","",IF(MONTH($F1045)&gt;=4,YEAR($F1045)&amp;"-"&amp;TEXT(YEAR($F1045)+1-2000,"00"),YEAR($F1045)-1&amp;"-"&amp;TEXT(YEAR($F1045)-2000,"00")))</f>
        <v/>
      </c>
      <c r="J1045" s="13" t="n">
        <v>32724</v>
      </c>
      <c r="K1045" s="14">
        <f>IFERROR($L1045/$J1045,"")</f>
        <v/>
      </c>
      <c r="L1045" s="13" t="n">
        <v>32724</v>
      </c>
      <c r="M1045" s="13">
        <f>IFERROR($L1045/$H1045,"")</f>
        <v/>
      </c>
      <c r="N1045" s="11" t="n">
        <v>45727</v>
      </c>
      <c r="O1045" s="10">
        <f>IF($N1045="","No","Yes")</f>
        <v/>
      </c>
      <c r="P1045" s="12">
        <f>IF(OR($F1045="",$G1045=""),0,IF(AND($F1045&lt;=README!$B$4,README!$B$4&lt;=$G1045),1,0))</f>
        <v/>
      </c>
      <c r="Q1045" s="12">
        <f>IF(OR($F1045="",$G1045=""),0,IF(AND($F1045&lt;=DATE(README!$B$5,12,31),$G1045&gt;=DATE(README!$B$5,1,1)),1,0))</f>
        <v/>
      </c>
      <c r="R1045" s="10" t="inlineStr">
        <is>
          <t>GUT-VEH0016</t>
        </is>
      </c>
      <c r="S1045" s="11" t="n">
        <v>46023</v>
      </c>
      <c r="T1045" s="10" t="inlineStr">
        <is>
          <t>5</t>
        </is>
      </c>
      <c r="U1045" s="10" t="inlineStr">
        <is>
          <t>VEHICLE</t>
        </is>
      </c>
      <c r="V1045" s="10" t="inlineStr">
        <is>
          <t>T</t>
        </is>
      </c>
      <c r="W1045" s="10" t="inlineStr">
        <is>
          <t>VIVEK B</t>
        </is>
      </c>
    </row>
    <row r="1046">
      <c r="A1046" s="10" t="inlineStr">
        <is>
          <t>TN60AS3636</t>
        </is>
      </c>
      <c r="B1046" s="10" t="inlineStr">
        <is>
          <t>WOVEN</t>
        </is>
      </c>
      <c r="C1046" s="10" t="inlineStr">
        <is>
          <t>ROAD TAX</t>
        </is>
      </c>
      <c r="D1046" s="10" t="inlineStr">
        <is>
          <t>ROAD TAX</t>
        </is>
      </c>
      <c r="E1046" s="10" t="inlineStr">
        <is>
          <t>YEARLY</t>
        </is>
      </c>
      <c r="F1046" s="11" t="n">
        <v>45383</v>
      </c>
      <c r="G1046" s="11" t="n">
        <v>45747</v>
      </c>
      <c r="H1046" s="12">
        <f>IF(OR($F1046="",$G1046=""),"",$G1046-$F1046+1)</f>
        <v/>
      </c>
      <c r="I1046" s="10">
        <f>IF($F1046="","",IF(MONTH($F1046)&gt;=4,YEAR($F1046)&amp;"-"&amp;TEXT(YEAR($F1046)+1-2000,"00"),YEAR($F1046)-1&amp;"-"&amp;TEXT(YEAR($F1046)-2000,"00")))</f>
        <v/>
      </c>
      <c r="J1046" s="13" t="n">
        <v>32724</v>
      </c>
      <c r="K1046" s="14">
        <f>IFERROR($L1046/$J1046,"")</f>
        <v/>
      </c>
      <c r="L1046" s="13" t="n">
        <v>32724</v>
      </c>
      <c r="M1046" s="13">
        <f>IFERROR($L1046/$H1046,"")</f>
        <v/>
      </c>
      <c r="N1046" s="11" t="n">
        <v>45569</v>
      </c>
      <c r="O1046" s="10">
        <f>IF($N1046="","No","Yes")</f>
        <v/>
      </c>
      <c r="P1046" s="12">
        <f>IF(OR($F1046="",$G1046=""),0,IF(AND($F1046&lt;=README!$B$4,README!$B$4&lt;=$G1046),1,0))</f>
        <v/>
      </c>
      <c r="Q1046" s="12">
        <f>IF(OR($F1046="",$G1046=""),0,IF(AND($F1046&lt;=DATE(README!$B$5,12,31),$G1046&gt;=DATE(README!$B$5,1,1)),1,0))</f>
        <v/>
      </c>
      <c r="R1046" s="10" t="inlineStr">
        <is>
          <t>GUT-VEH0011</t>
        </is>
      </c>
      <c r="S1046" s="11" t="n">
        <v>45475</v>
      </c>
      <c r="T1046" s="10" t="inlineStr">
        <is>
          <t>3</t>
        </is>
      </c>
      <c r="U1046" s="10" t="inlineStr">
        <is>
          <t>VEHICLE</t>
        </is>
      </c>
      <c r="V1046" s="10" t="inlineStr">
        <is>
          <t>T</t>
        </is>
      </c>
      <c r="W1046" s="10" t="inlineStr">
        <is>
          <t>VIVEK B</t>
        </is>
      </c>
    </row>
    <row r="1047">
      <c r="A1047" s="10" t="inlineStr">
        <is>
          <t>TN60AS3636</t>
        </is>
      </c>
      <c r="B1047" s="10" t="inlineStr">
        <is>
          <t>WOVEN</t>
        </is>
      </c>
      <c r="C1047" s="10" t="inlineStr">
        <is>
          <t>ROAD TAX</t>
        </is>
      </c>
      <c r="D1047" s="10" t="inlineStr">
        <is>
          <t>ROAD TAX</t>
        </is>
      </c>
      <c r="E1047" s="10" t="inlineStr">
        <is>
          <t>YEARLY</t>
        </is>
      </c>
      <c r="F1047" s="11" t="n">
        <v>45383</v>
      </c>
      <c r="G1047" s="11" t="n">
        <v>45747</v>
      </c>
      <c r="H1047" s="12">
        <f>IF(OR($F1047="",$G1047=""),"",$G1047-$F1047+1)</f>
        <v/>
      </c>
      <c r="I1047" s="10">
        <f>IF($F1047="","",IF(MONTH($F1047)&gt;=4,YEAR($F1047)&amp;"-"&amp;TEXT(YEAR($F1047)+1-2000,"00"),YEAR($F1047)-1&amp;"-"&amp;TEXT(YEAR($F1047)-2000,"00")))</f>
        <v/>
      </c>
      <c r="J1047" s="13" t="n">
        <v>32724</v>
      </c>
      <c r="K1047" s="14">
        <f>IFERROR($L1047/$J1047,"")</f>
        <v/>
      </c>
      <c r="L1047" s="13" t="n">
        <v>32724</v>
      </c>
      <c r="M1047" s="13">
        <f>IFERROR($L1047/$H1047,"")</f>
        <v/>
      </c>
      <c r="N1047" s="11" t="n">
        <v>45649</v>
      </c>
      <c r="O1047" s="10">
        <f>IF($N1047="","No","Yes")</f>
        <v/>
      </c>
      <c r="P1047" s="12">
        <f>IF(OR($F1047="",$G1047=""),0,IF(AND($F1047&lt;=README!$B$4,README!$B$4&lt;=$G1047),1,0))</f>
        <v/>
      </c>
      <c r="Q1047" s="12">
        <f>IF(OR($F1047="",$G1047=""),0,IF(AND($F1047&lt;=DATE(README!$B$5,12,31),$G1047&gt;=DATE(README!$B$5,1,1)),1,0))</f>
        <v/>
      </c>
      <c r="R1047" s="10" t="inlineStr">
        <is>
          <t>GUT-VEH0011</t>
        </is>
      </c>
      <c r="S1047" s="11" t="n">
        <v>45475</v>
      </c>
      <c r="T1047" s="10" t="inlineStr">
        <is>
          <t>3</t>
        </is>
      </c>
      <c r="U1047" s="10" t="inlineStr">
        <is>
          <t>VEHICLE</t>
        </is>
      </c>
      <c r="V1047" s="10" t="inlineStr">
        <is>
          <t>T</t>
        </is>
      </c>
      <c r="W1047" s="10" t="inlineStr">
        <is>
          <t>VIVEK B</t>
        </is>
      </c>
    </row>
    <row r="1048">
      <c r="A1048" s="10" t="inlineStr">
        <is>
          <t>TN60AS3636</t>
        </is>
      </c>
      <c r="B1048" s="10" t="inlineStr">
        <is>
          <t>WOVEN</t>
        </is>
      </c>
      <c r="C1048" s="10" t="inlineStr">
        <is>
          <t>VEHICLE INSURANCE</t>
        </is>
      </c>
      <c r="D1048" s="10" t="inlineStr">
        <is>
          <t>VEHICLE INSURANCE</t>
        </is>
      </c>
      <c r="E1048" s="10" t="inlineStr">
        <is>
          <t>YEARLY</t>
        </is>
      </c>
      <c r="F1048" s="11" t="n">
        <v>45383</v>
      </c>
      <c r="G1048" s="11" t="n">
        <v>45747</v>
      </c>
      <c r="H1048" s="12">
        <f>IF(OR($F1048="",$G1048=""),"",$G1048-$F1048+1)</f>
        <v/>
      </c>
      <c r="I1048" s="10">
        <f>IF($F1048="","",IF(MONTH($F1048)&gt;=4,YEAR($F1048)&amp;"-"&amp;TEXT(YEAR($F1048)+1-2000,"00"),YEAR($F1048)-1&amp;"-"&amp;TEXT(YEAR($F1048)-2000,"00")))</f>
        <v/>
      </c>
      <c r="J1048" s="13" t="n">
        <v>81685</v>
      </c>
      <c r="K1048" s="14">
        <f>IFERROR($L1048/$J1048,"")</f>
        <v/>
      </c>
      <c r="L1048" s="13" t="n">
        <v>81685</v>
      </c>
      <c r="M1048" s="13">
        <f>IFERROR($L1048/$H1048,"")</f>
        <v/>
      </c>
      <c r="N1048" s="11" t="n">
        <v>45737</v>
      </c>
      <c r="O1048" s="10">
        <f>IF($N1048="","No","Yes")</f>
        <v/>
      </c>
      <c r="P1048" s="12">
        <f>IF(OR($F1048="",$G1048=""),0,IF(AND($F1048&lt;=README!$B$4,README!$B$4&lt;=$G1048),1,0))</f>
        <v/>
      </c>
      <c r="Q1048" s="12">
        <f>IF(OR($F1048="",$G1048=""),0,IF(AND($F1048&lt;=DATE(README!$B$5,12,31),$G1048&gt;=DATE(README!$B$5,1,1)),1,0))</f>
        <v/>
      </c>
      <c r="R1048" s="10" t="inlineStr">
        <is>
          <t>GUT-VEH0012</t>
        </is>
      </c>
      <c r="S1048" s="11" t="n">
        <v>45478</v>
      </c>
      <c r="T1048" s="10" t="inlineStr">
        <is>
          <t>3</t>
        </is>
      </c>
      <c r="U1048" s="10" t="inlineStr">
        <is>
          <t>VEHICLE</t>
        </is>
      </c>
      <c r="V1048" s="10" t="inlineStr">
        <is>
          <t>T</t>
        </is>
      </c>
      <c r="W1048" s="10" t="inlineStr">
        <is>
          <t>VIVEK B</t>
        </is>
      </c>
    </row>
    <row r="1049">
      <c r="A1049" s="10" t="inlineStr">
        <is>
          <t>TN60AS3636</t>
        </is>
      </c>
      <c r="B1049" s="10" t="inlineStr">
        <is>
          <t>WOVEN</t>
        </is>
      </c>
      <c r="C1049" s="10" t="inlineStr">
        <is>
          <t>VEHICLE INSURANCE</t>
        </is>
      </c>
      <c r="D1049" s="10" t="inlineStr">
        <is>
          <t>VEHICLE INSURANCE</t>
        </is>
      </c>
      <c r="E1049" s="10" t="inlineStr">
        <is>
          <t>YEARLY</t>
        </is>
      </c>
      <c r="F1049" s="11" t="n">
        <v>45748</v>
      </c>
      <c r="G1049" s="11" t="n">
        <v>46112</v>
      </c>
      <c r="H1049" s="12">
        <f>IF(OR($F1049="",$G1049=""),"",$G1049-$F1049+1)</f>
        <v/>
      </c>
      <c r="I1049" s="10">
        <f>IF($F1049="","",IF(MONTH($F1049)&gt;=4,YEAR($F1049)&amp;"-"&amp;TEXT(YEAR($F1049)+1-2000,"00"),YEAR($F1049)-1&amp;"-"&amp;TEXT(YEAR($F1049)-2000,"00")))</f>
        <v/>
      </c>
      <c r="J1049" s="13" t="n">
        <v>80110</v>
      </c>
      <c r="K1049" s="14">
        <f>IFERROR($L1049/$J1049,"")</f>
        <v/>
      </c>
      <c r="L1049" s="13" t="n">
        <v>80110</v>
      </c>
      <c r="M1049" s="13">
        <f>IFERROR($L1049/$H1049,"")</f>
        <v/>
      </c>
      <c r="N1049" s="11" t="n">
        <v>46108</v>
      </c>
      <c r="O1049" s="10">
        <f>IF($N1049="","No","Yes")</f>
        <v/>
      </c>
      <c r="P1049" s="12">
        <f>IF(OR($F1049="",$G1049=""),0,IF(AND($F1049&lt;=README!$B$4,README!$B$4&lt;=$G1049),1,0))</f>
        <v/>
      </c>
      <c r="Q1049" s="12">
        <f>IF(OR($F1049="",$G1049=""),0,IF(AND($F1049&lt;=DATE(README!$B$5,12,31),$G1049&gt;=DATE(README!$B$5,1,1)),1,0))</f>
        <v/>
      </c>
      <c r="R1049" s="10" t="inlineStr">
        <is>
          <t>GUT-VEH0019</t>
        </is>
      </c>
      <c r="S1049" s="11" t="n">
        <v>45799</v>
      </c>
      <c r="T1049" s="10" t="inlineStr">
        <is>
          <t>5</t>
        </is>
      </c>
      <c r="U1049" s="10" t="inlineStr">
        <is>
          <t>VEHICLE</t>
        </is>
      </c>
      <c r="V1049" s="10" t="inlineStr">
        <is>
          <t>T</t>
        </is>
      </c>
      <c r="W1049" s="10" t="inlineStr">
        <is>
          <t>VIVEK B</t>
        </is>
      </c>
    </row>
    <row r="1050">
      <c r="A1050" s="10" t="inlineStr">
        <is>
          <t>TN60AS3636</t>
        </is>
      </c>
      <c r="B1050" s="10" t="inlineStr"/>
      <c r="C1050" s="10" t="inlineStr">
        <is>
          <t>VEHICLE OUTSIDE SERVICES</t>
        </is>
      </c>
      <c r="D1050" s="10" t="inlineStr">
        <is>
          <t xml:space="preserve">MAINTENANCE SERVICE </t>
        </is>
      </c>
      <c r="E1050" s="10" t="inlineStr">
        <is>
          <t>YEARLY</t>
        </is>
      </c>
      <c r="F1050" s="11" t="n">
        <v>45748</v>
      </c>
      <c r="G1050" s="11" t="n">
        <v>46112</v>
      </c>
      <c r="H1050" s="12">
        <f>IF(OR($F1050="",$G1050=""),"",$G1050-$F1050+1)</f>
        <v/>
      </c>
      <c r="I1050" s="10">
        <f>IF($F1050="","",IF(MONTH($F1050)&gt;=4,YEAR($F1050)&amp;"-"&amp;TEXT(YEAR($F1050)+1-2000,"00"),YEAR($F1050)-1&amp;"-"&amp;TEXT(YEAR($F1050)-2000,"00")))</f>
        <v/>
      </c>
      <c r="J1050" s="13" t="n">
        <v>14984.95</v>
      </c>
      <c r="K1050" s="14">
        <f>IFERROR($L1050/$J1050,"")</f>
        <v/>
      </c>
      <c r="L1050" s="13" t="n">
        <v>14984.95</v>
      </c>
      <c r="M1050" s="13">
        <f>IFERROR($L1050/$H1050,"")</f>
        <v/>
      </c>
      <c r="N1050" s="11" t="n">
        <v>45873</v>
      </c>
      <c r="O1050" s="10">
        <f>IF($N1050="","No","Yes")</f>
        <v/>
      </c>
      <c r="P1050" s="12">
        <f>IF(OR($F1050="",$G1050=""),0,IF(AND($F1050&lt;=README!$B$4,README!$B$4&lt;=$G1050),1,0))</f>
        <v/>
      </c>
      <c r="Q1050" s="12">
        <f>IF(OR($F1050="",$G1050=""),0,IF(AND($F1050&lt;=DATE(README!$B$5,12,31),$G1050&gt;=DATE(README!$B$5,1,1)),1,0))</f>
        <v/>
      </c>
      <c r="R1050" s="10" t="inlineStr">
        <is>
          <t>GUT-VEH0021</t>
        </is>
      </c>
      <c r="S1050" s="11" t="n">
        <v>45812</v>
      </c>
      <c r="T1050" s="10" t="inlineStr">
        <is>
          <t>5</t>
        </is>
      </c>
      <c r="U1050" s="10" t="inlineStr">
        <is>
          <t>VEHICLE</t>
        </is>
      </c>
      <c r="V1050" s="10" t="inlineStr">
        <is>
          <t>T</t>
        </is>
      </c>
      <c r="W1050" s="10" t="inlineStr">
        <is>
          <t>VIVEK B</t>
        </is>
      </c>
    </row>
    <row r="1051">
      <c r="A1051" s="10" t="inlineStr">
        <is>
          <t>TN60AS3636</t>
        </is>
      </c>
      <c r="B1051" s="10" t="inlineStr">
        <is>
          <t>WOVEN</t>
        </is>
      </c>
      <c r="C1051" s="10" t="inlineStr">
        <is>
          <t>ROAD TAX</t>
        </is>
      </c>
      <c r="D1051" s="10" t="inlineStr">
        <is>
          <t>ROAD TAX</t>
        </is>
      </c>
      <c r="E1051" s="10" t="inlineStr">
        <is>
          <t>QUARTER - IV</t>
        </is>
      </c>
      <c r="F1051" s="11" t="n">
        <v>46023</v>
      </c>
      <c r="G1051" s="11" t="n">
        <v>46112</v>
      </c>
      <c r="H1051" s="12">
        <f>IF(OR($F1051="",$G1051=""),"",$G1051-$F1051+1)</f>
        <v/>
      </c>
      <c r="I1051" s="10">
        <f>IF($F1051="","",IF(MONTH($F1051)&gt;=4,YEAR($F1051)&amp;"-"&amp;TEXT(YEAR($F1051)+1-2000,"00"),YEAR($F1051)-1&amp;"-"&amp;TEXT(YEAR($F1051)-2000,"00")))</f>
        <v/>
      </c>
      <c r="J1051" s="13" t="n">
        <v>32734</v>
      </c>
      <c r="K1051" s="14">
        <f>IFERROR($L1051/$J1051,"")</f>
        <v/>
      </c>
      <c r="L1051" s="13" t="n">
        <v>32734</v>
      </c>
      <c r="M1051" s="13">
        <f>IFERROR($L1051/$H1051,"")</f>
        <v/>
      </c>
      <c r="N1051" s="11" t="n">
        <v>46065</v>
      </c>
      <c r="O1051" s="10">
        <f>IF($N1051="","No","Yes")</f>
        <v/>
      </c>
      <c r="P1051" s="12">
        <f>IF(OR($F1051="",$G1051=""),0,IF(AND($F1051&lt;=README!$B$4,README!$B$4&lt;=$G1051),1,0))</f>
        <v/>
      </c>
      <c r="Q1051" s="12">
        <f>IF(OR($F1051="",$G1051=""),0,IF(AND($F1051&lt;=DATE(README!$B$5,12,31),$G1051&gt;=DATE(README!$B$5,1,1)),1,0))</f>
        <v/>
      </c>
      <c r="R1051" s="10" t="inlineStr">
        <is>
          <t>GUT-VEH0016</t>
        </is>
      </c>
      <c r="S1051" s="11" t="n">
        <v>46023</v>
      </c>
      <c r="T1051" s="10" t="inlineStr">
        <is>
          <t>5</t>
        </is>
      </c>
      <c r="U1051" s="10" t="inlineStr">
        <is>
          <t>VEHICLE</t>
        </is>
      </c>
      <c r="V1051" s="10" t="inlineStr">
        <is>
          <t>T</t>
        </is>
      </c>
      <c r="W1051" s="10" t="inlineStr">
        <is>
          <t>VIVEK B</t>
        </is>
      </c>
    </row>
    <row r="1052">
      <c r="A1052" s="10" t="inlineStr">
        <is>
          <t>TN60AS3636</t>
        </is>
      </c>
      <c r="B1052" s="10" t="inlineStr">
        <is>
          <t>WOVEN</t>
        </is>
      </c>
      <c r="C1052" s="10" t="inlineStr">
        <is>
          <t>FC WORK</t>
        </is>
      </c>
      <c r="D1052" s="10" t="inlineStr">
        <is>
          <t>FC WORK</t>
        </is>
      </c>
      <c r="E1052" s="10" t="inlineStr">
        <is>
          <t>YEARLY</t>
        </is>
      </c>
      <c r="F1052" s="11" t="n">
        <v>46113</v>
      </c>
      <c r="G1052" s="11" t="n">
        <v>46477</v>
      </c>
      <c r="H1052" s="12">
        <f>IF(OR($F1052="",$G1052=""),"",$G1052-$F1052+1)</f>
        <v/>
      </c>
      <c r="I1052" s="10">
        <f>IF($F1052="","",IF(MONTH($F1052)&gt;=4,YEAR($F1052)&amp;"-"&amp;TEXT(YEAR($F1052)+1-2000,"00"),YEAR($F1052)-1&amp;"-"&amp;TEXT(YEAR($F1052)-2000,"00")))</f>
        <v/>
      </c>
      <c r="J1052" s="13" t="n">
        <v>41600</v>
      </c>
      <c r="K1052" s="14">
        <f>IFERROR($L1052/$J1052,"")</f>
        <v/>
      </c>
      <c r="L1052" s="13" t="n">
        <v>41600</v>
      </c>
      <c r="M1052" s="13">
        <f>IFERROR($L1052/$H1052,"")</f>
        <v/>
      </c>
      <c r="N1052" s="11" t="n">
        <v>46210</v>
      </c>
      <c r="O1052" s="10">
        <f>IF($N1052="","No","Yes")</f>
        <v/>
      </c>
      <c r="P1052" s="12">
        <f>IF(OR($F1052="",$G1052=""),0,IF(AND($F1052&lt;=README!$B$4,README!$B$4&lt;=$G1052),1,0))</f>
        <v/>
      </c>
      <c r="Q1052" s="12">
        <f>IF(OR($F1052="",$G1052=""),0,IF(AND($F1052&lt;=DATE(README!$B$5,12,31),$G1052&gt;=DATE(README!$B$5,1,1)),1,0))</f>
        <v/>
      </c>
      <c r="R1052" s="10" t="inlineStr">
        <is>
          <t>GUT-VEH0036</t>
        </is>
      </c>
      <c r="S1052" s="11" t="n">
        <v>46191</v>
      </c>
      <c r="T1052" s="10" t="inlineStr">
        <is>
          <t>5</t>
        </is>
      </c>
      <c r="U1052" s="10" t="inlineStr">
        <is>
          <t>VEHICLE</t>
        </is>
      </c>
      <c r="V1052" s="10" t="inlineStr">
        <is>
          <t>T</t>
        </is>
      </c>
      <c r="W1052" s="10" t="inlineStr">
        <is>
          <t>VIVEK B</t>
        </is>
      </c>
    </row>
    <row r="1053">
      <c r="A1053" s="10" t="inlineStr">
        <is>
          <t>TN60AS3636</t>
        </is>
      </c>
      <c r="B1053" s="10" t="inlineStr">
        <is>
          <t>WOVEN</t>
        </is>
      </c>
      <c r="C1053" s="10" t="inlineStr">
        <is>
          <t>ROAD TAX</t>
        </is>
      </c>
      <c r="D1053" s="10" t="inlineStr">
        <is>
          <t>ROAD TAX</t>
        </is>
      </c>
      <c r="E1053" s="10" t="inlineStr">
        <is>
          <t>QUARTER - I</t>
        </is>
      </c>
      <c r="F1053" s="11" t="n">
        <v>46113</v>
      </c>
      <c r="G1053" s="11" t="n">
        <v>46203</v>
      </c>
      <c r="H1053" s="12">
        <f>IF(OR($F1053="",$G1053=""),"",$G1053-$F1053+1)</f>
        <v/>
      </c>
      <c r="I1053" s="10">
        <f>IF($F1053="","",IF(MONTH($F1053)&gt;=4,YEAR($F1053)&amp;"-"&amp;TEXT(YEAR($F1053)+1-2000,"00"),YEAR($F1053)-1&amp;"-"&amp;TEXT(YEAR($F1053)-2000,"00")))</f>
        <v/>
      </c>
      <c r="J1053" s="13" t="n">
        <v>32734</v>
      </c>
      <c r="K1053" s="14">
        <f>IFERROR($L1053/$J1053,"")</f>
        <v/>
      </c>
      <c r="L1053" s="13" t="n">
        <v>32734</v>
      </c>
      <c r="M1053" s="13">
        <f>IFERROR($L1053/$H1053,"")</f>
        <v/>
      </c>
      <c r="N1053" s="11" t="n">
        <v>46088</v>
      </c>
      <c r="O1053" s="10">
        <f>IF($N1053="","No","Yes")</f>
        <v/>
      </c>
      <c r="P1053" s="12">
        <f>IF(OR($F1053="",$G1053=""),0,IF(AND($F1053&lt;=README!$B$4,README!$B$4&lt;=$G1053),1,0))</f>
        <v/>
      </c>
      <c r="Q1053" s="12">
        <f>IF(OR($F1053="",$G1053=""),0,IF(AND($F1053&lt;=DATE(README!$B$5,12,31),$G1053&gt;=DATE(README!$B$5,1,1)),1,0))</f>
        <v/>
      </c>
      <c r="R1053" s="10" t="inlineStr">
        <is>
          <t>GUT-VEH0029</t>
        </is>
      </c>
      <c r="S1053" s="11" t="n">
        <v>46087</v>
      </c>
      <c r="T1053" s="10" t="inlineStr">
        <is>
          <t>5</t>
        </is>
      </c>
      <c r="U1053" s="10" t="inlineStr">
        <is>
          <t>VEHICLE</t>
        </is>
      </c>
      <c r="V1053" s="10" t="inlineStr">
        <is>
          <t>T</t>
        </is>
      </c>
      <c r="W1053" s="10" t="inlineStr">
        <is>
          <t>VIVEK B</t>
        </is>
      </c>
    </row>
    <row r="1054">
      <c r="A1054" s="10" t="inlineStr">
        <is>
          <t>TN60AS3636</t>
        </is>
      </c>
      <c r="B1054" s="10" t="inlineStr">
        <is>
          <t>WOVEN</t>
        </is>
      </c>
      <c r="C1054" s="10" t="inlineStr">
        <is>
          <t>RTO EXPENSE</t>
        </is>
      </c>
      <c r="D1054" s="10" t="inlineStr">
        <is>
          <t>RTO EXPENSES - FC</t>
        </is>
      </c>
      <c r="E1054" s="10" t="inlineStr">
        <is>
          <t>YEARLY</t>
        </is>
      </c>
      <c r="F1054" s="11" t="n">
        <v>46113</v>
      </c>
      <c r="G1054" s="11" t="n">
        <v>46477</v>
      </c>
      <c r="H1054" s="12">
        <f>IF(OR($F1054="",$G1054=""),"",$G1054-$F1054+1)</f>
        <v/>
      </c>
      <c r="I1054" s="10">
        <f>IF($F1054="","",IF(MONTH($F1054)&gt;=4,YEAR($F1054)&amp;"-"&amp;TEXT(YEAR($F1054)+1-2000,"00"),YEAR($F1054)-1&amp;"-"&amp;TEXT(YEAR($F1054)-2000,"00")))</f>
        <v/>
      </c>
      <c r="J1054" s="13" t="n">
        <v>12500</v>
      </c>
      <c r="K1054" s="14">
        <f>IFERROR($L1054/$J1054,"")</f>
        <v/>
      </c>
      <c r="L1054" s="13" t="n">
        <v>12500</v>
      </c>
      <c r="M1054" s="13">
        <f>IFERROR($L1054/$H1054,"")</f>
        <v/>
      </c>
      <c r="N1054" s="11" t="n">
        <v>46196</v>
      </c>
      <c r="O1054" s="10">
        <f>IF($N1054="","No","Yes")</f>
        <v/>
      </c>
      <c r="P1054" s="12">
        <f>IF(OR($F1054="",$G1054=""),0,IF(AND($F1054&lt;=README!$B$4,README!$B$4&lt;=$G1054),1,0))</f>
        <v/>
      </c>
      <c r="Q1054" s="12">
        <f>IF(OR($F1054="",$G1054=""),0,IF(AND($F1054&lt;=DATE(README!$B$5,12,31),$G1054&gt;=DATE(README!$B$5,1,1)),1,0))</f>
        <v/>
      </c>
      <c r="R1054" s="10" t="inlineStr">
        <is>
          <t>GUT-VEH0037</t>
        </is>
      </c>
      <c r="S1054" s="11" t="n">
        <v>46191</v>
      </c>
      <c r="T1054" s="10" t="inlineStr">
        <is>
          <t>5</t>
        </is>
      </c>
      <c r="U1054" s="10" t="inlineStr">
        <is>
          <t>VEHICLE</t>
        </is>
      </c>
      <c r="V1054" s="10" t="inlineStr">
        <is>
          <t>T</t>
        </is>
      </c>
      <c r="W1054" s="10" t="inlineStr">
        <is>
          <t>VIVEK B</t>
        </is>
      </c>
    </row>
    <row r="1055">
      <c r="A1055" s="10" t="inlineStr">
        <is>
          <t>TN60AS3636</t>
        </is>
      </c>
      <c r="B1055" s="10" t="inlineStr">
        <is>
          <t>WOVEN</t>
        </is>
      </c>
      <c r="C1055" s="10" t="inlineStr">
        <is>
          <t>ROAD TAX</t>
        </is>
      </c>
      <c r="D1055" s="10" t="inlineStr">
        <is>
          <t>ROAD TAX</t>
        </is>
      </c>
      <c r="E1055" s="10" t="inlineStr">
        <is>
          <t>QUARTER - II</t>
        </is>
      </c>
      <c r="F1055" s="11" t="n">
        <v>46204</v>
      </c>
      <c r="G1055" s="11" t="n">
        <v>46295</v>
      </c>
      <c r="H1055" s="12">
        <f>IF(OR($F1055="",$G1055=""),"",$G1055-$F1055+1)</f>
        <v/>
      </c>
      <c r="I1055" s="10">
        <f>IF($F1055="","",IF(MONTH($F1055)&gt;=4,YEAR($F1055)&amp;"-"&amp;TEXT(YEAR($F1055)+1-2000,"00"),YEAR($F1055)-1&amp;"-"&amp;TEXT(YEAR($F1055)-2000,"00")))</f>
        <v/>
      </c>
      <c r="J1055" s="13" t="n">
        <v>32734</v>
      </c>
      <c r="K1055" s="14">
        <f>IFERROR($L1055/$J1055,"")</f>
        <v/>
      </c>
      <c r="L1055" s="13" t="n">
        <v>32734</v>
      </c>
      <c r="M1055" s="13">
        <f>IFERROR($L1055/$H1055,"")</f>
        <v/>
      </c>
      <c r="N1055" s="11" t="n">
        <v>46196</v>
      </c>
      <c r="O1055" s="10">
        <f>IF($N1055="","No","Yes")</f>
        <v/>
      </c>
      <c r="P1055" s="12">
        <f>IF(OR($F1055="",$G1055=""),0,IF(AND($F1055&lt;=README!$B$4,README!$B$4&lt;=$G1055),1,0))</f>
        <v/>
      </c>
      <c r="Q1055" s="12">
        <f>IF(OR($F1055="",$G1055=""),0,IF(AND($F1055&lt;=DATE(README!$B$5,12,31),$G1055&gt;=DATE(README!$B$5,1,1)),1,0))</f>
        <v/>
      </c>
      <c r="R1055" s="10" t="inlineStr">
        <is>
          <t>GUT-VEH0038</t>
        </is>
      </c>
      <c r="S1055" s="11" t="n">
        <v>46193</v>
      </c>
      <c r="T1055" s="10" t="inlineStr">
        <is>
          <t>5</t>
        </is>
      </c>
      <c r="U1055" s="10" t="inlineStr">
        <is>
          <t>VEHICLE</t>
        </is>
      </c>
      <c r="V1055" s="10" t="inlineStr">
        <is>
          <t>T</t>
        </is>
      </c>
      <c r="W1055" s="10" t="inlineStr">
        <is>
          <t>VIVEK B</t>
        </is>
      </c>
    </row>
    <row r="1057">
      <c r="I1057" s="3" t="inlineStr">
        <is>
          <t>Total</t>
        </is>
      </c>
      <c r="L1057" s="15">
        <f>SUM(L2:L1055)</f>
        <v/>
      </c>
    </row>
    <row r="1058">
      <c r="I1058" s="3" t="inlineStr">
        <is>
          <t>Lines</t>
        </is>
      </c>
      <c r="L1058" s="3">
        <f>COUNTA(A2:A1055)</f>
        <v/>
      </c>
    </row>
    <row r="1060">
      <c r="A1060" s="5" t="inlineStr">
        <is>
          <t>One row = one dated cost line as the ERP returns it. Qty and 'Per day' are derived here, not ERP fields: Qty is Pur_Amount/Rate (litres, tyres, jobs) and 'Per day' spreads the amount over its own period so YEARLY, QUARTER and monthly lines can be compared. Rate is a unit rate — sum Pur_Amount, never Rate. 'Active on as-of' and 'In cal. year' follow the yellow control cells on README.</t>
        </is>
      </c>
    </row>
  </sheetData>
  <autoFilter ref="A1:W10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5" customWidth="1" min="10" max="10"/>
    <col width="10" customWidth="1" min="11" max="11"/>
    <col width="15" customWidth="1" min="12" max="12"/>
    <col width="16" customWidth="1" min="13" max="13"/>
    <col width="13" customWidth="1" min="14" max="14"/>
  </cols>
  <sheetData>
    <row r="1">
      <c r="A1" s="9" t="inlineStr">
        <is>
          <t>Vehicle</t>
        </is>
      </c>
      <c r="B1" s="9" t="inlineStr">
        <is>
          <t>Division</t>
        </is>
      </c>
      <c r="C1" s="9" t="inlineStr">
        <is>
          <t>ADBLU</t>
        </is>
      </c>
      <c r="D1" s="9" t="inlineStr">
        <is>
          <t>FC WORK</t>
        </is>
      </c>
      <c r="E1" s="9" t="inlineStr">
        <is>
          <t>ROAD TAX</t>
        </is>
      </c>
      <c r="F1" s="9" t="inlineStr">
        <is>
          <t>RTO EXPENSE</t>
        </is>
      </c>
      <c r="G1" s="9" t="inlineStr">
        <is>
          <t>TYRE</t>
        </is>
      </c>
      <c r="H1" s="9" t="inlineStr">
        <is>
          <t>VEHICLE INSURANCE</t>
        </is>
      </c>
      <c r="I1" s="9" t="inlineStr">
        <is>
          <t>VEHICLE OUTSIDE SERVICES</t>
        </is>
      </c>
      <c r="J1" s="9" t="inlineStr">
        <is>
          <t>FY total</t>
        </is>
      </c>
      <c r="K1" s="9" t="inlineStr">
        <is>
          <t>FY lines</t>
        </is>
      </c>
      <c r="L1" s="9" t="inlineStr">
        <is>
          <t>Active on as-of</t>
        </is>
      </c>
      <c r="M1" s="9" t="inlineStr">
        <is>
          <t>All-time total</t>
        </is>
      </c>
      <c r="N1" s="9" t="inlineStr">
        <is>
          <t>All-time lines</t>
        </is>
      </c>
    </row>
    <row r="2">
      <c r="A2" s="16" t="inlineStr">
        <is>
          <t>TN57AC3636</t>
        </is>
      </c>
      <c r="B2" s="16" t="inlineStr">
        <is>
          <t>SOCKS</t>
        </is>
      </c>
      <c r="C2" s="13">
        <f>SUMIFS(CostLines!$L$2:$L$1055,CostLines!$A$2:$A$1055,$A2,CostLines!$C$2:$C$1055,C$1,CostLines!$I$2:$I$1055,README!$B$6)</f>
        <v/>
      </c>
      <c r="D2" s="13">
        <f>SUMIFS(CostLines!$L$2:$L$1055,CostLines!$A$2:$A$1055,$A2,CostLines!$C$2:$C$1055,D$1,CostLines!$I$2:$I$1055,README!$B$6)</f>
        <v/>
      </c>
      <c r="E2" s="13">
        <f>SUMIFS(CostLines!$L$2:$L$1055,CostLines!$A$2:$A$1055,$A2,CostLines!$C$2:$C$1055,E$1,CostLines!$I$2:$I$1055,README!$B$6)</f>
        <v/>
      </c>
      <c r="F2" s="13">
        <f>SUMIFS(CostLines!$L$2:$L$1055,CostLines!$A$2:$A$1055,$A2,CostLines!$C$2:$C$1055,F$1,CostLines!$I$2:$I$1055,README!$B$6)</f>
        <v/>
      </c>
      <c r="G2" s="13">
        <f>SUMIFS(CostLines!$L$2:$L$1055,CostLines!$A$2:$A$1055,$A2,CostLines!$C$2:$C$1055,G$1,CostLines!$I$2:$I$1055,README!$B$6)</f>
        <v/>
      </c>
      <c r="H2" s="13">
        <f>SUMIFS(CostLines!$L$2:$L$1055,CostLines!$A$2:$A$1055,$A2,CostLines!$C$2:$C$1055,H$1,CostLines!$I$2:$I$1055,README!$B$6)</f>
        <v/>
      </c>
      <c r="I2" s="13">
        <f>SUMIFS(CostLines!$L$2:$L$1055,CostLines!$A$2:$A$1055,$A2,CostLines!$C$2:$C$1055,I$1,CostLines!$I$2:$I$1055,README!$B$6)</f>
        <v/>
      </c>
      <c r="J2" s="13">
        <f>SUM(C2:I2)</f>
        <v/>
      </c>
      <c r="K2" s="17">
        <f>COUNTIFS(CostLines!$A$2:$A$1055,$A2,CostLines!$I$2:$I$1055,README!$B$6)</f>
        <v/>
      </c>
      <c r="L2" s="13">
        <f>SUMIFS(CostLines!$L$2:$L$1055,CostLines!$A$2:$A$1055,$A2,CostLines!$P$2:$P$1055,1)</f>
        <v/>
      </c>
      <c r="M2" s="13">
        <f>SUMIFS(CostLines!$L$2:$L$1055,CostLines!$A$2:$A$1055,$A2)</f>
        <v/>
      </c>
      <c r="N2" s="17">
        <f>COUNTIFS(CostLines!$A$2:$A$1055,$A2)</f>
        <v/>
      </c>
    </row>
    <row r="3">
      <c r="A3" s="16" t="inlineStr">
        <is>
          <t>TN57AE3636</t>
        </is>
      </c>
      <c r="B3" s="16" t="inlineStr">
        <is>
          <t>SOCKS</t>
        </is>
      </c>
      <c r="C3" s="13">
        <f>SUMIFS(CostLines!$L$2:$L$1055,CostLines!$A$2:$A$1055,$A3,CostLines!$C$2:$C$1055,C$1,CostLines!$I$2:$I$1055,README!$B$6)</f>
        <v/>
      </c>
      <c r="D3" s="13">
        <f>SUMIFS(CostLines!$L$2:$L$1055,CostLines!$A$2:$A$1055,$A3,CostLines!$C$2:$C$1055,D$1,CostLines!$I$2:$I$1055,README!$B$6)</f>
        <v/>
      </c>
      <c r="E3" s="13">
        <f>SUMIFS(CostLines!$L$2:$L$1055,CostLines!$A$2:$A$1055,$A3,CostLines!$C$2:$C$1055,E$1,CostLines!$I$2:$I$1055,README!$B$6)</f>
        <v/>
      </c>
      <c r="F3" s="13">
        <f>SUMIFS(CostLines!$L$2:$L$1055,CostLines!$A$2:$A$1055,$A3,CostLines!$C$2:$C$1055,F$1,CostLines!$I$2:$I$1055,README!$B$6)</f>
        <v/>
      </c>
      <c r="G3" s="13">
        <f>SUMIFS(CostLines!$L$2:$L$1055,CostLines!$A$2:$A$1055,$A3,CostLines!$C$2:$C$1055,G$1,CostLines!$I$2:$I$1055,README!$B$6)</f>
        <v/>
      </c>
      <c r="H3" s="13">
        <f>SUMIFS(CostLines!$L$2:$L$1055,CostLines!$A$2:$A$1055,$A3,CostLines!$C$2:$C$1055,H$1,CostLines!$I$2:$I$1055,README!$B$6)</f>
        <v/>
      </c>
      <c r="I3" s="13">
        <f>SUMIFS(CostLines!$L$2:$L$1055,CostLines!$A$2:$A$1055,$A3,CostLines!$C$2:$C$1055,I$1,CostLines!$I$2:$I$1055,README!$B$6)</f>
        <v/>
      </c>
      <c r="J3" s="13">
        <f>SUM(C3:I3)</f>
        <v/>
      </c>
      <c r="K3" s="17">
        <f>COUNTIFS(CostLines!$A$2:$A$1055,$A3,CostLines!$I$2:$I$1055,README!$B$6)</f>
        <v/>
      </c>
      <c r="L3" s="13">
        <f>SUMIFS(CostLines!$L$2:$L$1055,CostLines!$A$2:$A$1055,$A3,CostLines!$P$2:$P$1055,1)</f>
        <v/>
      </c>
      <c r="M3" s="13">
        <f>SUMIFS(CostLines!$L$2:$L$1055,CostLines!$A$2:$A$1055,$A3)</f>
        <v/>
      </c>
      <c r="N3" s="17">
        <f>COUNTIFS(CostLines!$A$2:$A$1055,$A3)</f>
        <v/>
      </c>
    </row>
    <row r="4">
      <c r="A4" s="16" t="inlineStr">
        <is>
          <t>TN57AE9806</t>
        </is>
      </c>
      <c r="B4" s="16" t="inlineStr">
        <is>
          <t>SOCKS</t>
        </is>
      </c>
      <c r="C4" s="13">
        <f>SUMIFS(CostLines!$L$2:$L$1055,CostLines!$A$2:$A$1055,$A4,CostLines!$C$2:$C$1055,C$1,CostLines!$I$2:$I$1055,README!$B$6)</f>
        <v/>
      </c>
      <c r="D4" s="13">
        <f>SUMIFS(CostLines!$L$2:$L$1055,CostLines!$A$2:$A$1055,$A4,CostLines!$C$2:$C$1055,D$1,CostLines!$I$2:$I$1055,README!$B$6)</f>
        <v/>
      </c>
      <c r="E4" s="13">
        <f>SUMIFS(CostLines!$L$2:$L$1055,CostLines!$A$2:$A$1055,$A4,CostLines!$C$2:$C$1055,E$1,CostLines!$I$2:$I$1055,README!$B$6)</f>
        <v/>
      </c>
      <c r="F4" s="13">
        <f>SUMIFS(CostLines!$L$2:$L$1055,CostLines!$A$2:$A$1055,$A4,CostLines!$C$2:$C$1055,F$1,CostLines!$I$2:$I$1055,README!$B$6)</f>
        <v/>
      </c>
      <c r="G4" s="13">
        <f>SUMIFS(CostLines!$L$2:$L$1055,CostLines!$A$2:$A$1055,$A4,CostLines!$C$2:$C$1055,G$1,CostLines!$I$2:$I$1055,README!$B$6)</f>
        <v/>
      </c>
      <c r="H4" s="13">
        <f>SUMIFS(CostLines!$L$2:$L$1055,CostLines!$A$2:$A$1055,$A4,CostLines!$C$2:$C$1055,H$1,CostLines!$I$2:$I$1055,README!$B$6)</f>
        <v/>
      </c>
      <c r="I4" s="13">
        <f>SUMIFS(CostLines!$L$2:$L$1055,CostLines!$A$2:$A$1055,$A4,CostLines!$C$2:$C$1055,I$1,CostLines!$I$2:$I$1055,README!$B$6)</f>
        <v/>
      </c>
      <c r="J4" s="13">
        <f>SUM(C4:I4)</f>
        <v/>
      </c>
      <c r="K4" s="17">
        <f>COUNTIFS(CostLines!$A$2:$A$1055,$A4,CostLines!$I$2:$I$1055,README!$B$6)</f>
        <v/>
      </c>
      <c r="L4" s="13">
        <f>SUMIFS(CostLines!$L$2:$L$1055,CostLines!$A$2:$A$1055,$A4,CostLines!$P$2:$P$1055,1)</f>
        <v/>
      </c>
      <c r="M4" s="13">
        <f>SUMIFS(CostLines!$L$2:$L$1055,CostLines!$A$2:$A$1055,$A4)</f>
        <v/>
      </c>
      <c r="N4" s="17">
        <f>COUNTIFS(CostLines!$A$2:$A$1055,$A4)</f>
        <v/>
      </c>
    </row>
    <row r="5">
      <c r="A5" s="16" t="inlineStr">
        <is>
          <t>TN57AF3636</t>
        </is>
      </c>
      <c r="B5" s="16" t="inlineStr">
        <is>
          <t>SOCKS</t>
        </is>
      </c>
      <c r="C5" s="13">
        <f>SUMIFS(CostLines!$L$2:$L$1055,CostLines!$A$2:$A$1055,$A5,CostLines!$C$2:$C$1055,C$1,CostLines!$I$2:$I$1055,README!$B$6)</f>
        <v/>
      </c>
      <c r="D5" s="13">
        <f>SUMIFS(CostLines!$L$2:$L$1055,CostLines!$A$2:$A$1055,$A5,CostLines!$C$2:$C$1055,D$1,CostLines!$I$2:$I$1055,README!$B$6)</f>
        <v/>
      </c>
      <c r="E5" s="13">
        <f>SUMIFS(CostLines!$L$2:$L$1055,CostLines!$A$2:$A$1055,$A5,CostLines!$C$2:$C$1055,E$1,CostLines!$I$2:$I$1055,README!$B$6)</f>
        <v/>
      </c>
      <c r="F5" s="13">
        <f>SUMIFS(CostLines!$L$2:$L$1055,CostLines!$A$2:$A$1055,$A5,CostLines!$C$2:$C$1055,F$1,CostLines!$I$2:$I$1055,README!$B$6)</f>
        <v/>
      </c>
      <c r="G5" s="13">
        <f>SUMIFS(CostLines!$L$2:$L$1055,CostLines!$A$2:$A$1055,$A5,CostLines!$C$2:$C$1055,G$1,CostLines!$I$2:$I$1055,README!$B$6)</f>
        <v/>
      </c>
      <c r="H5" s="13">
        <f>SUMIFS(CostLines!$L$2:$L$1055,CostLines!$A$2:$A$1055,$A5,CostLines!$C$2:$C$1055,H$1,CostLines!$I$2:$I$1055,README!$B$6)</f>
        <v/>
      </c>
      <c r="I5" s="13">
        <f>SUMIFS(CostLines!$L$2:$L$1055,CostLines!$A$2:$A$1055,$A5,CostLines!$C$2:$C$1055,I$1,CostLines!$I$2:$I$1055,README!$B$6)</f>
        <v/>
      </c>
      <c r="J5" s="13">
        <f>SUM(C5:I5)</f>
        <v/>
      </c>
      <c r="K5" s="17">
        <f>COUNTIFS(CostLines!$A$2:$A$1055,$A5,CostLines!$I$2:$I$1055,README!$B$6)</f>
        <v/>
      </c>
      <c r="L5" s="13">
        <f>SUMIFS(CostLines!$L$2:$L$1055,CostLines!$A$2:$A$1055,$A5,CostLines!$P$2:$P$1055,1)</f>
        <v/>
      </c>
      <c r="M5" s="13">
        <f>SUMIFS(CostLines!$L$2:$L$1055,CostLines!$A$2:$A$1055,$A5)</f>
        <v/>
      </c>
      <c r="N5" s="17">
        <f>COUNTIFS(CostLines!$A$2:$A$1055,$A5)</f>
        <v/>
      </c>
    </row>
    <row r="6">
      <c r="A6" s="16" t="inlineStr">
        <is>
          <t>TN57AH3636</t>
        </is>
      </c>
      <c r="B6" s="16" t="inlineStr">
        <is>
          <t>SOCKS</t>
        </is>
      </c>
      <c r="C6" s="13">
        <f>SUMIFS(CostLines!$L$2:$L$1055,CostLines!$A$2:$A$1055,$A6,CostLines!$C$2:$C$1055,C$1,CostLines!$I$2:$I$1055,README!$B$6)</f>
        <v/>
      </c>
      <c r="D6" s="13">
        <f>SUMIFS(CostLines!$L$2:$L$1055,CostLines!$A$2:$A$1055,$A6,CostLines!$C$2:$C$1055,D$1,CostLines!$I$2:$I$1055,README!$B$6)</f>
        <v/>
      </c>
      <c r="E6" s="13">
        <f>SUMIFS(CostLines!$L$2:$L$1055,CostLines!$A$2:$A$1055,$A6,CostLines!$C$2:$C$1055,E$1,CostLines!$I$2:$I$1055,README!$B$6)</f>
        <v/>
      </c>
      <c r="F6" s="13">
        <f>SUMIFS(CostLines!$L$2:$L$1055,CostLines!$A$2:$A$1055,$A6,CostLines!$C$2:$C$1055,F$1,CostLines!$I$2:$I$1055,README!$B$6)</f>
        <v/>
      </c>
      <c r="G6" s="13">
        <f>SUMIFS(CostLines!$L$2:$L$1055,CostLines!$A$2:$A$1055,$A6,CostLines!$C$2:$C$1055,G$1,CostLines!$I$2:$I$1055,README!$B$6)</f>
        <v/>
      </c>
      <c r="H6" s="13">
        <f>SUMIFS(CostLines!$L$2:$L$1055,CostLines!$A$2:$A$1055,$A6,CostLines!$C$2:$C$1055,H$1,CostLines!$I$2:$I$1055,README!$B$6)</f>
        <v/>
      </c>
      <c r="I6" s="13">
        <f>SUMIFS(CostLines!$L$2:$L$1055,CostLines!$A$2:$A$1055,$A6,CostLines!$C$2:$C$1055,I$1,CostLines!$I$2:$I$1055,README!$B$6)</f>
        <v/>
      </c>
      <c r="J6" s="13">
        <f>SUM(C6:I6)</f>
        <v/>
      </c>
      <c r="K6" s="17">
        <f>COUNTIFS(CostLines!$A$2:$A$1055,$A6,CostLines!$I$2:$I$1055,README!$B$6)</f>
        <v/>
      </c>
      <c r="L6" s="13">
        <f>SUMIFS(CostLines!$L$2:$L$1055,CostLines!$A$2:$A$1055,$A6,CostLines!$P$2:$P$1055,1)</f>
        <v/>
      </c>
      <c r="M6" s="13">
        <f>SUMIFS(CostLines!$L$2:$L$1055,CostLines!$A$2:$A$1055,$A6)</f>
        <v/>
      </c>
      <c r="N6" s="17">
        <f>COUNTIFS(CostLines!$A$2:$A$1055,$A6)</f>
        <v/>
      </c>
    </row>
    <row r="7">
      <c r="A7" s="16" t="inlineStr">
        <is>
          <t>TN57AK3636</t>
        </is>
      </c>
      <c r="B7" s="16" t="inlineStr">
        <is>
          <t>GENERAL</t>
        </is>
      </c>
      <c r="C7" s="13">
        <f>SUMIFS(CostLines!$L$2:$L$1055,CostLines!$A$2:$A$1055,$A7,CostLines!$C$2:$C$1055,C$1,CostLines!$I$2:$I$1055,README!$B$6)</f>
        <v/>
      </c>
      <c r="D7" s="13">
        <f>SUMIFS(CostLines!$L$2:$L$1055,CostLines!$A$2:$A$1055,$A7,CostLines!$C$2:$C$1055,D$1,CostLines!$I$2:$I$1055,README!$B$6)</f>
        <v/>
      </c>
      <c r="E7" s="13">
        <f>SUMIFS(CostLines!$L$2:$L$1055,CostLines!$A$2:$A$1055,$A7,CostLines!$C$2:$C$1055,E$1,CostLines!$I$2:$I$1055,README!$B$6)</f>
        <v/>
      </c>
      <c r="F7" s="13">
        <f>SUMIFS(CostLines!$L$2:$L$1055,CostLines!$A$2:$A$1055,$A7,CostLines!$C$2:$C$1055,F$1,CostLines!$I$2:$I$1055,README!$B$6)</f>
        <v/>
      </c>
      <c r="G7" s="13">
        <f>SUMIFS(CostLines!$L$2:$L$1055,CostLines!$A$2:$A$1055,$A7,CostLines!$C$2:$C$1055,G$1,CostLines!$I$2:$I$1055,README!$B$6)</f>
        <v/>
      </c>
      <c r="H7" s="13">
        <f>SUMIFS(CostLines!$L$2:$L$1055,CostLines!$A$2:$A$1055,$A7,CostLines!$C$2:$C$1055,H$1,CostLines!$I$2:$I$1055,README!$B$6)</f>
        <v/>
      </c>
      <c r="I7" s="13">
        <f>SUMIFS(CostLines!$L$2:$L$1055,CostLines!$A$2:$A$1055,$A7,CostLines!$C$2:$C$1055,I$1,CostLines!$I$2:$I$1055,README!$B$6)</f>
        <v/>
      </c>
      <c r="J7" s="13">
        <f>SUM(C7:I7)</f>
        <v/>
      </c>
      <c r="K7" s="17">
        <f>COUNTIFS(CostLines!$A$2:$A$1055,$A7,CostLines!$I$2:$I$1055,README!$B$6)</f>
        <v/>
      </c>
      <c r="L7" s="13">
        <f>SUMIFS(CostLines!$L$2:$L$1055,CostLines!$A$2:$A$1055,$A7,CostLines!$P$2:$P$1055,1)</f>
        <v/>
      </c>
      <c r="M7" s="13">
        <f>SUMIFS(CostLines!$L$2:$L$1055,CostLines!$A$2:$A$1055,$A7)</f>
        <v/>
      </c>
      <c r="N7" s="17">
        <f>COUNTIFS(CostLines!$A$2:$A$1055,$A7)</f>
        <v/>
      </c>
    </row>
    <row r="8">
      <c r="A8" s="16" t="inlineStr">
        <is>
          <t>TN57AM3636</t>
        </is>
      </c>
      <c r="B8" s="16" t="inlineStr">
        <is>
          <t>SOCKS</t>
        </is>
      </c>
      <c r="C8" s="13">
        <f>SUMIFS(CostLines!$L$2:$L$1055,CostLines!$A$2:$A$1055,$A8,CostLines!$C$2:$C$1055,C$1,CostLines!$I$2:$I$1055,README!$B$6)</f>
        <v/>
      </c>
      <c r="D8" s="13">
        <f>SUMIFS(CostLines!$L$2:$L$1055,CostLines!$A$2:$A$1055,$A8,CostLines!$C$2:$C$1055,D$1,CostLines!$I$2:$I$1055,README!$B$6)</f>
        <v/>
      </c>
      <c r="E8" s="13">
        <f>SUMIFS(CostLines!$L$2:$L$1055,CostLines!$A$2:$A$1055,$A8,CostLines!$C$2:$C$1055,E$1,CostLines!$I$2:$I$1055,README!$B$6)</f>
        <v/>
      </c>
      <c r="F8" s="13">
        <f>SUMIFS(CostLines!$L$2:$L$1055,CostLines!$A$2:$A$1055,$A8,CostLines!$C$2:$C$1055,F$1,CostLines!$I$2:$I$1055,README!$B$6)</f>
        <v/>
      </c>
      <c r="G8" s="13">
        <f>SUMIFS(CostLines!$L$2:$L$1055,CostLines!$A$2:$A$1055,$A8,CostLines!$C$2:$C$1055,G$1,CostLines!$I$2:$I$1055,README!$B$6)</f>
        <v/>
      </c>
      <c r="H8" s="13">
        <f>SUMIFS(CostLines!$L$2:$L$1055,CostLines!$A$2:$A$1055,$A8,CostLines!$C$2:$C$1055,H$1,CostLines!$I$2:$I$1055,README!$B$6)</f>
        <v/>
      </c>
      <c r="I8" s="13">
        <f>SUMIFS(CostLines!$L$2:$L$1055,CostLines!$A$2:$A$1055,$A8,CostLines!$C$2:$C$1055,I$1,CostLines!$I$2:$I$1055,README!$B$6)</f>
        <v/>
      </c>
      <c r="J8" s="13">
        <f>SUM(C8:I8)</f>
        <v/>
      </c>
      <c r="K8" s="17">
        <f>COUNTIFS(CostLines!$A$2:$A$1055,$A8,CostLines!$I$2:$I$1055,README!$B$6)</f>
        <v/>
      </c>
      <c r="L8" s="13">
        <f>SUMIFS(CostLines!$L$2:$L$1055,CostLines!$A$2:$A$1055,$A8,CostLines!$P$2:$P$1055,1)</f>
        <v/>
      </c>
      <c r="M8" s="13">
        <f>SUMIFS(CostLines!$L$2:$L$1055,CostLines!$A$2:$A$1055,$A8)</f>
        <v/>
      </c>
      <c r="N8" s="17">
        <f>COUNTIFS(CostLines!$A$2:$A$1055,$A8)</f>
        <v/>
      </c>
    </row>
    <row r="9">
      <c r="A9" s="16" t="inlineStr">
        <is>
          <t>TN57AU3636</t>
        </is>
      </c>
      <c r="B9" s="16" t="inlineStr">
        <is>
          <t>SOCKS</t>
        </is>
      </c>
      <c r="C9" s="13">
        <f>SUMIFS(CostLines!$L$2:$L$1055,CostLines!$A$2:$A$1055,$A9,CostLines!$C$2:$C$1055,C$1,CostLines!$I$2:$I$1055,README!$B$6)</f>
        <v/>
      </c>
      <c r="D9" s="13">
        <f>SUMIFS(CostLines!$L$2:$L$1055,CostLines!$A$2:$A$1055,$A9,CostLines!$C$2:$C$1055,D$1,CostLines!$I$2:$I$1055,README!$B$6)</f>
        <v/>
      </c>
      <c r="E9" s="13">
        <f>SUMIFS(CostLines!$L$2:$L$1055,CostLines!$A$2:$A$1055,$A9,CostLines!$C$2:$C$1055,E$1,CostLines!$I$2:$I$1055,README!$B$6)</f>
        <v/>
      </c>
      <c r="F9" s="13">
        <f>SUMIFS(CostLines!$L$2:$L$1055,CostLines!$A$2:$A$1055,$A9,CostLines!$C$2:$C$1055,F$1,CostLines!$I$2:$I$1055,README!$B$6)</f>
        <v/>
      </c>
      <c r="G9" s="13">
        <f>SUMIFS(CostLines!$L$2:$L$1055,CostLines!$A$2:$A$1055,$A9,CostLines!$C$2:$C$1055,G$1,CostLines!$I$2:$I$1055,README!$B$6)</f>
        <v/>
      </c>
      <c r="H9" s="13">
        <f>SUMIFS(CostLines!$L$2:$L$1055,CostLines!$A$2:$A$1055,$A9,CostLines!$C$2:$C$1055,H$1,CostLines!$I$2:$I$1055,README!$B$6)</f>
        <v/>
      </c>
      <c r="I9" s="13">
        <f>SUMIFS(CostLines!$L$2:$L$1055,CostLines!$A$2:$A$1055,$A9,CostLines!$C$2:$C$1055,I$1,CostLines!$I$2:$I$1055,README!$B$6)</f>
        <v/>
      </c>
      <c r="J9" s="13">
        <f>SUM(C9:I9)</f>
        <v/>
      </c>
      <c r="K9" s="17">
        <f>COUNTIFS(CostLines!$A$2:$A$1055,$A9,CostLines!$I$2:$I$1055,README!$B$6)</f>
        <v/>
      </c>
      <c r="L9" s="13">
        <f>SUMIFS(CostLines!$L$2:$L$1055,CostLines!$A$2:$A$1055,$A9,CostLines!$P$2:$P$1055,1)</f>
        <v/>
      </c>
      <c r="M9" s="13">
        <f>SUMIFS(CostLines!$L$2:$L$1055,CostLines!$A$2:$A$1055,$A9)</f>
        <v/>
      </c>
      <c r="N9" s="17">
        <f>COUNTIFS(CostLines!$A$2:$A$1055,$A9)</f>
        <v/>
      </c>
    </row>
    <row r="10">
      <c r="A10" s="16" t="inlineStr">
        <is>
          <t>TN57BC3636</t>
        </is>
      </c>
      <c r="B10" s="16" t="inlineStr">
        <is>
          <t>SOCKS</t>
        </is>
      </c>
      <c r="C10" s="13">
        <f>SUMIFS(CostLines!$L$2:$L$1055,CostLines!$A$2:$A$1055,$A10,CostLines!$C$2:$C$1055,C$1,CostLines!$I$2:$I$1055,README!$B$6)</f>
        <v/>
      </c>
      <c r="D10" s="13">
        <f>SUMIFS(CostLines!$L$2:$L$1055,CostLines!$A$2:$A$1055,$A10,CostLines!$C$2:$C$1055,D$1,CostLines!$I$2:$I$1055,README!$B$6)</f>
        <v/>
      </c>
      <c r="E10" s="13">
        <f>SUMIFS(CostLines!$L$2:$L$1055,CostLines!$A$2:$A$1055,$A10,CostLines!$C$2:$C$1055,E$1,CostLines!$I$2:$I$1055,README!$B$6)</f>
        <v/>
      </c>
      <c r="F10" s="13">
        <f>SUMIFS(CostLines!$L$2:$L$1055,CostLines!$A$2:$A$1055,$A10,CostLines!$C$2:$C$1055,F$1,CostLines!$I$2:$I$1055,README!$B$6)</f>
        <v/>
      </c>
      <c r="G10" s="13">
        <f>SUMIFS(CostLines!$L$2:$L$1055,CostLines!$A$2:$A$1055,$A10,CostLines!$C$2:$C$1055,G$1,CostLines!$I$2:$I$1055,README!$B$6)</f>
        <v/>
      </c>
      <c r="H10" s="13">
        <f>SUMIFS(CostLines!$L$2:$L$1055,CostLines!$A$2:$A$1055,$A10,CostLines!$C$2:$C$1055,H$1,CostLines!$I$2:$I$1055,README!$B$6)</f>
        <v/>
      </c>
      <c r="I10" s="13">
        <f>SUMIFS(CostLines!$L$2:$L$1055,CostLines!$A$2:$A$1055,$A10,CostLines!$C$2:$C$1055,I$1,CostLines!$I$2:$I$1055,README!$B$6)</f>
        <v/>
      </c>
      <c r="J10" s="13">
        <f>SUM(C10:I10)</f>
        <v/>
      </c>
      <c r="K10" s="17">
        <f>COUNTIFS(CostLines!$A$2:$A$1055,$A10,CostLines!$I$2:$I$1055,README!$B$6)</f>
        <v/>
      </c>
      <c r="L10" s="13">
        <f>SUMIFS(CostLines!$L$2:$L$1055,CostLines!$A$2:$A$1055,$A10,CostLines!$P$2:$P$1055,1)</f>
        <v/>
      </c>
      <c r="M10" s="13">
        <f>SUMIFS(CostLines!$L$2:$L$1055,CostLines!$A$2:$A$1055,$A10)</f>
        <v/>
      </c>
      <c r="N10" s="17">
        <f>COUNTIFS(CostLines!$A$2:$A$1055,$A10)</f>
        <v/>
      </c>
    </row>
    <row r="11">
      <c r="A11" s="16" t="inlineStr">
        <is>
          <t>TN57BE3636</t>
        </is>
      </c>
      <c r="B11" s="16" t="inlineStr">
        <is>
          <t>SOCKS</t>
        </is>
      </c>
      <c r="C11" s="13">
        <f>SUMIFS(CostLines!$L$2:$L$1055,CostLines!$A$2:$A$1055,$A11,CostLines!$C$2:$C$1055,C$1,CostLines!$I$2:$I$1055,README!$B$6)</f>
        <v/>
      </c>
      <c r="D11" s="13">
        <f>SUMIFS(CostLines!$L$2:$L$1055,CostLines!$A$2:$A$1055,$A11,CostLines!$C$2:$C$1055,D$1,CostLines!$I$2:$I$1055,README!$B$6)</f>
        <v/>
      </c>
      <c r="E11" s="13">
        <f>SUMIFS(CostLines!$L$2:$L$1055,CostLines!$A$2:$A$1055,$A11,CostLines!$C$2:$C$1055,E$1,CostLines!$I$2:$I$1055,README!$B$6)</f>
        <v/>
      </c>
      <c r="F11" s="13">
        <f>SUMIFS(CostLines!$L$2:$L$1055,CostLines!$A$2:$A$1055,$A11,CostLines!$C$2:$C$1055,F$1,CostLines!$I$2:$I$1055,README!$B$6)</f>
        <v/>
      </c>
      <c r="G11" s="13">
        <f>SUMIFS(CostLines!$L$2:$L$1055,CostLines!$A$2:$A$1055,$A11,CostLines!$C$2:$C$1055,G$1,CostLines!$I$2:$I$1055,README!$B$6)</f>
        <v/>
      </c>
      <c r="H11" s="13">
        <f>SUMIFS(CostLines!$L$2:$L$1055,CostLines!$A$2:$A$1055,$A11,CostLines!$C$2:$C$1055,H$1,CostLines!$I$2:$I$1055,README!$B$6)</f>
        <v/>
      </c>
      <c r="I11" s="13">
        <f>SUMIFS(CostLines!$L$2:$L$1055,CostLines!$A$2:$A$1055,$A11,CostLines!$C$2:$C$1055,I$1,CostLines!$I$2:$I$1055,README!$B$6)</f>
        <v/>
      </c>
      <c r="J11" s="13">
        <f>SUM(C11:I11)</f>
        <v/>
      </c>
      <c r="K11" s="17">
        <f>COUNTIFS(CostLines!$A$2:$A$1055,$A11,CostLines!$I$2:$I$1055,README!$B$6)</f>
        <v/>
      </c>
      <c r="L11" s="13">
        <f>SUMIFS(CostLines!$L$2:$L$1055,CostLines!$A$2:$A$1055,$A11,CostLines!$P$2:$P$1055,1)</f>
        <v/>
      </c>
      <c r="M11" s="13">
        <f>SUMIFS(CostLines!$L$2:$L$1055,CostLines!$A$2:$A$1055,$A11)</f>
        <v/>
      </c>
      <c r="N11" s="17">
        <f>COUNTIFS(CostLines!$A$2:$A$1055,$A11)</f>
        <v/>
      </c>
    </row>
    <row r="12">
      <c r="A12" s="16" t="inlineStr">
        <is>
          <t>TN57BH3636</t>
        </is>
      </c>
      <c r="B12" s="16" t="inlineStr">
        <is>
          <t>SOCKS</t>
        </is>
      </c>
      <c r="C12" s="13">
        <f>SUMIFS(CostLines!$L$2:$L$1055,CostLines!$A$2:$A$1055,$A12,CostLines!$C$2:$C$1055,C$1,CostLines!$I$2:$I$1055,README!$B$6)</f>
        <v/>
      </c>
      <c r="D12" s="13">
        <f>SUMIFS(CostLines!$L$2:$L$1055,CostLines!$A$2:$A$1055,$A12,CostLines!$C$2:$C$1055,D$1,CostLines!$I$2:$I$1055,README!$B$6)</f>
        <v/>
      </c>
      <c r="E12" s="13">
        <f>SUMIFS(CostLines!$L$2:$L$1055,CostLines!$A$2:$A$1055,$A12,CostLines!$C$2:$C$1055,E$1,CostLines!$I$2:$I$1055,README!$B$6)</f>
        <v/>
      </c>
      <c r="F12" s="13">
        <f>SUMIFS(CostLines!$L$2:$L$1055,CostLines!$A$2:$A$1055,$A12,CostLines!$C$2:$C$1055,F$1,CostLines!$I$2:$I$1055,README!$B$6)</f>
        <v/>
      </c>
      <c r="G12" s="13">
        <f>SUMIFS(CostLines!$L$2:$L$1055,CostLines!$A$2:$A$1055,$A12,CostLines!$C$2:$C$1055,G$1,CostLines!$I$2:$I$1055,README!$B$6)</f>
        <v/>
      </c>
      <c r="H12" s="13">
        <f>SUMIFS(CostLines!$L$2:$L$1055,CostLines!$A$2:$A$1055,$A12,CostLines!$C$2:$C$1055,H$1,CostLines!$I$2:$I$1055,README!$B$6)</f>
        <v/>
      </c>
      <c r="I12" s="13">
        <f>SUMIFS(CostLines!$L$2:$L$1055,CostLines!$A$2:$A$1055,$A12,CostLines!$C$2:$C$1055,I$1,CostLines!$I$2:$I$1055,README!$B$6)</f>
        <v/>
      </c>
      <c r="J12" s="13">
        <f>SUM(C12:I12)</f>
        <v/>
      </c>
      <c r="K12" s="17">
        <f>COUNTIFS(CostLines!$A$2:$A$1055,$A12,CostLines!$I$2:$I$1055,README!$B$6)</f>
        <v/>
      </c>
      <c r="L12" s="13">
        <f>SUMIFS(CostLines!$L$2:$L$1055,CostLines!$A$2:$A$1055,$A12,CostLines!$P$2:$P$1055,1)</f>
        <v/>
      </c>
      <c r="M12" s="13">
        <f>SUMIFS(CostLines!$L$2:$L$1055,CostLines!$A$2:$A$1055,$A12)</f>
        <v/>
      </c>
      <c r="N12" s="17">
        <f>COUNTIFS(CostLines!$A$2:$A$1055,$A12)</f>
        <v/>
      </c>
    </row>
    <row r="13">
      <c r="A13" s="16" t="inlineStr">
        <is>
          <t>TN57BL3636</t>
        </is>
      </c>
      <c r="B13" s="16" t="inlineStr">
        <is>
          <t>SOCKS</t>
        </is>
      </c>
      <c r="C13" s="13">
        <f>SUMIFS(CostLines!$L$2:$L$1055,CostLines!$A$2:$A$1055,$A13,CostLines!$C$2:$C$1055,C$1,CostLines!$I$2:$I$1055,README!$B$6)</f>
        <v/>
      </c>
      <c r="D13" s="13">
        <f>SUMIFS(CostLines!$L$2:$L$1055,CostLines!$A$2:$A$1055,$A13,CostLines!$C$2:$C$1055,D$1,CostLines!$I$2:$I$1055,README!$B$6)</f>
        <v/>
      </c>
      <c r="E13" s="13">
        <f>SUMIFS(CostLines!$L$2:$L$1055,CostLines!$A$2:$A$1055,$A13,CostLines!$C$2:$C$1055,E$1,CostLines!$I$2:$I$1055,README!$B$6)</f>
        <v/>
      </c>
      <c r="F13" s="13">
        <f>SUMIFS(CostLines!$L$2:$L$1055,CostLines!$A$2:$A$1055,$A13,CostLines!$C$2:$C$1055,F$1,CostLines!$I$2:$I$1055,README!$B$6)</f>
        <v/>
      </c>
      <c r="G13" s="13">
        <f>SUMIFS(CostLines!$L$2:$L$1055,CostLines!$A$2:$A$1055,$A13,CostLines!$C$2:$C$1055,G$1,CostLines!$I$2:$I$1055,README!$B$6)</f>
        <v/>
      </c>
      <c r="H13" s="13">
        <f>SUMIFS(CostLines!$L$2:$L$1055,CostLines!$A$2:$A$1055,$A13,CostLines!$C$2:$C$1055,H$1,CostLines!$I$2:$I$1055,README!$B$6)</f>
        <v/>
      </c>
      <c r="I13" s="13">
        <f>SUMIFS(CostLines!$L$2:$L$1055,CostLines!$A$2:$A$1055,$A13,CostLines!$C$2:$C$1055,I$1,CostLines!$I$2:$I$1055,README!$B$6)</f>
        <v/>
      </c>
      <c r="J13" s="13">
        <f>SUM(C13:I13)</f>
        <v/>
      </c>
      <c r="K13" s="17">
        <f>COUNTIFS(CostLines!$A$2:$A$1055,$A13,CostLines!$I$2:$I$1055,README!$B$6)</f>
        <v/>
      </c>
      <c r="L13" s="13">
        <f>SUMIFS(CostLines!$L$2:$L$1055,CostLines!$A$2:$A$1055,$A13,CostLines!$P$2:$P$1055,1)</f>
        <v/>
      </c>
      <c r="M13" s="13">
        <f>SUMIFS(CostLines!$L$2:$L$1055,CostLines!$A$2:$A$1055,$A13)</f>
        <v/>
      </c>
      <c r="N13" s="17">
        <f>COUNTIFS(CostLines!$A$2:$A$1055,$A13)</f>
        <v/>
      </c>
    </row>
    <row r="14">
      <c r="A14" s="16" t="inlineStr">
        <is>
          <t>TN57BM3636</t>
        </is>
      </c>
      <c r="B14" s="16" t="inlineStr">
        <is>
          <t>SOCKS</t>
        </is>
      </c>
      <c r="C14" s="13">
        <f>SUMIFS(CostLines!$L$2:$L$1055,CostLines!$A$2:$A$1055,$A14,CostLines!$C$2:$C$1055,C$1,CostLines!$I$2:$I$1055,README!$B$6)</f>
        <v/>
      </c>
      <c r="D14" s="13">
        <f>SUMIFS(CostLines!$L$2:$L$1055,CostLines!$A$2:$A$1055,$A14,CostLines!$C$2:$C$1055,D$1,CostLines!$I$2:$I$1055,README!$B$6)</f>
        <v/>
      </c>
      <c r="E14" s="13">
        <f>SUMIFS(CostLines!$L$2:$L$1055,CostLines!$A$2:$A$1055,$A14,CostLines!$C$2:$C$1055,E$1,CostLines!$I$2:$I$1055,README!$B$6)</f>
        <v/>
      </c>
      <c r="F14" s="13">
        <f>SUMIFS(CostLines!$L$2:$L$1055,CostLines!$A$2:$A$1055,$A14,CostLines!$C$2:$C$1055,F$1,CostLines!$I$2:$I$1055,README!$B$6)</f>
        <v/>
      </c>
      <c r="G14" s="13">
        <f>SUMIFS(CostLines!$L$2:$L$1055,CostLines!$A$2:$A$1055,$A14,CostLines!$C$2:$C$1055,G$1,CostLines!$I$2:$I$1055,README!$B$6)</f>
        <v/>
      </c>
      <c r="H14" s="13">
        <f>SUMIFS(CostLines!$L$2:$L$1055,CostLines!$A$2:$A$1055,$A14,CostLines!$C$2:$C$1055,H$1,CostLines!$I$2:$I$1055,README!$B$6)</f>
        <v/>
      </c>
      <c r="I14" s="13">
        <f>SUMIFS(CostLines!$L$2:$L$1055,CostLines!$A$2:$A$1055,$A14,CostLines!$C$2:$C$1055,I$1,CostLines!$I$2:$I$1055,README!$B$6)</f>
        <v/>
      </c>
      <c r="J14" s="13">
        <f>SUM(C14:I14)</f>
        <v/>
      </c>
      <c r="K14" s="17">
        <f>COUNTIFS(CostLines!$A$2:$A$1055,$A14,CostLines!$I$2:$I$1055,README!$B$6)</f>
        <v/>
      </c>
      <c r="L14" s="13">
        <f>SUMIFS(CostLines!$L$2:$L$1055,CostLines!$A$2:$A$1055,$A14,CostLines!$P$2:$P$1055,1)</f>
        <v/>
      </c>
      <c r="M14" s="13">
        <f>SUMIFS(CostLines!$L$2:$L$1055,CostLines!$A$2:$A$1055,$A14)</f>
        <v/>
      </c>
      <c r="N14" s="17">
        <f>COUNTIFS(CostLines!$A$2:$A$1055,$A14)</f>
        <v/>
      </c>
    </row>
    <row r="15">
      <c r="A15" s="16" t="inlineStr">
        <is>
          <t>TN57BP3434</t>
        </is>
      </c>
      <c r="B15" s="16" t="inlineStr">
        <is>
          <t>SOCKS</t>
        </is>
      </c>
      <c r="C15" s="13">
        <f>SUMIFS(CostLines!$L$2:$L$1055,CostLines!$A$2:$A$1055,$A15,CostLines!$C$2:$C$1055,C$1,CostLines!$I$2:$I$1055,README!$B$6)</f>
        <v/>
      </c>
      <c r="D15" s="13">
        <f>SUMIFS(CostLines!$L$2:$L$1055,CostLines!$A$2:$A$1055,$A15,CostLines!$C$2:$C$1055,D$1,CostLines!$I$2:$I$1055,README!$B$6)</f>
        <v/>
      </c>
      <c r="E15" s="13">
        <f>SUMIFS(CostLines!$L$2:$L$1055,CostLines!$A$2:$A$1055,$A15,CostLines!$C$2:$C$1055,E$1,CostLines!$I$2:$I$1055,README!$B$6)</f>
        <v/>
      </c>
      <c r="F15" s="13">
        <f>SUMIFS(CostLines!$L$2:$L$1055,CostLines!$A$2:$A$1055,$A15,CostLines!$C$2:$C$1055,F$1,CostLines!$I$2:$I$1055,README!$B$6)</f>
        <v/>
      </c>
      <c r="G15" s="13">
        <f>SUMIFS(CostLines!$L$2:$L$1055,CostLines!$A$2:$A$1055,$A15,CostLines!$C$2:$C$1055,G$1,CostLines!$I$2:$I$1055,README!$B$6)</f>
        <v/>
      </c>
      <c r="H15" s="13">
        <f>SUMIFS(CostLines!$L$2:$L$1055,CostLines!$A$2:$A$1055,$A15,CostLines!$C$2:$C$1055,H$1,CostLines!$I$2:$I$1055,README!$B$6)</f>
        <v/>
      </c>
      <c r="I15" s="13">
        <f>SUMIFS(CostLines!$L$2:$L$1055,CostLines!$A$2:$A$1055,$A15,CostLines!$C$2:$C$1055,I$1,CostLines!$I$2:$I$1055,README!$B$6)</f>
        <v/>
      </c>
      <c r="J15" s="13">
        <f>SUM(C15:I15)</f>
        <v/>
      </c>
      <c r="K15" s="17">
        <f>COUNTIFS(CostLines!$A$2:$A$1055,$A15,CostLines!$I$2:$I$1055,README!$B$6)</f>
        <v/>
      </c>
      <c r="L15" s="13">
        <f>SUMIFS(CostLines!$L$2:$L$1055,CostLines!$A$2:$A$1055,$A15,CostLines!$P$2:$P$1055,1)</f>
        <v/>
      </c>
      <c r="M15" s="13">
        <f>SUMIFS(CostLines!$L$2:$L$1055,CostLines!$A$2:$A$1055,$A15)</f>
        <v/>
      </c>
      <c r="N15" s="17">
        <f>COUNTIFS(CostLines!$A$2:$A$1055,$A15)</f>
        <v/>
      </c>
    </row>
    <row r="16">
      <c r="A16" s="16" t="inlineStr">
        <is>
          <t>TN57BP3636</t>
        </is>
      </c>
      <c r="B16" s="16" t="inlineStr">
        <is>
          <t>SOCKS</t>
        </is>
      </c>
      <c r="C16" s="13">
        <f>SUMIFS(CostLines!$L$2:$L$1055,CostLines!$A$2:$A$1055,$A16,CostLines!$C$2:$C$1055,C$1,CostLines!$I$2:$I$1055,README!$B$6)</f>
        <v/>
      </c>
      <c r="D16" s="13">
        <f>SUMIFS(CostLines!$L$2:$L$1055,CostLines!$A$2:$A$1055,$A16,CostLines!$C$2:$C$1055,D$1,CostLines!$I$2:$I$1055,README!$B$6)</f>
        <v/>
      </c>
      <c r="E16" s="13">
        <f>SUMIFS(CostLines!$L$2:$L$1055,CostLines!$A$2:$A$1055,$A16,CostLines!$C$2:$C$1055,E$1,CostLines!$I$2:$I$1055,README!$B$6)</f>
        <v/>
      </c>
      <c r="F16" s="13">
        <f>SUMIFS(CostLines!$L$2:$L$1055,CostLines!$A$2:$A$1055,$A16,CostLines!$C$2:$C$1055,F$1,CostLines!$I$2:$I$1055,README!$B$6)</f>
        <v/>
      </c>
      <c r="G16" s="13">
        <f>SUMIFS(CostLines!$L$2:$L$1055,CostLines!$A$2:$A$1055,$A16,CostLines!$C$2:$C$1055,G$1,CostLines!$I$2:$I$1055,README!$B$6)</f>
        <v/>
      </c>
      <c r="H16" s="13">
        <f>SUMIFS(CostLines!$L$2:$L$1055,CostLines!$A$2:$A$1055,$A16,CostLines!$C$2:$C$1055,H$1,CostLines!$I$2:$I$1055,README!$B$6)</f>
        <v/>
      </c>
      <c r="I16" s="13">
        <f>SUMIFS(CostLines!$L$2:$L$1055,CostLines!$A$2:$A$1055,$A16,CostLines!$C$2:$C$1055,I$1,CostLines!$I$2:$I$1055,README!$B$6)</f>
        <v/>
      </c>
      <c r="J16" s="13">
        <f>SUM(C16:I16)</f>
        <v/>
      </c>
      <c r="K16" s="17">
        <f>COUNTIFS(CostLines!$A$2:$A$1055,$A16,CostLines!$I$2:$I$1055,README!$B$6)</f>
        <v/>
      </c>
      <c r="L16" s="13">
        <f>SUMIFS(CostLines!$L$2:$L$1055,CostLines!$A$2:$A$1055,$A16,CostLines!$P$2:$P$1055,1)</f>
        <v/>
      </c>
      <c r="M16" s="13">
        <f>SUMIFS(CostLines!$L$2:$L$1055,CostLines!$A$2:$A$1055,$A16)</f>
        <v/>
      </c>
      <c r="N16" s="17">
        <f>COUNTIFS(CostLines!$A$2:$A$1055,$A16)</f>
        <v/>
      </c>
    </row>
    <row r="17">
      <c r="A17" s="16" t="inlineStr">
        <is>
          <t>TN57BP5356</t>
        </is>
      </c>
      <c r="B17" s="16" t="inlineStr">
        <is>
          <t>SOCKS</t>
        </is>
      </c>
      <c r="C17" s="13">
        <f>SUMIFS(CostLines!$L$2:$L$1055,CostLines!$A$2:$A$1055,$A17,CostLines!$C$2:$C$1055,C$1,CostLines!$I$2:$I$1055,README!$B$6)</f>
        <v/>
      </c>
      <c r="D17" s="13">
        <f>SUMIFS(CostLines!$L$2:$L$1055,CostLines!$A$2:$A$1055,$A17,CostLines!$C$2:$C$1055,D$1,CostLines!$I$2:$I$1055,README!$B$6)</f>
        <v/>
      </c>
      <c r="E17" s="13">
        <f>SUMIFS(CostLines!$L$2:$L$1055,CostLines!$A$2:$A$1055,$A17,CostLines!$C$2:$C$1055,E$1,CostLines!$I$2:$I$1055,README!$B$6)</f>
        <v/>
      </c>
      <c r="F17" s="13">
        <f>SUMIFS(CostLines!$L$2:$L$1055,CostLines!$A$2:$A$1055,$A17,CostLines!$C$2:$C$1055,F$1,CostLines!$I$2:$I$1055,README!$B$6)</f>
        <v/>
      </c>
      <c r="G17" s="13">
        <f>SUMIFS(CostLines!$L$2:$L$1055,CostLines!$A$2:$A$1055,$A17,CostLines!$C$2:$C$1055,G$1,CostLines!$I$2:$I$1055,README!$B$6)</f>
        <v/>
      </c>
      <c r="H17" s="13">
        <f>SUMIFS(CostLines!$L$2:$L$1055,CostLines!$A$2:$A$1055,$A17,CostLines!$C$2:$C$1055,H$1,CostLines!$I$2:$I$1055,README!$B$6)</f>
        <v/>
      </c>
      <c r="I17" s="13">
        <f>SUMIFS(CostLines!$L$2:$L$1055,CostLines!$A$2:$A$1055,$A17,CostLines!$C$2:$C$1055,I$1,CostLines!$I$2:$I$1055,README!$B$6)</f>
        <v/>
      </c>
      <c r="J17" s="13">
        <f>SUM(C17:I17)</f>
        <v/>
      </c>
      <c r="K17" s="17">
        <f>COUNTIFS(CostLines!$A$2:$A$1055,$A17,CostLines!$I$2:$I$1055,README!$B$6)</f>
        <v/>
      </c>
      <c r="L17" s="13">
        <f>SUMIFS(CostLines!$L$2:$L$1055,CostLines!$A$2:$A$1055,$A17,CostLines!$P$2:$P$1055,1)</f>
        <v/>
      </c>
      <c r="M17" s="13">
        <f>SUMIFS(CostLines!$L$2:$L$1055,CostLines!$A$2:$A$1055,$A17)</f>
        <v/>
      </c>
      <c r="N17" s="17">
        <f>COUNTIFS(CostLines!$A$2:$A$1055,$A17)</f>
        <v/>
      </c>
    </row>
    <row r="18">
      <c r="A18" s="16" t="inlineStr">
        <is>
          <t>TN57BQ3434</t>
        </is>
      </c>
      <c r="B18" s="16" t="inlineStr">
        <is>
          <t>SOCKS</t>
        </is>
      </c>
      <c r="C18" s="13">
        <f>SUMIFS(CostLines!$L$2:$L$1055,CostLines!$A$2:$A$1055,$A18,CostLines!$C$2:$C$1055,C$1,CostLines!$I$2:$I$1055,README!$B$6)</f>
        <v/>
      </c>
      <c r="D18" s="13">
        <f>SUMIFS(CostLines!$L$2:$L$1055,CostLines!$A$2:$A$1055,$A18,CostLines!$C$2:$C$1055,D$1,CostLines!$I$2:$I$1055,README!$B$6)</f>
        <v/>
      </c>
      <c r="E18" s="13">
        <f>SUMIFS(CostLines!$L$2:$L$1055,CostLines!$A$2:$A$1055,$A18,CostLines!$C$2:$C$1055,E$1,CostLines!$I$2:$I$1055,README!$B$6)</f>
        <v/>
      </c>
      <c r="F18" s="13">
        <f>SUMIFS(CostLines!$L$2:$L$1055,CostLines!$A$2:$A$1055,$A18,CostLines!$C$2:$C$1055,F$1,CostLines!$I$2:$I$1055,README!$B$6)</f>
        <v/>
      </c>
      <c r="G18" s="13">
        <f>SUMIFS(CostLines!$L$2:$L$1055,CostLines!$A$2:$A$1055,$A18,CostLines!$C$2:$C$1055,G$1,CostLines!$I$2:$I$1055,README!$B$6)</f>
        <v/>
      </c>
      <c r="H18" s="13">
        <f>SUMIFS(CostLines!$L$2:$L$1055,CostLines!$A$2:$A$1055,$A18,CostLines!$C$2:$C$1055,H$1,CostLines!$I$2:$I$1055,README!$B$6)</f>
        <v/>
      </c>
      <c r="I18" s="13">
        <f>SUMIFS(CostLines!$L$2:$L$1055,CostLines!$A$2:$A$1055,$A18,CostLines!$C$2:$C$1055,I$1,CostLines!$I$2:$I$1055,README!$B$6)</f>
        <v/>
      </c>
      <c r="J18" s="13">
        <f>SUM(C18:I18)</f>
        <v/>
      </c>
      <c r="K18" s="17">
        <f>COUNTIFS(CostLines!$A$2:$A$1055,$A18,CostLines!$I$2:$I$1055,README!$B$6)</f>
        <v/>
      </c>
      <c r="L18" s="13">
        <f>SUMIFS(CostLines!$L$2:$L$1055,CostLines!$A$2:$A$1055,$A18,CostLines!$P$2:$P$1055,1)</f>
        <v/>
      </c>
      <c r="M18" s="13">
        <f>SUMIFS(CostLines!$L$2:$L$1055,CostLines!$A$2:$A$1055,$A18)</f>
        <v/>
      </c>
      <c r="N18" s="17">
        <f>COUNTIFS(CostLines!$A$2:$A$1055,$A18)</f>
        <v/>
      </c>
    </row>
    <row r="19">
      <c r="A19" s="16" t="inlineStr">
        <is>
          <t>TN57BQ3636</t>
        </is>
      </c>
      <c r="B19" s="16" t="inlineStr">
        <is>
          <t>SOCKS</t>
        </is>
      </c>
      <c r="C19" s="13">
        <f>SUMIFS(CostLines!$L$2:$L$1055,CostLines!$A$2:$A$1055,$A19,CostLines!$C$2:$C$1055,C$1,CostLines!$I$2:$I$1055,README!$B$6)</f>
        <v/>
      </c>
      <c r="D19" s="13">
        <f>SUMIFS(CostLines!$L$2:$L$1055,CostLines!$A$2:$A$1055,$A19,CostLines!$C$2:$C$1055,D$1,CostLines!$I$2:$I$1055,README!$B$6)</f>
        <v/>
      </c>
      <c r="E19" s="13">
        <f>SUMIFS(CostLines!$L$2:$L$1055,CostLines!$A$2:$A$1055,$A19,CostLines!$C$2:$C$1055,E$1,CostLines!$I$2:$I$1055,README!$B$6)</f>
        <v/>
      </c>
      <c r="F19" s="13">
        <f>SUMIFS(CostLines!$L$2:$L$1055,CostLines!$A$2:$A$1055,$A19,CostLines!$C$2:$C$1055,F$1,CostLines!$I$2:$I$1055,README!$B$6)</f>
        <v/>
      </c>
      <c r="G19" s="13">
        <f>SUMIFS(CostLines!$L$2:$L$1055,CostLines!$A$2:$A$1055,$A19,CostLines!$C$2:$C$1055,G$1,CostLines!$I$2:$I$1055,README!$B$6)</f>
        <v/>
      </c>
      <c r="H19" s="13">
        <f>SUMIFS(CostLines!$L$2:$L$1055,CostLines!$A$2:$A$1055,$A19,CostLines!$C$2:$C$1055,H$1,CostLines!$I$2:$I$1055,README!$B$6)</f>
        <v/>
      </c>
      <c r="I19" s="13">
        <f>SUMIFS(CostLines!$L$2:$L$1055,CostLines!$A$2:$A$1055,$A19,CostLines!$C$2:$C$1055,I$1,CostLines!$I$2:$I$1055,README!$B$6)</f>
        <v/>
      </c>
      <c r="J19" s="13">
        <f>SUM(C19:I19)</f>
        <v/>
      </c>
      <c r="K19" s="17">
        <f>COUNTIFS(CostLines!$A$2:$A$1055,$A19,CostLines!$I$2:$I$1055,README!$B$6)</f>
        <v/>
      </c>
      <c r="L19" s="13">
        <f>SUMIFS(CostLines!$L$2:$L$1055,CostLines!$A$2:$A$1055,$A19,CostLines!$P$2:$P$1055,1)</f>
        <v/>
      </c>
      <c r="M19" s="13">
        <f>SUMIFS(CostLines!$L$2:$L$1055,CostLines!$A$2:$A$1055,$A19)</f>
        <v/>
      </c>
      <c r="N19" s="17">
        <f>COUNTIFS(CostLines!$A$2:$A$1055,$A19)</f>
        <v/>
      </c>
    </row>
    <row r="20">
      <c r="A20" s="16" t="inlineStr">
        <is>
          <t>TN57BR3434</t>
        </is>
      </c>
      <c r="B20" s="16" t="inlineStr">
        <is>
          <t>SOCKS</t>
        </is>
      </c>
      <c r="C20" s="13">
        <f>SUMIFS(CostLines!$L$2:$L$1055,CostLines!$A$2:$A$1055,$A20,CostLines!$C$2:$C$1055,C$1,CostLines!$I$2:$I$1055,README!$B$6)</f>
        <v/>
      </c>
      <c r="D20" s="13">
        <f>SUMIFS(CostLines!$L$2:$L$1055,CostLines!$A$2:$A$1055,$A20,CostLines!$C$2:$C$1055,D$1,CostLines!$I$2:$I$1055,README!$B$6)</f>
        <v/>
      </c>
      <c r="E20" s="13">
        <f>SUMIFS(CostLines!$L$2:$L$1055,CostLines!$A$2:$A$1055,$A20,CostLines!$C$2:$C$1055,E$1,CostLines!$I$2:$I$1055,README!$B$6)</f>
        <v/>
      </c>
      <c r="F20" s="13">
        <f>SUMIFS(CostLines!$L$2:$L$1055,CostLines!$A$2:$A$1055,$A20,CostLines!$C$2:$C$1055,F$1,CostLines!$I$2:$I$1055,README!$B$6)</f>
        <v/>
      </c>
      <c r="G20" s="13">
        <f>SUMIFS(CostLines!$L$2:$L$1055,CostLines!$A$2:$A$1055,$A20,CostLines!$C$2:$C$1055,G$1,CostLines!$I$2:$I$1055,README!$B$6)</f>
        <v/>
      </c>
      <c r="H20" s="13">
        <f>SUMIFS(CostLines!$L$2:$L$1055,CostLines!$A$2:$A$1055,$A20,CostLines!$C$2:$C$1055,H$1,CostLines!$I$2:$I$1055,README!$B$6)</f>
        <v/>
      </c>
      <c r="I20" s="13">
        <f>SUMIFS(CostLines!$L$2:$L$1055,CostLines!$A$2:$A$1055,$A20,CostLines!$C$2:$C$1055,I$1,CostLines!$I$2:$I$1055,README!$B$6)</f>
        <v/>
      </c>
      <c r="J20" s="13">
        <f>SUM(C20:I20)</f>
        <v/>
      </c>
      <c r="K20" s="17">
        <f>COUNTIFS(CostLines!$A$2:$A$1055,$A20,CostLines!$I$2:$I$1055,README!$B$6)</f>
        <v/>
      </c>
      <c r="L20" s="13">
        <f>SUMIFS(CostLines!$L$2:$L$1055,CostLines!$A$2:$A$1055,$A20,CostLines!$P$2:$P$1055,1)</f>
        <v/>
      </c>
      <c r="M20" s="13">
        <f>SUMIFS(CostLines!$L$2:$L$1055,CostLines!$A$2:$A$1055,$A20)</f>
        <v/>
      </c>
      <c r="N20" s="17">
        <f>COUNTIFS(CostLines!$A$2:$A$1055,$A20)</f>
        <v/>
      </c>
    </row>
    <row r="21">
      <c r="A21" s="16" t="inlineStr">
        <is>
          <t>TN57BS3142</t>
        </is>
      </c>
      <c r="B21" s="16" t="inlineStr">
        <is>
          <t>WOVEN</t>
        </is>
      </c>
      <c r="C21" s="13">
        <f>SUMIFS(CostLines!$L$2:$L$1055,CostLines!$A$2:$A$1055,$A21,CostLines!$C$2:$C$1055,C$1,CostLines!$I$2:$I$1055,README!$B$6)</f>
        <v/>
      </c>
      <c r="D21" s="13">
        <f>SUMIFS(CostLines!$L$2:$L$1055,CostLines!$A$2:$A$1055,$A21,CostLines!$C$2:$C$1055,D$1,CostLines!$I$2:$I$1055,README!$B$6)</f>
        <v/>
      </c>
      <c r="E21" s="13">
        <f>SUMIFS(CostLines!$L$2:$L$1055,CostLines!$A$2:$A$1055,$A21,CostLines!$C$2:$C$1055,E$1,CostLines!$I$2:$I$1055,README!$B$6)</f>
        <v/>
      </c>
      <c r="F21" s="13">
        <f>SUMIFS(CostLines!$L$2:$L$1055,CostLines!$A$2:$A$1055,$A21,CostLines!$C$2:$C$1055,F$1,CostLines!$I$2:$I$1055,README!$B$6)</f>
        <v/>
      </c>
      <c r="G21" s="13">
        <f>SUMIFS(CostLines!$L$2:$L$1055,CostLines!$A$2:$A$1055,$A21,CostLines!$C$2:$C$1055,G$1,CostLines!$I$2:$I$1055,README!$B$6)</f>
        <v/>
      </c>
      <c r="H21" s="13">
        <f>SUMIFS(CostLines!$L$2:$L$1055,CostLines!$A$2:$A$1055,$A21,CostLines!$C$2:$C$1055,H$1,CostLines!$I$2:$I$1055,README!$B$6)</f>
        <v/>
      </c>
      <c r="I21" s="13">
        <f>SUMIFS(CostLines!$L$2:$L$1055,CostLines!$A$2:$A$1055,$A21,CostLines!$C$2:$C$1055,I$1,CostLines!$I$2:$I$1055,README!$B$6)</f>
        <v/>
      </c>
      <c r="J21" s="13">
        <f>SUM(C21:I21)</f>
        <v/>
      </c>
      <c r="K21" s="17">
        <f>COUNTIFS(CostLines!$A$2:$A$1055,$A21,CostLines!$I$2:$I$1055,README!$B$6)</f>
        <v/>
      </c>
      <c r="L21" s="13">
        <f>SUMIFS(CostLines!$L$2:$L$1055,CostLines!$A$2:$A$1055,$A21,CostLines!$P$2:$P$1055,1)</f>
        <v/>
      </c>
      <c r="M21" s="13">
        <f>SUMIFS(CostLines!$L$2:$L$1055,CostLines!$A$2:$A$1055,$A21)</f>
        <v/>
      </c>
      <c r="N21" s="17">
        <f>COUNTIFS(CostLines!$A$2:$A$1055,$A21)</f>
        <v/>
      </c>
    </row>
    <row r="22">
      <c r="A22" s="16" t="inlineStr">
        <is>
          <t>TN57BS3434</t>
        </is>
      </c>
      <c r="B22" s="16" t="inlineStr">
        <is>
          <t>WOVEN</t>
        </is>
      </c>
      <c r="C22" s="13">
        <f>SUMIFS(CostLines!$L$2:$L$1055,CostLines!$A$2:$A$1055,$A22,CostLines!$C$2:$C$1055,C$1,CostLines!$I$2:$I$1055,README!$B$6)</f>
        <v/>
      </c>
      <c r="D22" s="13">
        <f>SUMIFS(CostLines!$L$2:$L$1055,CostLines!$A$2:$A$1055,$A22,CostLines!$C$2:$C$1055,D$1,CostLines!$I$2:$I$1055,README!$B$6)</f>
        <v/>
      </c>
      <c r="E22" s="13">
        <f>SUMIFS(CostLines!$L$2:$L$1055,CostLines!$A$2:$A$1055,$A22,CostLines!$C$2:$C$1055,E$1,CostLines!$I$2:$I$1055,README!$B$6)</f>
        <v/>
      </c>
      <c r="F22" s="13">
        <f>SUMIFS(CostLines!$L$2:$L$1055,CostLines!$A$2:$A$1055,$A22,CostLines!$C$2:$C$1055,F$1,CostLines!$I$2:$I$1055,README!$B$6)</f>
        <v/>
      </c>
      <c r="G22" s="13">
        <f>SUMIFS(CostLines!$L$2:$L$1055,CostLines!$A$2:$A$1055,$A22,CostLines!$C$2:$C$1055,G$1,CostLines!$I$2:$I$1055,README!$B$6)</f>
        <v/>
      </c>
      <c r="H22" s="13">
        <f>SUMIFS(CostLines!$L$2:$L$1055,CostLines!$A$2:$A$1055,$A22,CostLines!$C$2:$C$1055,H$1,CostLines!$I$2:$I$1055,README!$B$6)</f>
        <v/>
      </c>
      <c r="I22" s="13">
        <f>SUMIFS(CostLines!$L$2:$L$1055,CostLines!$A$2:$A$1055,$A22,CostLines!$C$2:$C$1055,I$1,CostLines!$I$2:$I$1055,README!$B$6)</f>
        <v/>
      </c>
      <c r="J22" s="13">
        <f>SUM(C22:I22)</f>
        <v/>
      </c>
      <c r="K22" s="17">
        <f>COUNTIFS(CostLines!$A$2:$A$1055,$A22,CostLines!$I$2:$I$1055,README!$B$6)</f>
        <v/>
      </c>
      <c r="L22" s="13">
        <f>SUMIFS(CostLines!$L$2:$L$1055,CostLines!$A$2:$A$1055,$A22,CostLines!$P$2:$P$1055,1)</f>
        <v/>
      </c>
      <c r="M22" s="13">
        <f>SUMIFS(CostLines!$L$2:$L$1055,CostLines!$A$2:$A$1055,$A22)</f>
        <v/>
      </c>
      <c r="N22" s="17">
        <f>COUNTIFS(CostLines!$A$2:$A$1055,$A22)</f>
        <v/>
      </c>
    </row>
    <row r="23">
      <c r="A23" s="16" t="inlineStr">
        <is>
          <t>TN57BS3636</t>
        </is>
      </c>
      <c r="B23" s="16" t="inlineStr">
        <is>
          <t>SOCKS</t>
        </is>
      </c>
      <c r="C23" s="13">
        <f>SUMIFS(CostLines!$L$2:$L$1055,CostLines!$A$2:$A$1055,$A23,CostLines!$C$2:$C$1055,C$1,CostLines!$I$2:$I$1055,README!$B$6)</f>
        <v/>
      </c>
      <c r="D23" s="13">
        <f>SUMIFS(CostLines!$L$2:$L$1055,CostLines!$A$2:$A$1055,$A23,CostLines!$C$2:$C$1055,D$1,CostLines!$I$2:$I$1055,README!$B$6)</f>
        <v/>
      </c>
      <c r="E23" s="13">
        <f>SUMIFS(CostLines!$L$2:$L$1055,CostLines!$A$2:$A$1055,$A23,CostLines!$C$2:$C$1055,E$1,CostLines!$I$2:$I$1055,README!$B$6)</f>
        <v/>
      </c>
      <c r="F23" s="13">
        <f>SUMIFS(CostLines!$L$2:$L$1055,CostLines!$A$2:$A$1055,$A23,CostLines!$C$2:$C$1055,F$1,CostLines!$I$2:$I$1055,README!$B$6)</f>
        <v/>
      </c>
      <c r="G23" s="13">
        <f>SUMIFS(CostLines!$L$2:$L$1055,CostLines!$A$2:$A$1055,$A23,CostLines!$C$2:$C$1055,G$1,CostLines!$I$2:$I$1055,README!$B$6)</f>
        <v/>
      </c>
      <c r="H23" s="13">
        <f>SUMIFS(CostLines!$L$2:$L$1055,CostLines!$A$2:$A$1055,$A23,CostLines!$C$2:$C$1055,H$1,CostLines!$I$2:$I$1055,README!$B$6)</f>
        <v/>
      </c>
      <c r="I23" s="13">
        <f>SUMIFS(CostLines!$L$2:$L$1055,CostLines!$A$2:$A$1055,$A23,CostLines!$C$2:$C$1055,I$1,CostLines!$I$2:$I$1055,README!$B$6)</f>
        <v/>
      </c>
      <c r="J23" s="13">
        <f>SUM(C23:I23)</f>
        <v/>
      </c>
      <c r="K23" s="17">
        <f>COUNTIFS(CostLines!$A$2:$A$1055,$A23,CostLines!$I$2:$I$1055,README!$B$6)</f>
        <v/>
      </c>
      <c r="L23" s="13">
        <f>SUMIFS(CostLines!$L$2:$L$1055,CostLines!$A$2:$A$1055,$A23,CostLines!$P$2:$P$1055,1)</f>
        <v/>
      </c>
      <c r="M23" s="13">
        <f>SUMIFS(CostLines!$L$2:$L$1055,CostLines!$A$2:$A$1055,$A23)</f>
        <v/>
      </c>
      <c r="N23" s="17">
        <f>COUNTIFS(CostLines!$A$2:$A$1055,$A23)</f>
        <v/>
      </c>
    </row>
    <row r="24">
      <c r="A24" s="16" t="inlineStr">
        <is>
          <t>TN57BS8404</t>
        </is>
      </c>
      <c r="B24" s="16" t="inlineStr">
        <is>
          <t>SOCKS</t>
        </is>
      </c>
      <c r="C24" s="13">
        <f>SUMIFS(CostLines!$L$2:$L$1055,CostLines!$A$2:$A$1055,$A24,CostLines!$C$2:$C$1055,C$1,CostLines!$I$2:$I$1055,README!$B$6)</f>
        <v/>
      </c>
      <c r="D24" s="13">
        <f>SUMIFS(CostLines!$L$2:$L$1055,CostLines!$A$2:$A$1055,$A24,CostLines!$C$2:$C$1055,D$1,CostLines!$I$2:$I$1055,README!$B$6)</f>
        <v/>
      </c>
      <c r="E24" s="13">
        <f>SUMIFS(CostLines!$L$2:$L$1055,CostLines!$A$2:$A$1055,$A24,CostLines!$C$2:$C$1055,E$1,CostLines!$I$2:$I$1055,README!$B$6)</f>
        <v/>
      </c>
      <c r="F24" s="13">
        <f>SUMIFS(CostLines!$L$2:$L$1055,CostLines!$A$2:$A$1055,$A24,CostLines!$C$2:$C$1055,F$1,CostLines!$I$2:$I$1055,README!$B$6)</f>
        <v/>
      </c>
      <c r="G24" s="13">
        <f>SUMIFS(CostLines!$L$2:$L$1055,CostLines!$A$2:$A$1055,$A24,CostLines!$C$2:$C$1055,G$1,CostLines!$I$2:$I$1055,README!$B$6)</f>
        <v/>
      </c>
      <c r="H24" s="13">
        <f>SUMIFS(CostLines!$L$2:$L$1055,CostLines!$A$2:$A$1055,$A24,CostLines!$C$2:$C$1055,H$1,CostLines!$I$2:$I$1055,README!$B$6)</f>
        <v/>
      </c>
      <c r="I24" s="13">
        <f>SUMIFS(CostLines!$L$2:$L$1055,CostLines!$A$2:$A$1055,$A24,CostLines!$C$2:$C$1055,I$1,CostLines!$I$2:$I$1055,README!$B$6)</f>
        <v/>
      </c>
      <c r="J24" s="13">
        <f>SUM(C24:I24)</f>
        <v/>
      </c>
      <c r="K24" s="17">
        <f>COUNTIFS(CostLines!$A$2:$A$1055,$A24,CostLines!$I$2:$I$1055,README!$B$6)</f>
        <v/>
      </c>
      <c r="L24" s="13">
        <f>SUMIFS(CostLines!$L$2:$L$1055,CostLines!$A$2:$A$1055,$A24,CostLines!$P$2:$P$1055,1)</f>
        <v/>
      </c>
      <c r="M24" s="13">
        <f>SUMIFS(CostLines!$L$2:$L$1055,CostLines!$A$2:$A$1055,$A24)</f>
        <v/>
      </c>
      <c r="N24" s="17">
        <f>COUNTIFS(CostLines!$A$2:$A$1055,$A24)</f>
        <v/>
      </c>
    </row>
    <row r="25">
      <c r="A25" s="16" t="inlineStr">
        <is>
          <t>TN57BX3636</t>
        </is>
      </c>
      <c r="B25" s="16" t="inlineStr">
        <is>
          <t>SOCKS</t>
        </is>
      </c>
      <c r="C25" s="13">
        <f>SUMIFS(CostLines!$L$2:$L$1055,CostLines!$A$2:$A$1055,$A25,CostLines!$C$2:$C$1055,C$1,CostLines!$I$2:$I$1055,README!$B$6)</f>
        <v/>
      </c>
      <c r="D25" s="13">
        <f>SUMIFS(CostLines!$L$2:$L$1055,CostLines!$A$2:$A$1055,$A25,CostLines!$C$2:$C$1055,D$1,CostLines!$I$2:$I$1055,README!$B$6)</f>
        <v/>
      </c>
      <c r="E25" s="13">
        <f>SUMIFS(CostLines!$L$2:$L$1055,CostLines!$A$2:$A$1055,$A25,CostLines!$C$2:$C$1055,E$1,CostLines!$I$2:$I$1055,README!$B$6)</f>
        <v/>
      </c>
      <c r="F25" s="13">
        <f>SUMIFS(CostLines!$L$2:$L$1055,CostLines!$A$2:$A$1055,$A25,CostLines!$C$2:$C$1055,F$1,CostLines!$I$2:$I$1055,README!$B$6)</f>
        <v/>
      </c>
      <c r="G25" s="13">
        <f>SUMIFS(CostLines!$L$2:$L$1055,CostLines!$A$2:$A$1055,$A25,CostLines!$C$2:$C$1055,G$1,CostLines!$I$2:$I$1055,README!$B$6)</f>
        <v/>
      </c>
      <c r="H25" s="13">
        <f>SUMIFS(CostLines!$L$2:$L$1055,CostLines!$A$2:$A$1055,$A25,CostLines!$C$2:$C$1055,H$1,CostLines!$I$2:$I$1055,README!$B$6)</f>
        <v/>
      </c>
      <c r="I25" s="13">
        <f>SUMIFS(CostLines!$L$2:$L$1055,CostLines!$A$2:$A$1055,$A25,CostLines!$C$2:$C$1055,I$1,CostLines!$I$2:$I$1055,README!$B$6)</f>
        <v/>
      </c>
      <c r="J25" s="13">
        <f>SUM(C25:I25)</f>
        <v/>
      </c>
      <c r="K25" s="17">
        <f>COUNTIFS(CostLines!$A$2:$A$1055,$A25,CostLines!$I$2:$I$1055,README!$B$6)</f>
        <v/>
      </c>
      <c r="L25" s="13">
        <f>SUMIFS(CostLines!$L$2:$L$1055,CostLines!$A$2:$A$1055,$A25,CostLines!$P$2:$P$1055,1)</f>
        <v/>
      </c>
      <c r="M25" s="13">
        <f>SUMIFS(CostLines!$L$2:$L$1055,CostLines!$A$2:$A$1055,$A25)</f>
        <v/>
      </c>
      <c r="N25" s="17">
        <f>COUNTIFS(CostLines!$A$2:$A$1055,$A25)</f>
        <v/>
      </c>
    </row>
    <row r="26">
      <c r="A26" s="16" t="inlineStr">
        <is>
          <t>TN57CA3434</t>
        </is>
      </c>
      <c r="B26" s="16" t="inlineStr">
        <is>
          <t>WOVEN</t>
        </is>
      </c>
      <c r="C26" s="13">
        <f>SUMIFS(CostLines!$L$2:$L$1055,CostLines!$A$2:$A$1055,$A26,CostLines!$C$2:$C$1055,C$1,CostLines!$I$2:$I$1055,README!$B$6)</f>
        <v/>
      </c>
      <c r="D26" s="13">
        <f>SUMIFS(CostLines!$L$2:$L$1055,CostLines!$A$2:$A$1055,$A26,CostLines!$C$2:$C$1055,D$1,CostLines!$I$2:$I$1055,README!$B$6)</f>
        <v/>
      </c>
      <c r="E26" s="13">
        <f>SUMIFS(CostLines!$L$2:$L$1055,CostLines!$A$2:$A$1055,$A26,CostLines!$C$2:$C$1055,E$1,CostLines!$I$2:$I$1055,README!$B$6)</f>
        <v/>
      </c>
      <c r="F26" s="13">
        <f>SUMIFS(CostLines!$L$2:$L$1055,CostLines!$A$2:$A$1055,$A26,CostLines!$C$2:$C$1055,F$1,CostLines!$I$2:$I$1055,README!$B$6)</f>
        <v/>
      </c>
      <c r="G26" s="13">
        <f>SUMIFS(CostLines!$L$2:$L$1055,CostLines!$A$2:$A$1055,$A26,CostLines!$C$2:$C$1055,G$1,CostLines!$I$2:$I$1055,README!$B$6)</f>
        <v/>
      </c>
      <c r="H26" s="13">
        <f>SUMIFS(CostLines!$L$2:$L$1055,CostLines!$A$2:$A$1055,$A26,CostLines!$C$2:$C$1055,H$1,CostLines!$I$2:$I$1055,README!$B$6)</f>
        <v/>
      </c>
      <c r="I26" s="13">
        <f>SUMIFS(CostLines!$L$2:$L$1055,CostLines!$A$2:$A$1055,$A26,CostLines!$C$2:$C$1055,I$1,CostLines!$I$2:$I$1055,README!$B$6)</f>
        <v/>
      </c>
      <c r="J26" s="13">
        <f>SUM(C26:I26)</f>
        <v/>
      </c>
      <c r="K26" s="17">
        <f>COUNTIFS(CostLines!$A$2:$A$1055,$A26,CostLines!$I$2:$I$1055,README!$B$6)</f>
        <v/>
      </c>
      <c r="L26" s="13">
        <f>SUMIFS(CostLines!$L$2:$L$1055,CostLines!$A$2:$A$1055,$A26,CostLines!$P$2:$P$1055,1)</f>
        <v/>
      </c>
      <c r="M26" s="13">
        <f>SUMIFS(CostLines!$L$2:$L$1055,CostLines!$A$2:$A$1055,$A26)</f>
        <v/>
      </c>
      <c r="N26" s="17">
        <f>COUNTIFS(CostLines!$A$2:$A$1055,$A26)</f>
        <v/>
      </c>
    </row>
    <row r="27">
      <c r="A27" s="16" t="inlineStr">
        <is>
          <t>TN57CA3636</t>
        </is>
      </c>
      <c r="B27" s="16" t="inlineStr">
        <is>
          <t>SOCKS</t>
        </is>
      </c>
      <c r="C27" s="13">
        <f>SUMIFS(CostLines!$L$2:$L$1055,CostLines!$A$2:$A$1055,$A27,CostLines!$C$2:$C$1055,C$1,CostLines!$I$2:$I$1055,README!$B$6)</f>
        <v/>
      </c>
      <c r="D27" s="13">
        <f>SUMIFS(CostLines!$L$2:$L$1055,CostLines!$A$2:$A$1055,$A27,CostLines!$C$2:$C$1055,D$1,CostLines!$I$2:$I$1055,README!$B$6)</f>
        <v/>
      </c>
      <c r="E27" s="13">
        <f>SUMIFS(CostLines!$L$2:$L$1055,CostLines!$A$2:$A$1055,$A27,CostLines!$C$2:$C$1055,E$1,CostLines!$I$2:$I$1055,README!$B$6)</f>
        <v/>
      </c>
      <c r="F27" s="13">
        <f>SUMIFS(CostLines!$L$2:$L$1055,CostLines!$A$2:$A$1055,$A27,CostLines!$C$2:$C$1055,F$1,CostLines!$I$2:$I$1055,README!$B$6)</f>
        <v/>
      </c>
      <c r="G27" s="13">
        <f>SUMIFS(CostLines!$L$2:$L$1055,CostLines!$A$2:$A$1055,$A27,CostLines!$C$2:$C$1055,G$1,CostLines!$I$2:$I$1055,README!$B$6)</f>
        <v/>
      </c>
      <c r="H27" s="13">
        <f>SUMIFS(CostLines!$L$2:$L$1055,CostLines!$A$2:$A$1055,$A27,CostLines!$C$2:$C$1055,H$1,CostLines!$I$2:$I$1055,README!$B$6)</f>
        <v/>
      </c>
      <c r="I27" s="13">
        <f>SUMIFS(CostLines!$L$2:$L$1055,CostLines!$A$2:$A$1055,$A27,CostLines!$C$2:$C$1055,I$1,CostLines!$I$2:$I$1055,README!$B$6)</f>
        <v/>
      </c>
      <c r="J27" s="13">
        <f>SUM(C27:I27)</f>
        <v/>
      </c>
      <c r="K27" s="17">
        <f>COUNTIFS(CostLines!$A$2:$A$1055,$A27,CostLines!$I$2:$I$1055,README!$B$6)</f>
        <v/>
      </c>
      <c r="L27" s="13">
        <f>SUMIFS(CostLines!$L$2:$L$1055,CostLines!$A$2:$A$1055,$A27,CostLines!$P$2:$P$1055,1)</f>
        <v/>
      </c>
      <c r="M27" s="13">
        <f>SUMIFS(CostLines!$L$2:$L$1055,CostLines!$A$2:$A$1055,$A27)</f>
        <v/>
      </c>
      <c r="N27" s="17">
        <f>COUNTIFS(CostLines!$A$2:$A$1055,$A27)</f>
        <v/>
      </c>
    </row>
    <row r="28">
      <c r="A28" s="16" t="inlineStr">
        <is>
          <t>TN57CB3434</t>
        </is>
      </c>
      <c r="B28" s="16" t="inlineStr">
        <is>
          <t>WOVEN</t>
        </is>
      </c>
      <c r="C28" s="13">
        <f>SUMIFS(CostLines!$L$2:$L$1055,CostLines!$A$2:$A$1055,$A28,CostLines!$C$2:$C$1055,C$1,CostLines!$I$2:$I$1055,README!$B$6)</f>
        <v/>
      </c>
      <c r="D28" s="13">
        <f>SUMIFS(CostLines!$L$2:$L$1055,CostLines!$A$2:$A$1055,$A28,CostLines!$C$2:$C$1055,D$1,CostLines!$I$2:$I$1055,README!$B$6)</f>
        <v/>
      </c>
      <c r="E28" s="13">
        <f>SUMIFS(CostLines!$L$2:$L$1055,CostLines!$A$2:$A$1055,$A28,CostLines!$C$2:$C$1055,E$1,CostLines!$I$2:$I$1055,README!$B$6)</f>
        <v/>
      </c>
      <c r="F28" s="13">
        <f>SUMIFS(CostLines!$L$2:$L$1055,CostLines!$A$2:$A$1055,$A28,CostLines!$C$2:$C$1055,F$1,CostLines!$I$2:$I$1055,README!$B$6)</f>
        <v/>
      </c>
      <c r="G28" s="13">
        <f>SUMIFS(CostLines!$L$2:$L$1055,CostLines!$A$2:$A$1055,$A28,CostLines!$C$2:$C$1055,G$1,CostLines!$I$2:$I$1055,README!$B$6)</f>
        <v/>
      </c>
      <c r="H28" s="13">
        <f>SUMIFS(CostLines!$L$2:$L$1055,CostLines!$A$2:$A$1055,$A28,CostLines!$C$2:$C$1055,H$1,CostLines!$I$2:$I$1055,README!$B$6)</f>
        <v/>
      </c>
      <c r="I28" s="13">
        <f>SUMIFS(CostLines!$L$2:$L$1055,CostLines!$A$2:$A$1055,$A28,CostLines!$C$2:$C$1055,I$1,CostLines!$I$2:$I$1055,README!$B$6)</f>
        <v/>
      </c>
      <c r="J28" s="13">
        <f>SUM(C28:I28)</f>
        <v/>
      </c>
      <c r="K28" s="17">
        <f>COUNTIFS(CostLines!$A$2:$A$1055,$A28,CostLines!$I$2:$I$1055,README!$B$6)</f>
        <v/>
      </c>
      <c r="L28" s="13">
        <f>SUMIFS(CostLines!$L$2:$L$1055,CostLines!$A$2:$A$1055,$A28,CostLines!$P$2:$P$1055,1)</f>
        <v/>
      </c>
      <c r="M28" s="13">
        <f>SUMIFS(CostLines!$L$2:$L$1055,CostLines!$A$2:$A$1055,$A28)</f>
        <v/>
      </c>
      <c r="N28" s="17">
        <f>COUNTIFS(CostLines!$A$2:$A$1055,$A28)</f>
        <v/>
      </c>
    </row>
    <row r="29">
      <c r="A29" s="16" t="inlineStr">
        <is>
          <t>TN57CB3636</t>
        </is>
      </c>
      <c r="B29" s="16" t="inlineStr">
        <is>
          <t>SOCKS</t>
        </is>
      </c>
      <c r="C29" s="13">
        <f>SUMIFS(CostLines!$L$2:$L$1055,CostLines!$A$2:$A$1055,$A29,CostLines!$C$2:$C$1055,C$1,CostLines!$I$2:$I$1055,README!$B$6)</f>
        <v/>
      </c>
      <c r="D29" s="13">
        <f>SUMIFS(CostLines!$L$2:$L$1055,CostLines!$A$2:$A$1055,$A29,CostLines!$C$2:$C$1055,D$1,CostLines!$I$2:$I$1055,README!$B$6)</f>
        <v/>
      </c>
      <c r="E29" s="13">
        <f>SUMIFS(CostLines!$L$2:$L$1055,CostLines!$A$2:$A$1055,$A29,CostLines!$C$2:$C$1055,E$1,CostLines!$I$2:$I$1055,README!$B$6)</f>
        <v/>
      </c>
      <c r="F29" s="13">
        <f>SUMIFS(CostLines!$L$2:$L$1055,CostLines!$A$2:$A$1055,$A29,CostLines!$C$2:$C$1055,F$1,CostLines!$I$2:$I$1055,README!$B$6)</f>
        <v/>
      </c>
      <c r="G29" s="13">
        <f>SUMIFS(CostLines!$L$2:$L$1055,CostLines!$A$2:$A$1055,$A29,CostLines!$C$2:$C$1055,G$1,CostLines!$I$2:$I$1055,README!$B$6)</f>
        <v/>
      </c>
      <c r="H29" s="13">
        <f>SUMIFS(CostLines!$L$2:$L$1055,CostLines!$A$2:$A$1055,$A29,CostLines!$C$2:$C$1055,H$1,CostLines!$I$2:$I$1055,README!$B$6)</f>
        <v/>
      </c>
      <c r="I29" s="13">
        <f>SUMIFS(CostLines!$L$2:$L$1055,CostLines!$A$2:$A$1055,$A29,CostLines!$C$2:$C$1055,I$1,CostLines!$I$2:$I$1055,README!$B$6)</f>
        <v/>
      </c>
      <c r="J29" s="13">
        <f>SUM(C29:I29)</f>
        <v/>
      </c>
      <c r="K29" s="17">
        <f>COUNTIFS(CostLines!$A$2:$A$1055,$A29,CostLines!$I$2:$I$1055,README!$B$6)</f>
        <v/>
      </c>
      <c r="L29" s="13">
        <f>SUMIFS(CostLines!$L$2:$L$1055,CostLines!$A$2:$A$1055,$A29,CostLines!$P$2:$P$1055,1)</f>
        <v/>
      </c>
      <c r="M29" s="13">
        <f>SUMIFS(CostLines!$L$2:$L$1055,CostLines!$A$2:$A$1055,$A29)</f>
        <v/>
      </c>
      <c r="N29" s="17">
        <f>COUNTIFS(CostLines!$A$2:$A$1055,$A29)</f>
        <v/>
      </c>
    </row>
    <row r="30">
      <c r="A30" s="16" t="inlineStr">
        <is>
          <t>TN57CC3636</t>
        </is>
      </c>
      <c r="B30" s="16" t="inlineStr">
        <is>
          <t>SOCKS</t>
        </is>
      </c>
      <c r="C30" s="13">
        <f>SUMIFS(CostLines!$L$2:$L$1055,CostLines!$A$2:$A$1055,$A30,CostLines!$C$2:$C$1055,C$1,CostLines!$I$2:$I$1055,README!$B$6)</f>
        <v/>
      </c>
      <c r="D30" s="13">
        <f>SUMIFS(CostLines!$L$2:$L$1055,CostLines!$A$2:$A$1055,$A30,CostLines!$C$2:$C$1055,D$1,CostLines!$I$2:$I$1055,README!$B$6)</f>
        <v/>
      </c>
      <c r="E30" s="13">
        <f>SUMIFS(CostLines!$L$2:$L$1055,CostLines!$A$2:$A$1055,$A30,CostLines!$C$2:$C$1055,E$1,CostLines!$I$2:$I$1055,README!$B$6)</f>
        <v/>
      </c>
      <c r="F30" s="13">
        <f>SUMIFS(CostLines!$L$2:$L$1055,CostLines!$A$2:$A$1055,$A30,CostLines!$C$2:$C$1055,F$1,CostLines!$I$2:$I$1055,README!$B$6)</f>
        <v/>
      </c>
      <c r="G30" s="13">
        <f>SUMIFS(CostLines!$L$2:$L$1055,CostLines!$A$2:$A$1055,$A30,CostLines!$C$2:$C$1055,G$1,CostLines!$I$2:$I$1055,README!$B$6)</f>
        <v/>
      </c>
      <c r="H30" s="13">
        <f>SUMIFS(CostLines!$L$2:$L$1055,CostLines!$A$2:$A$1055,$A30,CostLines!$C$2:$C$1055,H$1,CostLines!$I$2:$I$1055,README!$B$6)</f>
        <v/>
      </c>
      <c r="I30" s="13">
        <f>SUMIFS(CostLines!$L$2:$L$1055,CostLines!$A$2:$A$1055,$A30,CostLines!$C$2:$C$1055,I$1,CostLines!$I$2:$I$1055,README!$B$6)</f>
        <v/>
      </c>
      <c r="J30" s="13">
        <f>SUM(C30:I30)</f>
        <v/>
      </c>
      <c r="K30" s="17">
        <f>COUNTIFS(CostLines!$A$2:$A$1055,$A30,CostLines!$I$2:$I$1055,README!$B$6)</f>
        <v/>
      </c>
      <c r="L30" s="13">
        <f>SUMIFS(CostLines!$L$2:$L$1055,CostLines!$A$2:$A$1055,$A30,CostLines!$P$2:$P$1055,1)</f>
        <v/>
      </c>
      <c r="M30" s="13">
        <f>SUMIFS(CostLines!$L$2:$L$1055,CostLines!$A$2:$A$1055,$A30)</f>
        <v/>
      </c>
      <c r="N30" s="17">
        <f>COUNTIFS(CostLines!$A$2:$A$1055,$A30)</f>
        <v/>
      </c>
    </row>
    <row r="31">
      <c r="A31" s="16" t="inlineStr">
        <is>
          <t>TN57CD3434</t>
        </is>
      </c>
      <c r="B31" s="16" t="inlineStr">
        <is>
          <t>WOVEN</t>
        </is>
      </c>
      <c r="C31" s="13">
        <f>SUMIFS(CostLines!$L$2:$L$1055,CostLines!$A$2:$A$1055,$A31,CostLines!$C$2:$C$1055,C$1,CostLines!$I$2:$I$1055,README!$B$6)</f>
        <v/>
      </c>
      <c r="D31" s="13">
        <f>SUMIFS(CostLines!$L$2:$L$1055,CostLines!$A$2:$A$1055,$A31,CostLines!$C$2:$C$1055,D$1,CostLines!$I$2:$I$1055,README!$B$6)</f>
        <v/>
      </c>
      <c r="E31" s="13">
        <f>SUMIFS(CostLines!$L$2:$L$1055,CostLines!$A$2:$A$1055,$A31,CostLines!$C$2:$C$1055,E$1,CostLines!$I$2:$I$1055,README!$B$6)</f>
        <v/>
      </c>
      <c r="F31" s="13">
        <f>SUMIFS(CostLines!$L$2:$L$1055,CostLines!$A$2:$A$1055,$A31,CostLines!$C$2:$C$1055,F$1,CostLines!$I$2:$I$1055,README!$B$6)</f>
        <v/>
      </c>
      <c r="G31" s="13">
        <f>SUMIFS(CostLines!$L$2:$L$1055,CostLines!$A$2:$A$1055,$A31,CostLines!$C$2:$C$1055,G$1,CostLines!$I$2:$I$1055,README!$B$6)</f>
        <v/>
      </c>
      <c r="H31" s="13">
        <f>SUMIFS(CostLines!$L$2:$L$1055,CostLines!$A$2:$A$1055,$A31,CostLines!$C$2:$C$1055,H$1,CostLines!$I$2:$I$1055,README!$B$6)</f>
        <v/>
      </c>
      <c r="I31" s="13">
        <f>SUMIFS(CostLines!$L$2:$L$1055,CostLines!$A$2:$A$1055,$A31,CostLines!$C$2:$C$1055,I$1,CostLines!$I$2:$I$1055,README!$B$6)</f>
        <v/>
      </c>
      <c r="J31" s="13">
        <f>SUM(C31:I31)</f>
        <v/>
      </c>
      <c r="K31" s="17">
        <f>COUNTIFS(CostLines!$A$2:$A$1055,$A31,CostLines!$I$2:$I$1055,README!$B$6)</f>
        <v/>
      </c>
      <c r="L31" s="13">
        <f>SUMIFS(CostLines!$L$2:$L$1055,CostLines!$A$2:$A$1055,$A31,CostLines!$P$2:$P$1055,1)</f>
        <v/>
      </c>
      <c r="M31" s="13">
        <f>SUMIFS(CostLines!$L$2:$L$1055,CostLines!$A$2:$A$1055,$A31)</f>
        <v/>
      </c>
      <c r="N31" s="17">
        <f>COUNTIFS(CostLines!$A$2:$A$1055,$A31)</f>
        <v/>
      </c>
    </row>
    <row r="32">
      <c r="A32" s="16" t="inlineStr">
        <is>
          <t>TN57CD3636</t>
        </is>
      </c>
      <c r="B32" s="16" t="inlineStr">
        <is>
          <t>SOCKS</t>
        </is>
      </c>
      <c r="C32" s="13">
        <f>SUMIFS(CostLines!$L$2:$L$1055,CostLines!$A$2:$A$1055,$A32,CostLines!$C$2:$C$1055,C$1,CostLines!$I$2:$I$1055,README!$B$6)</f>
        <v/>
      </c>
      <c r="D32" s="13">
        <f>SUMIFS(CostLines!$L$2:$L$1055,CostLines!$A$2:$A$1055,$A32,CostLines!$C$2:$C$1055,D$1,CostLines!$I$2:$I$1055,README!$B$6)</f>
        <v/>
      </c>
      <c r="E32" s="13">
        <f>SUMIFS(CostLines!$L$2:$L$1055,CostLines!$A$2:$A$1055,$A32,CostLines!$C$2:$C$1055,E$1,CostLines!$I$2:$I$1055,README!$B$6)</f>
        <v/>
      </c>
      <c r="F32" s="13">
        <f>SUMIFS(CostLines!$L$2:$L$1055,CostLines!$A$2:$A$1055,$A32,CostLines!$C$2:$C$1055,F$1,CostLines!$I$2:$I$1055,README!$B$6)</f>
        <v/>
      </c>
      <c r="G32" s="13">
        <f>SUMIFS(CostLines!$L$2:$L$1055,CostLines!$A$2:$A$1055,$A32,CostLines!$C$2:$C$1055,G$1,CostLines!$I$2:$I$1055,README!$B$6)</f>
        <v/>
      </c>
      <c r="H32" s="13">
        <f>SUMIFS(CostLines!$L$2:$L$1055,CostLines!$A$2:$A$1055,$A32,CostLines!$C$2:$C$1055,H$1,CostLines!$I$2:$I$1055,README!$B$6)</f>
        <v/>
      </c>
      <c r="I32" s="13">
        <f>SUMIFS(CostLines!$L$2:$L$1055,CostLines!$A$2:$A$1055,$A32,CostLines!$C$2:$C$1055,I$1,CostLines!$I$2:$I$1055,README!$B$6)</f>
        <v/>
      </c>
      <c r="J32" s="13">
        <f>SUM(C32:I32)</f>
        <v/>
      </c>
      <c r="K32" s="17">
        <f>COUNTIFS(CostLines!$A$2:$A$1055,$A32,CostLines!$I$2:$I$1055,README!$B$6)</f>
        <v/>
      </c>
      <c r="L32" s="13">
        <f>SUMIFS(CostLines!$L$2:$L$1055,CostLines!$A$2:$A$1055,$A32,CostLines!$P$2:$P$1055,1)</f>
        <v/>
      </c>
      <c r="M32" s="13">
        <f>SUMIFS(CostLines!$L$2:$L$1055,CostLines!$A$2:$A$1055,$A32)</f>
        <v/>
      </c>
      <c r="N32" s="17">
        <f>COUNTIFS(CostLines!$A$2:$A$1055,$A32)</f>
        <v/>
      </c>
    </row>
    <row r="33">
      <c r="A33" s="16" t="inlineStr">
        <is>
          <t>TN57CE3434</t>
        </is>
      </c>
      <c r="B33" s="16" t="inlineStr">
        <is>
          <t>WOVEN</t>
        </is>
      </c>
      <c r="C33" s="13">
        <f>SUMIFS(CostLines!$L$2:$L$1055,CostLines!$A$2:$A$1055,$A33,CostLines!$C$2:$C$1055,C$1,CostLines!$I$2:$I$1055,README!$B$6)</f>
        <v/>
      </c>
      <c r="D33" s="13">
        <f>SUMIFS(CostLines!$L$2:$L$1055,CostLines!$A$2:$A$1055,$A33,CostLines!$C$2:$C$1055,D$1,CostLines!$I$2:$I$1055,README!$B$6)</f>
        <v/>
      </c>
      <c r="E33" s="13">
        <f>SUMIFS(CostLines!$L$2:$L$1055,CostLines!$A$2:$A$1055,$A33,CostLines!$C$2:$C$1055,E$1,CostLines!$I$2:$I$1055,README!$B$6)</f>
        <v/>
      </c>
      <c r="F33" s="13">
        <f>SUMIFS(CostLines!$L$2:$L$1055,CostLines!$A$2:$A$1055,$A33,CostLines!$C$2:$C$1055,F$1,CostLines!$I$2:$I$1055,README!$B$6)</f>
        <v/>
      </c>
      <c r="G33" s="13">
        <f>SUMIFS(CostLines!$L$2:$L$1055,CostLines!$A$2:$A$1055,$A33,CostLines!$C$2:$C$1055,G$1,CostLines!$I$2:$I$1055,README!$B$6)</f>
        <v/>
      </c>
      <c r="H33" s="13">
        <f>SUMIFS(CostLines!$L$2:$L$1055,CostLines!$A$2:$A$1055,$A33,CostLines!$C$2:$C$1055,H$1,CostLines!$I$2:$I$1055,README!$B$6)</f>
        <v/>
      </c>
      <c r="I33" s="13">
        <f>SUMIFS(CostLines!$L$2:$L$1055,CostLines!$A$2:$A$1055,$A33,CostLines!$C$2:$C$1055,I$1,CostLines!$I$2:$I$1055,README!$B$6)</f>
        <v/>
      </c>
      <c r="J33" s="13">
        <f>SUM(C33:I33)</f>
        <v/>
      </c>
      <c r="K33" s="17">
        <f>COUNTIFS(CostLines!$A$2:$A$1055,$A33,CostLines!$I$2:$I$1055,README!$B$6)</f>
        <v/>
      </c>
      <c r="L33" s="13">
        <f>SUMIFS(CostLines!$L$2:$L$1055,CostLines!$A$2:$A$1055,$A33,CostLines!$P$2:$P$1055,1)</f>
        <v/>
      </c>
      <c r="M33" s="13">
        <f>SUMIFS(CostLines!$L$2:$L$1055,CostLines!$A$2:$A$1055,$A33)</f>
        <v/>
      </c>
      <c r="N33" s="17">
        <f>COUNTIFS(CostLines!$A$2:$A$1055,$A33)</f>
        <v/>
      </c>
    </row>
    <row r="34">
      <c r="A34" s="16" t="inlineStr">
        <is>
          <t>TN57CE3636</t>
        </is>
      </c>
      <c r="B34" s="16" t="inlineStr">
        <is>
          <t>SOCKS</t>
        </is>
      </c>
      <c r="C34" s="13">
        <f>SUMIFS(CostLines!$L$2:$L$1055,CostLines!$A$2:$A$1055,$A34,CostLines!$C$2:$C$1055,C$1,CostLines!$I$2:$I$1055,README!$B$6)</f>
        <v/>
      </c>
      <c r="D34" s="13">
        <f>SUMIFS(CostLines!$L$2:$L$1055,CostLines!$A$2:$A$1055,$A34,CostLines!$C$2:$C$1055,D$1,CostLines!$I$2:$I$1055,README!$B$6)</f>
        <v/>
      </c>
      <c r="E34" s="13">
        <f>SUMIFS(CostLines!$L$2:$L$1055,CostLines!$A$2:$A$1055,$A34,CostLines!$C$2:$C$1055,E$1,CostLines!$I$2:$I$1055,README!$B$6)</f>
        <v/>
      </c>
      <c r="F34" s="13">
        <f>SUMIFS(CostLines!$L$2:$L$1055,CostLines!$A$2:$A$1055,$A34,CostLines!$C$2:$C$1055,F$1,CostLines!$I$2:$I$1055,README!$B$6)</f>
        <v/>
      </c>
      <c r="G34" s="13">
        <f>SUMIFS(CostLines!$L$2:$L$1055,CostLines!$A$2:$A$1055,$A34,CostLines!$C$2:$C$1055,G$1,CostLines!$I$2:$I$1055,README!$B$6)</f>
        <v/>
      </c>
      <c r="H34" s="13">
        <f>SUMIFS(CostLines!$L$2:$L$1055,CostLines!$A$2:$A$1055,$A34,CostLines!$C$2:$C$1055,H$1,CostLines!$I$2:$I$1055,README!$B$6)</f>
        <v/>
      </c>
      <c r="I34" s="13">
        <f>SUMIFS(CostLines!$L$2:$L$1055,CostLines!$A$2:$A$1055,$A34,CostLines!$C$2:$C$1055,I$1,CostLines!$I$2:$I$1055,README!$B$6)</f>
        <v/>
      </c>
      <c r="J34" s="13">
        <f>SUM(C34:I34)</f>
        <v/>
      </c>
      <c r="K34" s="17">
        <f>COUNTIFS(CostLines!$A$2:$A$1055,$A34,CostLines!$I$2:$I$1055,README!$B$6)</f>
        <v/>
      </c>
      <c r="L34" s="13">
        <f>SUMIFS(CostLines!$L$2:$L$1055,CostLines!$A$2:$A$1055,$A34,CostLines!$P$2:$P$1055,1)</f>
        <v/>
      </c>
      <c r="M34" s="13">
        <f>SUMIFS(CostLines!$L$2:$L$1055,CostLines!$A$2:$A$1055,$A34)</f>
        <v/>
      </c>
      <c r="N34" s="17">
        <f>COUNTIFS(CostLines!$A$2:$A$1055,$A34)</f>
        <v/>
      </c>
    </row>
    <row r="35">
      <c r="A35" s="16" t="inlineStr">
        <is>
          <t>TN57CF3434</t>
        </is>
      </c>
      <c r="B35" s="16" t="inlineStr">
        <is>
          <t>WOVEN</t>
        </is>
      </c>
      <c r="C35" s="13">
        <f>SUMIFS(CostLines!$L$2:$L$1055,CostLines!$A$2:$A$1055,$A35,CostLines!$C$2:$C$1055,C$1,CostLines!$I$2:$I$1055,README!$B$6)</f>
        <v/>
      </c>
      <c r="D35" s="13">
        <f>SUMIFS(CostLines!$L$2:$L$1055,CostLines!$A$2:$A$1055,$A35,CostLines!$C$2:$C$1055,D$1,CostLines!$I$2:$I$1055,README!$B$6)</f>
        <v/>
      </c>
      <c r="E35" s="13">
        <f>SUMIFS(CostLines!$L$2:$L$1055,CostLines!$A$2:$A$1055,$A35,CostLines!$C$2:$C$1055,E$1,CostLines!$I$2:$I$1055,README!$B$6)</f>
        <v/>
      </c>
      <c r="F35" s="13">
        <f>SUMIFS(CostLines!$L$2:$L$1055,CostLines!$A$2:$A$1055,$A35,CostLines!$C$2:$C$1055,F$1,CostLines!$I$2:$I$1055,README!$B$6)</f>
        <v/>
      </c>
      <c r="G35" s="13">
        <f>SUMIFS(CostLines!$L$2:$L$1055,CostLines!$A$2:$A$1055,$A35,CostLines!$C$2:$C$1055,G$1,CostLines!$I$2:$I$1055,README!$B$6)</f>
        <v/>
      </c>
      <c r="H35" s="13">
        <f>SUMIFS(CostLines!$L$2:$L$1055,CostLines!$A$2:$A$1055,$A35,CostLines!$C$2:$C$1055,H$1,CostLines!$I$2:$I$1055,README!$B$6)</f>
        <v/>
      </c>
      <c r="I35" s="13">
        <f>SUMIFS(CostLines!$L$2:$L$1055,CostLines!$A$2:$A$1055,$A35,CostLines!$C$2:$C$1055,I$1,CostLines!$I$2:$I$1055,README!$B$6)</f>
        <v/>
      </c>
      <c r="J35" s="13">
        <f>SUM(C35:I35)</f>
        <v/>
      </c>
      <c r="K35" s="17">
        <f>COUNTIFS(CostLines!$A$2:$A$1055,$A35,CostLines!$I$2:$I$1055,README!$B$6)</f>
        <v/>
      </c>
      <c r="L35" s="13">
        <f>SUMIFS(CostLines!$L$2:$L$1055,CostLines!$A$2:$A$1055,$A35,CostLines!$P$2:$P$1055,1)</f>
        <v/>
      </c>
      <c r="M35" s="13">
        <f>SUMIFS(CostLines!$L$2:$L$1055,CostLines!$A$2:$A$1055,$A35)</f>
        <v/>
      </c>
      <c r="N35" s="17">
        <f>COUNTIFS(CostLines!$A$2:$A$1055,$A35)</f>
        <v/>
      </c>
    </row>
    <row r="36">
      <c r="A36" s="16" t="inlineStr">
        <is>
          <t>TN57CF3636</t>
        </is>
      </c>
      <c r="B36" s="16" t="inlineStr">
        <is>
          <t>WOVEN</t>
        </is>
      </c>
      <c r="C36" s="13">
        <f>SUMIFS(CostLines!$L$2:$L$1055,CostLines!$A$2:$A$1055,$A36,CostLines!$C$2:$C$1055,C$1,CostLines!$I$2:$I$1055,README!$B$6)</f>
        <v/>
      </c>
      <c r="D36" s="13">
        <f>SUMIFS(CostLines!$L$2:$L$1055,CostLines!$A$2:$A$1055,$A36,CostLines!$C$2:$C$1055,D$1,CostLines!$I$2:$I$1055,README!$B$6)</f>
        <v/>
      </c>
      <c r="E36" s="13">
        <f>SUMIFS(CostLines!$L$2:$L$1055,CostLines!$A$2:$A$1055,$A36,CostLines!$C$2:$C$1055,E$1,CostLines!$I$2:$I$1055,README!$B$6)</f>
        <v/>
      </c>
      <c r="F36" s="13">
        <f>SUMIFS(CostLines!$L$2:$L$1055,CostLines!$A$2:$A$1055,$A36,CostLines!$C$2:$C$1055,F$1,CostLines!$I$2:$I$1055,README!$B$6)</f>
        <v/>
      </c>
      <c r="G36" s="13">
        <f>SUMIFS(CostLines!$L$2:$L$1055,CostLines!$A$2:$A$1055,$A36,CostLines!$C$2:$C$1055,G$1,CostLines!$I$2:$I$1055,README!$B$6)</f>
        <v/>
      </c>
      <c r="H36" s="13">
        <f>SUMIFS(CostLines!$L$2:$L$1055,CostLines!$A$2:$A$1055,$A36,CostLines!$C$2:$C$1055,H$1,CostLines!$I$2:$I$1055,README!$B$6)</f>
        <v/>
      </c>
      <c r="I36" s="13">
        <f>SUMIFS(CostLines!$L$2:$L$1055,CostLines!$A$2:$A$1055,$A36,CostLines!$C$2:$C$1055,I$1,CostLines!$I$2:$I$1055,README!$B$6)</f>
        <v/>
      </c>
      <c r="J36" s="13">
        <f>SUM(C36:I36)</f>
        <v/>
      </c>
      <c r="K36" s="17">
        <f>COUNTIFS(CostLines!$A$2:$A$1055,$A36,CostLines!$I$2:$I$1055,README!$B$6)</f>
        <v/>
      </c>
      <c r="L36" s="13">
        <f>SUMIFS(CostLines!$L$2:$L$1055,CostLines!$A$2:$A$1055,$A36,CostLines!$P$2:$P$1055,1)</f>
        <v/>
      </c>
      <c r="M36" s="13">
        <f>SUMIFS(CostLines!$L$2:$L$1055,CostLines!$A$2:$A$1055,$A36)</f>
        <v/>
      </c>
      <c r="N36" s="17">
        <f>COUNTIFS(CostLines!$A$2:$A$1055,$A36)</f>
        <v/>
      </c>
    </row>
    <row r="37">
      <c r="A37" s="16" t="inlineStr">
        <is>
          <t>TN57CH3636</t>
        </is>
      </c>
      <c r="B37" s="16" t="inlineStr">
        <is>
          <t>WOVEN</t>
        </is>
      </c>
      <c r="C37" s="13">
        <f>SUMIFS(CostLines!$L$2:$L$1055,CostLines!$A$2:$A$1055,$A37,CostLines!$C$2:$C$1055,C$1,CostLines!$I$2:$I$1055,README!$B$6)</f>
        <v/>
      </c>
      <c r="D37" s="13">
        <f>SUMIFS(CostLines!$L$2:$L$1055,CostLines!$A$2:$A$1055,$A37,CostLines!$C$2:$C$1055,D$1,CostLines!$I$2:$I$1055,README!$B$6)</f>
        <v/>
      </c>
      <c r="E37" s="13">
        <f>SUMIFS(CostLines!$L$2:$L$1055,CostLines!$A$2:$A$1055,$A37,CostLines!$C$2:$C$1055,E$1,CostLines!$I$2:$I$1055,README!$B$6)</f>
        <v/>
      </c>
      <c r="F37" s="13">
        <f>SUMIFS(CostLines!$L$2:$L$1055,CostLines!$A$2:$A$1055,$A37,CostLines!$C$2:$C$1055,F$1,CostLines!$I$2:$I$1055,README!$B$6)</f>
        <v/>
      </c>
      <c r="G37" s="13">
        <f>SUMIFS(CostLines!$L$2:$L$1055,CostLines!$A$2:$A$1055,$A37,CostLines!$C$2:$C$1055,G$1,CostLines!$I$2:$I$1055,README!$B$6)</f>
        <v/>
      </c>
      <c r="H37" s="13">
        <f>SUMIFS(CostLines!$L$2:$L$1055,CostLines!$A$2:$A$1055,$A37,CostLines!$C$2:$C$1055,H$1,CostLines!$I$2:$I$1055,README!$B$6)</f>
        <v/>
      </c>
      <c r="I37" s="13">
        <f>SUMIFS(CostLines!$L$2:$L$1055,CostLines!$A$2:$A$1055,$A37,CostLines!$C$2:$C$1055,I$1,CostLines!$I$2:$I$1055,README!$B$6)</f>
        <v/>
      </c>
      <c r="J37" s="13">
        <f>SUM(C37:I37)</f>
        <v/>
      </c>
      <c r="K37" s="17">
        <f>COUNTIFS(CostLines!$A$2:$A$1055,$A37,CostLines!$I$2:$I$1055,README!$B$6)</f>
        <v/>
      </c>
      <c r="L37" s="13">
        <f>SUMIFS(CostLines!$L$2:$L$1055,CostLines!$A$2:$A$1055,$A37,CostLines!$P$2:$P$1055,1)</f>
        <v/>
      </c>
      <c r="M37" s="13">
        <f>SUMIFS(CostLines!$L$2:$L$1055,CostLines!$A$2:$A$1055,$A37)</f>
        <v/>
      </c>
      <c r="N37" s="17">
        <f>COUNTIFS(CostLines!$A$2:$A$1055,$A37)</f>
        <v/>
      </c>
    </row>
    <row r="38">
      <c r="A38" s="16" t="inlineStr">
        <is>
          <t>TN57CJ3434</t>
        </is>
      </c>
      <c r="B38" s="16" t="inlineStr">
        <is>
          <t>SOCKS</t>
        </is>
      </c>
      <c r="C38" s="13">
        <f>SUMIFS(CostLines!$L$2:$L$1055,CostLines!$A$2:$A$1055,$A38,CostLines!$C$2:$C$1055,C$1,CostLines!$I$2:$I$1055,README!$B$6)</f>
        <v/>
      </c>
      <c r="D38" s="13">
        <f>SUMIFS(CostLines!$L$2:$L$1055,CostLines!$A$2:$A$1055,$A38,CostLines!$C$2:$C$1055,D$1,CostLines!$I$2:$I$1055,README!$B$6)</f>
        <v/>
      </c>
      <c r="E38" s="13">
        <f>SUMIFS(CostLines!$L$2:$L$1055,CostLines!$A$2:$A$1055,$A38,CostLines!$C$2:$C$1055,E$1,CostLines!$I$2:$I$1055,README!$B$6)</f>
        <v/>
      </c>
      <c r="F38" s="13">
        <f>SUMIFS(CostLines!$L$2:$L$1055,CostLines!$A$2:$A$1055,$A38,CostLines!$C$2:$C$1055,F$1,CostLines!$I$2:$I$1055,README!$B$6)</f>
        <v/>
      </c>
      <c r="G38" s="13">
        <f>SUMIFS(CostLines!$L$2:$L$1055,CostLines!$A$2:$A$1055,$A38,CostLines!$C$2:$C$1055,G$1,CostLines!$I$2:$I$1055,README!$B$6)</f>
        <v/>
      </c>
      <c r="H38" s="13">
        <f>SUMIFS(CostLines!$L$2:$L$1055,CostLines!$A$2:$A$1055,$A38,CostLines!$C$2:$C$1055,H$1,CostLines!$I$2:$I$1055,README!$B$6)</f>
        <v/>
      </c>
      <c r="I38" s="13">
        <f>SUMIFS(CostLines!$L$2:$L$1055,CostLines!$A$2:$A$1055,$A38,CostLines!$C$2:$C$1055,I$1,CostLines!$I$2:$I$1055,README!$B$6)</f>
        <v/>
      </c>
      <c r="J38" s="13">
        <f>SUM(C38:I38)</f>
        <v/>
      </c>
      <c r="K38" s="17">
        <f>COUNTIFS(CostLines!$A$2:$A$1055,$A38,CostLines!$I$2:$I$1055,README!$B$6)</f>
        <v/>
      </c>
      <c r="L38" s="13">
        <f>SUMIFS(CostLines!$L$2:$L$1055,CostLines!$A$2:$A$1055,$A38,CostLines!$P$2:$P$1055,1)</f>
        <v/>
      </c>
      <c r="M38" s="13">
        <f>SUMIFS(CostLines!$L$2:$L$1055,CostLines!$A$2:$A$1055,$A38)</f>
        <v/>
      </c>
      <c r="N38" s="17">
        <f>COUNTIFS(CostLines!$A$2:$A$1055,$A38)</f>
        <v/>
      </c>
    </row>
    <row r="39">
      <c r="A39" s="16" t="inlineStr">
        <is>
          <t>TN57CJ3636</t>
        </is>
      </c>
      <c r="B39" s="16" t="inlineStr">
        <is>
          <t>WOVEN</t>
        </is>
      </c>
      <c r="C39" s="13">
        <f>SUMIFS(CostLines!$L$2:$L$1055,CostLines!$A$2:$A$1055,$A39,CostLines!$C$2:$C$1055,C$1,CostLines!$I$2:$I$1055,README!$B$6)</f>
        <v/>
      </c>
      <c r="D39" s="13">
        <f>SUMIFS(CostLines!$L$2:$L$1055,CostLines!$A$2:$A$1055,$A39,CostLines!$C$2:$C$1055,D$1,CostLines!$I$2:$I$1055,README!$B$6)</f>
        <v/>
      </c>
      <c r="E39" s="13">
        <f>SUMIFS(CostLines!$L$2:$L$1055,CostLines!$A$2:$A$1055,$A39,CostLines!$C$2:$C$1055,E$1,CostLines!$I$2:$I$1055,README!$B$6)</f>
        <v/>
      </c>
      <c r="F39" s="13">
        <f>SUMIFS(CostLines!$L$2:$L$1055,CostLines!$A$2:$A$1055,$A39,CostLines!$C$2:$C$1055,F$1,CostLines!$I$2:$I$1055,README!$B$6)</f>
        <v/>
      </c>
      <c r="G39" s="13">
        <f>SUMIFS(CostLines!$L$2:$L$1055,CostLines!$A$2:$A$1055,$A39,CostLines!$C$2:$C$1055,G$1,CostLines!$I$2:$I$1055,README!$B$6)</f>
        <v/>
      </c>
      <c r="H39" s="13">
        <f>SUMIFS(CostLines!$L$2:$L$1055,CostLines!$A$2:$A$1055,$A39,CostLines!$C$2:$C$1055,H$1,CostLines!$I$2:$I$1055,README!$B$6)</f>
        <v/>
      </c>
      <c r="I39" s="13">
        <f>SUMIFS(CostLines!$L$2:$L$1055,CostLines!$A$2:$A$1055,$A39,CostLines!$C$2:$C$1055,I$1,CostLines!$I$2:$I$1055,README!$B$6)</f>
        <v/>
      </c>
      <c r="J39" s="13">
        <f>SUM(C39:I39)</f>
        <v/>
      </c>
      <c r="K39" s="17">
        <f>COUNTIFS(CostLines!$A$2:$A$1055,$A39,CostLines!$I$2:$I$1055,README!$B$6)</f>
        <v/>
      </c>
      <c r="L39" s="13">
        <f>SUMIFS(CostLines!$L$2:$L$1055,CostLines!$A$2:$A$1055,$A39,CostLines!$P$2:$P$1055,1)</f>
        <v/>
      </c>
      <c r="M39" s="13">
        <f>SUMIFS(CostLines!$L$2:$L$1055,CostLines!$A$2:$A$1055,$A39)</f>
        <v/>
      </c>
      <c r="N39" s="17">
        <f>COUNTIFS(CostLines!$A$2:$A$1055,$A39)</f>
        <v/>
      </c>
    </row>
    <row r="40">
      <c r="A40" s="16" t="inlineStr">
        <is>
          <t>TN57CK3434</t>
        </is>
      </c>
      <c r="B40" s="16" t="inlineStr">
        <is>
          <t>SOCKS</t>
        </is>
      </c>
      <c r="C40" s="13">
        <f>SUMIFS(CostLines!$L$2:$L$1055,CostLines!$A$2:$A$1055,$A40,CostLines!$C$2:$C$1055,C$1,CostLines!$I$2:$I$1055,README!$B$6)</f>
        <v/>
      </c>
      <c r="D40" s="13">
        <f>SUMIFS(CostLines!$L$2:$L$1055,CostLines!$A$2:$A$1055,$A40,CostLines!$C$2:$C$1055,D$1,CostLines!$I$2:$I$1055,README!$B$6)</f>
        <v/>
      </c>
      <c r="E40" s="13">
        <f>SUMIFS(CostLines!$L$2:$L$1055,CostLines!$A$2:$A$1055,$A40,CostLines!$C$2:$C$1055,E$1,CostLines!$I$2:$I$1055,README!$B$6)</f>
        <v/>
      </c>
      <c r="F40" s="13">
        <f>SUMIFS(CostLines!$L$2:$L$1055,CostLines!$A$2:$A$1055,$A40,CostLines!$C$2:$C$1055,F$1,CostLines!$I$2:$I$1055,README!$B$6)</f>
        <v/>
      </c>
      <c r="G40" s="13">
        <f>SUMIFS(CostLines!$L$2:$L$1055,CostLines!$A$2:$A$1055,$A40,CostLines!$C$2:$C$1055,G$1,CostLines!$I$2:$I$1055,README!$B$6)</f>
        <v/>
      </c>
      <c r="H40" s="13">
        <f>SUMIFS(CostLines!$L$2:$L$1055,CostLines!$A$2:$A$1055,$A40,CostLines!$C$2:$C$1055,H$1,CostLines!$I$2:$I$1055,README!$B$6)</f>
        <v/>
      </c>
      <c r="I40" s="13">
        <f>SUMIFS(CostLines!$L$2:$L$1055,CostLines!$A$2:$A$1055,$A40,CostLines!$C$2:$C$1055,I$1,CostLines!$I$2:$I$1055,README!$B$6)</f>
        <v/>
      </c>
      <c r="J40" s="13">
        <f>SUM(C40:I40)</f>
        <v/>
      </c>
      <c r="K40" s="17">
        <f>COUNTIFS(CostLines!$A$2:$A$1055,$A40,CostLines!$I$2:$I$1055,README!$B$6)</f>
        <v/>
      </c>
      <c r="L40" s="13">
        <f>SUMIFS(CostLines!$L$2:$L$1055,CostLines!$A$2:$A$1055,$A40,CostLines!$P$2:$P$1055,1)</f>
        <v/>
      </c>
      <c r="M40" s="13">
        <f>SUMIFS(CostLines!$L$2:$L$1055,CostLines!$A$2:$A$1055,$A40)</f>
        <v/>
      </c>
      <c r="N40" s="17">
        <f>COUNTIFS(CostLines!$A$2:$A$1055,$A40)</f>
        <v/>
      </c>
    </row>
    <row r="41">
      <c r="A41" s="16" t="inlineStr">
        <is>
          <t>TN57CK3636</t>
        </is>
      </c>
      <c r="B41" s="16" t="inlineStr">
        <is>
          <t>WOVEN</t>
        </is>
      </c>
      <c r="C41" s="13">
        <f>SUMIFS(CostLines!$L$2:$L$1055,CostLines!$A$2:$A$1055,$A41,CostLines!$C$2:$C$1055,C$1,CostLines!$I$2:$I$1055,README!$B$6)</f>
        <v/>
      </c>
      <c r="D41" s="13">
        <f>SUMIFS(CostLines!$L$2:$L$1055,CostLines!$A$2:$A$1055,$A41,CostLines!$C$2:$C$1055,D$1,CostLines!$I$2:$I$1055,README!$B$6)</f>
        <v/>
      </c>
      <c r="E41" s="13">
        <f>SUMIFS(CostLines!$L$2:$L$1055,CostLines!$A$2:$A$1055,$A41,CostLines!$C$2:$C$1055,E$1,CostLines!$I$2:$I$1055,README!$B$6)</f>
        <v/>
      </c>
      <c r="F41" s="13">
        <f>SUMIFS(CostLines!$L$2:$L$1055,CostLines!$A$2:$A$1055,$A41,CostLines!$C$2:$C$1055,F$1,CostLines!$I$2:$I$1055,README!$B$6)</f>
        <v/>
      </c>
      <c r="G41" s="13">
        <f>SUMIFS(CostLines!$L$2:$L$1055,CostLines!$A$2:$A$1055,$A41,CostLines!$C$2:$C$1055,G$1,CostLines!$I$2:$I$1055,README!$B$6)</f>
        <v/>
      </c>
      <c r="H41" s="13">
        <f>SUMIFS(CostLines!$L$2:$L$1055,CostLines!$A$2:$A$1055,$A41,CostLines!$C$2:$C$1055,H$1,CostLines!$I$2:$I$1055,README!$B$6)</f>
        <v/>
      </c>
      <c r="I41" s="13">
        <f>SUMIFS(CostLines!$L$2:$L$1055,CostLines!$A$2:$A$1055,$A41,CostLines!$C$2:$C$1055,I$1,CostLines!$I$2:$I$1055,README!$B$6)</f>
        <v/>
      </c>
      <c r="J41" s="13">
        <f>SUM(C41:I41)</f>
        <v/>
      </c>
      <c r="K41" s="17">
        <f>COUNTIFS(CostLines!$A$2:$A$1055,$A41,CostLines!$I$2:$I$1055,README!$B$6)</f>
        <v/>
      </c>
      <c r="L41" s="13">
        <f>SUMIFS(CostLines!$L$2:$L$1055,CostLines!$A$2:$A$1055,$A41,CostLines!$P$2:$P$1055,1)</f>
        <v/>
      </c>
      <c r="M41" s="13">
        <f>SUMIFS(CostLines!$L$2:$L$1055,CostLines!$A$2:$A$1055,$A41)</f>
        <v/>
      </c>
      <c r="N41" s="17">
        <f>COUNTIFS(CostLines!$A$2:$A$1055,$A41)</f>
        <v/>
      </c>
    </row>
    <row r="42">
      <c r="A42" s="16" t="inlineStr">
        <is>
          <t>TN57CL3434</t>
        </is>
      </c>
      <c r="B42" s="16" t="inlineStr">
        <is>
          <t>SOCKS</t>
        </is>
      </c>
      <c r="C42" s="13">
        <f>SUMIFS(CostLines!$L$2:$L$1055,CostLines!$A$2:$A$1055,$A42,CostLines!$C$2:$C$1055,C$1,CostLines!$I$2:$I$1055,README!$B$6)</f>
        <v/>
      </c>
      <c r="D42" s="13">
        <f>SUMIFS(CostLines!$L$2:$L$1055,CostLines!$A$2:$A$1055,$A42,CostLines!$C$2:$C$1055,D$1,CostLines!$I$2:$I$1055,README!$B$6)</f>
        <v/>
      </c>
      <c r="E42" s="13">
        <f>SUMIFS(CostLines!$L$2:$L$1055,CostLines!$A$2:$A$1055,$A42,CostLines!$C$2:$C$1055,E$1,CostLines!$I$2:$I$1055,README!$B$6)</f>
        <v/>
      </c>
      <c r="F42" s="13">
        <f>SUMIFS(CostLines!$L$2:$L$1055,CostLines!$A$2:$A$1055,$A42,CostLines!$C$2:$C$1055,F$1,CostLines!$I$2:$I$1055,README!$B$6)</f>
        <v/>
      </c>
      <c r="G42" s="13">
        <f>SUMIFS(CostLines!$L$2:$L$1055,CostLines!$A$2:$A$1055,$A42,CostLines!$C$2:$C$1055,G$1,CostLines!$I$2:$I$1055,README!$B$6)</f>
        <v/>
      </c>
      <c r="H42" s="13">
        <f>SUMIFS(CostLines!$L$2:$L$1055,CostLines!$A$2:$A$1055,$A42,CostLines!$C$2:$C$1055,H$1,CostLines!$I$2:$I$1055,README!$B$6)</f>
        <v/>
      </c>
      <c r="I42" s="13">
        <f>SUMIFS(CostLines!$L$2:$L$1055,CostLines!$A$2:$A$1055,$A42,CostLines!$C$2:$C$1055,I$1,CostLines!$I$2:$I$1055,README!$B$6)</f>
        <v/>
      </c>
      <c r="J42" s="13">
        <f>SUM(C42:I42)</f>
        <v/>
      </c>
      <c r="K42" s="17">
        <f>COUNTIFS(CostLines!$A$2:$A$1055,$A42,CostLines!$I$2:$I$1055,README!$B$6)</f>
        <v/>
      </c>
      <c r="L42" s="13">
        <f>SUMIFS(CostLines!$L$2:$L$1055,CostLines!$A$2:$A$1055,$A42,CostLines!$P$2:$P$1055,1)</f>
        <v/>
      </c>
      <c r="M42" s="13">
        <f>SUMIFS(CostLines!$L$2:$L$1055,CostLines!$A$2:$A$1055,$A42)</f>
        <v/>
      </c>
      <c r="N42" s="17">
        <f>COUNTIFS(CostLines!$A$2:$A$1055,$A42)</f>
        <v/>
      </c>
    </row>
    <row r="43">
      <c r="A43" s="16" t="inlineStr">
        <is>
          <t>TN57CL3636</t>
        </is>
      </c>
      <c r="B43" s="16" t="inlineStr">
        <is>
          <t>GENERAL</t>
        </is>
      </c>
      <c r="C43" s="13">
        <f>SUMIFS(CostLines!$L$2:$L$1055,CostLines!$A$2:$A$1055,$A43,CostLines!$C$2:$C$1055,C$1,CostLines!$I$2:$I$1055,README!$B$6)</f>
        <v/>
      </c>
      <c r="D43" s="13">
        <f>SUMIFS(CostLines!$L$2:$L$1055,CostLines!$A$2:$A$1055,$A43,CostLines!$C$2:$C$1055,D$1,CostLines!$I$2:$I$1055,README!$B$6)</f>
        <v/>
      </c>
      <c r="E43" s="13">
        <f>SUMIFS(CostLines!$L$2:$L$1055,CostLines!$A$2:$A$1055,$A43,CostLines!$C$2:$C$1055,E$1,CostLines!$I$2:$I$1055,README!$B$6)</f>
        <v/>
      </c>
      <c r="F43" s="13">
        <f>SUMIFS(CostLines!$L$2:$L$1055,CostLines!$A$2:$A$1055,$A43,CostLines!$C$2:$C$1055,F$1,CostLines!$I$2:$I$1055,README!$B$6)</f>
        <v/>
      </c>
      <c r="G43" s="13">
        <f>SUMIFS(CostLines!$L$2:$L$1055,CostLines!$A$2:$A$1055,$A43,CostLines!$C$2:$C$1055,G$1,CostLines!$I$2:$I$1055,README!$B$6)</f>
        <v/>
      </c>
      <c r="H43" s="13">
        <f>SUMIFS(CostLines!$L$2:$L$1055,CostLines!$A$2:$A$1055,$A43,CostLines!$C$2:$C$1055,H$1,CostLines!$I$2:$I$1055,README!$B$6)</f>
        <v/>
      </c>
      <c r="I43" s="13">
        <f>SUMIFS(CostLines!$L$2:$L$1055,CostLines!$A$2:$A$1055,$A43,CostLines!$C$2:$C$1055,I$1,CostLines!$I$2:$I$1055,README!$B$6)</f>
        <v/>
      </c>
      <c r="J43" s="13">
        <f>SUM(C43:I43)</f>
        <v/>
      </c>
      <c r="K43" s="17">
        <f>COUNTIFS(CostLines!$A$2:$A$1055,$A43,CostLines!$I$2:$I$1055,README!$B$6)</f>
        <v/>
      </c>
      <c r="L43" s="13">
        <f>SUMIFS(CostLines!$L$2:$L$1055,CostLines!$A$2:$A$1055,$A43,CostLines!$P$2:$P$1055,1)</f>
        <v/>
      </c>
      <c r="M43" s="13">
        <f>SUMIFS(CostLines!$L$2:$L$1055,CostLines!$A$2:$A$1055,$A43)</f>
        <v/>
      </c>
      <c r="N43" s="17">
        <f>COUNTIFS(CostLines!$A$2:$A$1055,$A43)</f>
        <v/>
      </c>
    </row>
    <row r="44">
      <c r="A44" s="16" t="inlineStr">
        <is>
          <t>TN57CM3636</t>
        </is>
      </c>
      <c r="B44" s="16" t="inlineStr"/>
      <c r="C44" s="13">
        <f>SUMIFS(CostLines!$L$2:$L$1055,CostLines!$A$2:$A$1055,$A44,CostLines!$C$2:$C$1055,C$1,CostLines!$I$2:$I$1055,README!$B$6)</f>
        <v/>
      </c>
      <c r="D44" s="13">
        <f>SUMIFS(CostLines!$L$2:$L$1055,CostLines!$A$2:$A$1055,$A44,CostLines!$C$2:$C$1055,D$1,CostLines!$I$2:$I$1055,README!$B$6)</f>
        <v/>
      </c>
      <c r="E44" s="13">
        <f>SUMIFS(CostLines!$L$2:$L$1055,CostLines!$A$2:$A$1055,$A44,CostLines!$C$2:$C$1055,E$1,CostLines!$I$2:$I$1055,README!$B$6)</f>
        <v/>
      </c>
      <c r="F44" s="13">
        <f>SUMIFS(CostLines!$L$2:$L$1055,CostLines!$A$2:$A$1055,$A44,CostLines!$C$2:$C$1055,F$1,CostLines!$I$2:$I$1055,README!$B$6)</f>
        <v/>
      </c>
      <c r="G44" s="13">
        <f>SUMIFS(CostLines!$L$2:$L$1055,CostLines!$A$2:$A$1055,$A44,CostLines!$C$2:$C$1055,G$1,CostLines!$I$2:$I$1055,README!$B$6)</f>
        <v/>
      </c>
      <c r="H44" s="13">
        <f>SUMIFS(CostLines!$L$2:$L$1055,CostLines!$A$2:$A$1055,$A44,CostLines!$C$2:$C$1055,H$1,CostLines!$I$2:$I$1055,README!$B$6)</f>
        <v/>
      </c>
      <c r="I44" s="13">
        <f>SUMIFS(CostLines!$L$2:$L$1055,CostLines!$A$2:$A$1055,$A44,CostLines!$C$2:$C$1055,I$1,CostLines!$I$2:$I$1055,README!$B$6)</f>
        <v/>
      </c>
      <c r="J44" s="13">
        <f>SUM(C44:I44)</f>
        <v/>
      </c>
      <c r="K44" s="17">
        <f>COUNTIFS(CostLines!$A$2:$A$1055,$A44,CostLines!$I$2:$I$1055,README!$B$6)</f>
        <v/>
      </c>
      <c r="L44" s="13">
        <f>SUMIFS(CostLines!$L$2:$L$1055,CostLines!$A$2:$A$1055,$A44,CostLines!$P$2:$P$1055,1)</f>
        <v/>
      </c>
      <c r="M44" s="13">
        <f>SUMIFS(CostLines!$L$2:$L$1055,CostLines!$A$2:$A$1055,$A44)</f>
        <v/>
      </c>
      <c r="N44" s="17">
        <f>COUNTIFS(CostLines!$A$2:$A$1055,$A44)</f>
        <v/>
      </c>
    </row>
    <row r="45">
      <c r="A45" s="16" t="inlineStr">
        <is>
          <t>TN58BJ3434</t>
        </is>
      </c>
      <c r="B45" s="16" t="inlineStr">
        <is>
          <t>WOVEN</t>
        </is>
      </c>
      <c r="C45" s="13">
        <f>SUMIFS(CostLines!$L$2:$L$1055,CostLines!$A$2:$A$1055,$A45,CostLines!$C$2:$C$1055,C$1,CostLines!$I$2:$I$1055,README!$B$6)</f>
        <v/>
      </c>
      <c r="D45" s="13">
        <f>SUMIFS(CostLines!$L$2:$L$1055,CostLines!$A$2:$A$1055,$A45,CostLines!$C$2:$C$1055,D$1,CostLines!$I$2:$I$1055,README!$B$6)</f>
        <v/>
      </c>
      <c r="E45" s="13">
        <f>SUMIFS(CostLines!$L$2:$L$1055,CostLines!$A$2:$A$1055,$A45,CostLines!$C$2:$C$1055,E$1,CostLines!$I$2:$I$1055,README!$B$6)</f>
        <v/>
      </c>
      <c r="F45" s="13">
        <f>SUMIFS(CostLines!$L$2:$L$1055,CostLines!$A$2:$A$1055,$A45,CostLines!$C$2:$C$1055,F$1,CostLines!$I$2:$I$1055,README!$B$6)</f>
        <v/>
      </c>
      <c r="G45" s="13">
        <f>SUMIFS(CostLines!$L$2:$L$1055,CostLines!$A$2:$A$1055,$A45,CostLines!$C$2:$C$1055,G$1,CostLines!$I$2:$I$1055,README!$B$6)</f>
        <v/>
      </c>
      <c r="H45" s="13">
        <f>SUMIFS(CostLines!$L$2:$L$1055,CostLines!$A$2:$A$1055,$A45,CostLines!$C$2:$C$1055,H$1,CostLines!$I$2:$I$1055,README!$B$6)</f>
        <v/>
      </c>
      <c r="I45" s="13">
        <f>SUMIFS(CostLines!$L$2:$L$1055,CostLines!$A$2:$A$1055,$A45,CostLines!$C$2:$C$1055,I$1,CostLines!$I$2:$I$1055,README!$B$6)</f>
        <v/>
      </c>
      <c r="J45" s="13">
        <f>SUM(C45:I45)</f>
        <v/>
      </c>
      <c r="K45" s="17">
        <f>COUNTIFS(CostLines!$A$2:$A$1055,$A45,CostLines!$I$2:$I$1055,README!$B$6)</f>
        <v/>
      </c>
      <c r="L45" s="13">
        <f>SUMIFS(CostLines!$L$2:$L$1055,CostLines!$A$2:$A$1055,$A45,CostLines!$P$2:$P$1055,1)</f>
        <v/>
      </c>
      <c r="M45" s="13">
        <f>SUMIFS(CostLines!$L$2:$L$1055,CostLines!$A$2:$A$1055,$A45)</f>
        <v/>
      </c>
      <c r="N45" s="17">
        <f>COUNTIFS(CostLines!$A$2:$A$1055,$A45)</f>
        <v/>
      </c>
    </row>
    <row r="46">
      <c r="A46" s="16" t="inlineStr">
        <is>
          <t>TN58BJ3636</t>
        </is>
      </c>
      <c r="B46" s="16" t="inlineStr">
        <is>
          <t>SOCKS</t>
        </is>
      </c>
      <c r="C46" s="13">
        <f>SUMIFS(CostLines!$L$2:$L$1055,CostLines!$A$2:$A$1055,$A46,CostLines!$C$2:$C$1055,C$1,CostLines!$I$2:$I$1055,README!$B$6)</f>
        <v/>
      </c>
      <c r="D46" s="13">
        <f>SUMIFS(CostLines!$L$2:$L$1055,CostLines!$A$2:$A$1055,$A46,CostLines!$C$2:$C$1055,D$1,CostLines!$I$2:$I$1055,README!$B$6)</f>
        <v/>
      </c>
      <c r="E46" s="13">
        <f>SUMIFS(CostLines!$L$2:$L$1055,CostLines!$A$2:$A$1055,$A46,CostLines!$C$2:$C$1055,E$1,CostLines!$I$2:$I$1055,README!$B$6)</f>
        <v/>
      </c>
      <c r="F46" s="13">
        <f>SUMIFS(CostLines!$L$2:$L$1055,CostLines!$A$2:$A$1055,$A46,CostLines!$C$2:$C$1055,F$1,CostLines!$I$2:$I$1055,README!$B$6)</f>
        <v/>
      </c>
      <c r="G46" s="13">
        <f>SUMIFS(CostLines!$L$2:$L$1055,CostLines!$A$2:$A$1055,$A46,CostLines!$C$2:$C$1055,G$1,CostLines!$I$2:$I$1055,README!$B$6)</f>
        <v/>
      </c>
      <c r="H46" s="13">
        <f>SUMIFS(CostLines!$L$2:$L$1055,CostLines!$A$2:$A$1055,$A46,CostLines!$C$2:$C$1055,H$1,CostLines!$I$2:$I$1055,README!$B$6)</f>
        <v/>
      </c>
      <c r="I46" s="13">
        <f>SUMIFS(CostLines!$L$2:$L$1055,CostLines!$A$2:$A$1055,$A46,CostLines!$C$2:$C$1055,I$1,CostLines!$I$2:$I$1055,README!$B$6)</f>
        <v/>
      </c>
      <c r="J46" s="13">
        <f>SUM(C46:I46)</f>
        <v/>
      </c>
      <c r="K46" s="17">
        <f>COUNTIFS(CostLines!$A$2:$A$1055,$A46,CostLines!$I$2:$I$1055,README!$B$6)</f>
        <v/>
      </c>
      <c r="L46" s="13">
        <f>SUMIFS(CostLines!$L$2:$L$1055,CostLines!$A$2:$A$1055,$A46,CostLines!$P$2:$P$1055,1)</f>
        <v/>
      </c>
      <c r="M46" s="13">
        <f>SUMIFS(CostLines!$L$2:$L$1055,CostLines!$A$2:$A$1055,$A46)</f>
        <v/>
      </c>
      <c r="N46" s="17">
        <f>COUNTIFS(CostLines!$A$2:$A$1055,$A46)</f>
        <v/>
      </c>
    </row>
    <row r="47">
      <c r="A47" s="16" t="inlineStr">
        <is>
          <t>TN58BK3434</t>
        </is>
      </c>
      <c r="B47" s="16" t="inlineStr">
        <is>
          <t>WOVEN</t>
        </is>
      </c>
      <c r="C47" s="13">
        <f>SUMIFS(CostLines!$L$2:$L$1055,CostLines!$A$2:$A$1055,$A47,CostLines!$C$2:$C$1055,C$1,CostLines!$I$2:$I$1055,README!$B$6)</f>
        <v/>
      </c>
      <c r="D47" s="13">
        <f>SUMIFS(CostLines!$L$2:$L$1055,CostLines!$A$2:$A$1055,$A47,CostLines!$C$2:$C$1055,D$1,CostLines!$I$2:$I$1055,README!$B$6)</f>
        <v/>
      </c>
      <c r="E47" s="13">
        <f>SUMIFS(CostLines!$L$2:$L$1055,CostLines!$A$2:$A$1055,$A47,CostLines!$C$2:$C$1055,E$1,CostLines!$I$2:$I$1055,README!$B$6)</f>
        <v/>
      </c>
      <c r="F47" s="13">
        <f>SUMIFS(CostLines!$L$2:$L$1055,CostLines!$A$2:$A$1055,$A47,CostLines!$C$2:$C$1055,F$1,CostLines!$I$2:$I$1055,README!$B$6)</f>
        <v/>
      </c>
      <c r="G47" s="13">
        <f>SUMIFS(CostLines!$L$2:$L$1055,CostLines!$A$2:$A$1055,$A47,CostLines!$C$2:$C$1055,G$1,CostLines!$I$2:$I$1055,README!$B$6)</f>
        <v/>
      </c>
      <c r="H47" s="13">
        <f>SUMIFS(CostLines!$L$2:$L$1055,CostLines!$A$2:$A$1055,$A47,CostLines!$C$2:$C$1055,H$1,CostLines!$I$2:$I$1055,README!$B$6)</f>
        <v/>
      </c>
      <c r="I47" s="13">
        <f>SUMIFS(CostLines!$L$2:$L$1055,CostLines!$A$2:$A$1055,$A47,CostLines!$C$2:$C$1055,I$1,CostLines!$I$2:$I$1055,README!$B$6)</f>
        <v/>
      </c>
      <c r="J47" s="13">
        <f>SUM(C47:I47)</f>
        <v/>
      </c>
      <c r="K47" s="17">
        <f>COUNTIFS(CostLines!$A$2:$A$1055,$A47,CostLines!$I$2:$I$1055,README!$B$6)</f>
        <v/>
      </c>
      <c r="L47" s="13">
        <f>SUMIFS(CostLines!$L$2:$L$1055,CostLines!$A$2:$A$1055,$A47,CostLines!$P$2:$P$1055,1)</f>
        <v/>
      </c>
      <c r="M47" s="13">
        <f>SUMIFS(CostLines!$L$2:$L$1055,CostLines!$A$2:$A$1055,$A47)</f>
        <v/>
      </c>
      <c r="N47" s="17">
        <f>COUNTIFS(CostLines!$A$2:$A$1055,$A47)</f>
        <v/>
      </c>
    </row>
    <row r="48">
      <c r="A48" s="16" t="inlineStr">
        <is>
          <t>TN58BK3636</t>
        </is>
      </c>
      <c r="B48" s="16" t="inlineStr">
        <is>
          <t>SOCKS</t>
        </is>
      </c>
      <c r="C48" s="13">
        <f>SUMIFS(CostLines!$L$2:$L$1055,CostLines!$A$2:$A$1055,$A48,CostLines!$C$2:$C$1055,C$1,CostLines!$I$2:$I$1055,README!$B$6)</f>
        <v/>
      </c>
      <c r="D48" s="13">
        <f>SUMIFS(CostLines!$L$2:$L$1055,CostLines!$A$2:$A$1055,$A48,CostLines!$C$2:$C$1055,D$1,CostLines!$I$2:$I$1055,README!$B$6)</f>
        <v/>
      </c>
      <c r="E48" s="13">
        <f>SUMIFS(CostLines!$L$2:$L$1055,CostLines!$A$2:$A$1055,$A48,CostLines!$C$2:$C$1055,E$1,CostLines!$I$2:$I$1055,README!$B$6)</f>
        <v/>
      </c>
      <c r="F48" s="13">
        <f>SUMIFS(CostLines!$L$2:$L$1055,CostLines!$A$2:$A$1055,$A48,CostLines!$C$2:$C$1055,F$1,CostLines!$I$2:$I$1055,README!$B$6)</f>
        <v/>
      </c>
      <c r="G48" s="13">
        <f>SUMIFS(CostLines!$L$2:$L$1055,CostLines!$A$2:$A$1055,$A48,CostLines!$C$2:$C$1055,G$1,CostLines!$I$2:$I$1055,README!$B$6)</f>
        <v/>
      </c>
      <c r="H48" s="13">
        <f>SUMIFS(CostLines!$L$2:$L$1055,CostLines!$A$2:$A$1055,$A48,CostLines!$C$2:$C$1055,H$1,CostLines!$I$2:$I$1055,README!$B$6)</f>
        <v/>
      </c>
      <c r="I48" s="13">
        <f>SUMIFS(CostLines!$L$2:$L$1055,CostLines!$A$2:$A$1055,$A48,CostLines!$C$2:$C$1055,I$1,CostLines!$I$2:$I$1055,README!$B$6)</f>
        <v/>
      </c>
      <c r="J48" s="13">
        <f>SUM(C48:I48)</f>
        <v/>
      </c>
      <c r="K48" s="17">
        <f>COUNTIFS(CostLines!$A$2:$A$1055,$A48,CostLines!$I$2:$I$1055,README!$B$6)</f>
        <v/>
      </c>
      <c r="L48" s="13">
        <f>SUMIFS(CostLines!$L$2:$L$1055,CostLines!$A$2:$A$1055,$A48,CostLines!$P$2:$P$1055,1)</f>
        <v/>
      </c>
      <c r="M48" s="13">
        <f>SUMIFS(CostLines!$L$2:$L$1055,CostLines!$A$2:$A$1055,$A48)</f>
        <v/>
      </c>
      <c r="N48" s="17">
        <f>COUNTIFS(CostLines!$A$2:$A$1055,$A48)</f>
        <v/>
      </c>
    </row>
    <row r="49">
      <c r="A49" s="16" t="inlineStr">
        <is>
          <t>TN58BL3434</t>
        </is>
      </c>
      <c r="B49" s="16" t="inlineStr">
        <is>
          <t>WOVEN</t>
        </is>
      </c>
      <c r="C49" s="13">
        <f>SUMIFS(CostLines!$L$2:$L$1055,CostLines!$A$2:$A$1055,$A49,CostLines!$C$2:$C$1055,C$1,CostLines!$I$2:$I$1055,README!$B$6)</f>
        <v/>
      </c>
      <c r="D49" s="13">
        <f>SUMIFS(CostLines!$L$2:$L$1055,CostLines!$A$2:$A$1055,$A49,CostLines!$C$2:$C$1055,D$1,CostLines!$I$2:$I$1055,README!$B$6)</f>
        <v/>
      </c>
      <c r="E49" s="13">
        <f>SUMIFS(CostLines!$L$2:$L$1055,CostLines!$A$2:$A$1055,$A49,CostLines!$C$2:$C$1055,E$1,CostLines!$I$2:$I$1055,README!$B$6)</f>
        <v/>
      </c>
      <c r="F49" s="13">
        <f>SUMIFS(CostLines!$L$2:$L$1055,CostLines!$A$2:$A$1055,$A49,CostLines!$C$2:$C$1055,F$1,CostLines!$I$2:$I$1055,README!$B$6)</f>
        <v/>
      </c>
      <c r="G49" s="13">
        <f>SUMIFS(CostLines!$L$2:$L$1055,CostLines!$A$2:$A$1055,$A49,CostLines!$C$2:$C$1055,G$1,CostLines!$I$2:$I$1055,README!$B$6)</f>
        <v/>
      </c>
      <c r="H49" s="13">
        <f>SUMIFS(CostLines!$L$2:$L$1055,CostLines!$A$2:$A$1055,$A49,CostLines!$C$2:$C$1055,H$1,CostLines!$I$2:$I$1055,README!$B$6)</f>
        <v/>
      </c>
      <c r="I49" s="13">
        <f>SUMIFS(CostLines!$L$2:$L$1055,CostLines!$A$2:$A$1055,$A49,CostLines!$C$2:$C$1055,I$1,CostLines!$I$2:$I$1055,README!$B$6)</f>
        <v/>
      </c>
      <c r="J49" s="13">
        <f>SUM(C49:I49)</f>
        <v/>
      </c>
      <c r="K49" s="17">
        <f>COUNTIFS(CostLines!$A$2:$A$1055,$A49,CostLines!$I$2:$I$1055,README!$B$6)</f>
        <v/>
      </c>
      <c r="L49" s="13">
        <f>SUMIFS(CostLines!$L$2:$L$1055,CostLines!$A$2:$A$1055,$A49,CostLines!$P$2:$P$1055,1)</f>
        <v/>
      </c>
      <c r="M49" s="13">
        <f>SUMIFS(CostLines!$L$2:$L$1055,CostLines!$A$2:$A$1055,$A49)</f>
        <v/>
      </c>
      <c r="N49" s="17">
        <f>COUNTIFS(CostLines!$A$2:$A$1055,$A49)</f>
        <v/>
      </c>
    </row>
    <row r="50">
      <c r="A50" s="16" t="inlineStr">
        <is>
          <t>TN58BL3636</t>
        </is>
      </c>
      <c r="B50" s="16" t="inlineStr">
        <is>
          <t>SOCKS</t>
        </is>
      </c>
      <c r="C50" s="13">
        <f>SUMIFS(CostLines!$L$2:$L$1055,CostLines!$A$2:$A$1055,$A50,CostLines!$C$2:$C$1055,C$1,CostLines!$I$2:$I$1055,README!$B$6)</f>
        <v/>
      </c>
      <c r="D50" s="13">
        <f>SUMIFS(CostLines!$L$2:$L$1055,CostLines!$A$2:$A$1055,$A50,CostLines!$C$2:$C$1055,D$1,CostLines!$I$2:$I$1055,README!$B$6)</f>
        <v/>
      </c>
      <c r="E50" s="13">
        <f>SUMIFS(CostLines!$L$2:$L$1055,CostLines!$A$2:$A$1055,$A50,CostLines!$C$2:$C$1055,E$1,CostLines!$I$2:$I$1055,README!$B$6)</f>
        <v/>
      </c>
      <c r="F50" s="13">
        <f>SUMIFS(CostLines!$L$2:$L$1055,CostLines!$A$2:$A$1055,$A50,CostLines!$C$2:$C$1055,F$1,CostLines!$I$2:$I$1055,README!$B$6)</f>
        <v/>
      </c>
      <c r="G50" s="13">
        <f>SUMIFS(CostLines!$L$2:$L$1055,CostLines!$A$2:$A$1055,$A50,CostLines!$C$2:$C$1055,G$1,CostLines!$I$2:$I$1055,README!$B$6)</f>
        <v/>
      </c>
      <c r="H50" s="13">
        <f>SUMIFS(CostLines!$L$2:$L$1055,CostLines!$A$2:$A$1055,$A50,CostLines!$C$2:$C$1055,H$1,CostLines!$I$2:$I$1055,README!$B$6)</f>
        <v/>
      </c>
      <c r="I50" s="13">
        <f>SUMIFS(CostLines!$L$2:$L$1055,CostLines!$A$2:$A$1055,$A50,CostLines!$C$2:$C$1055,I$1,CostLines!$I$2:$I$1055,README!$B$6)</f>
        <v/>
      </c>
      <c r="J50" s="13">
        <f>SUM(C50:I50)</f>
        <v/>
      </c>
      <c r="K50" s="17">
        <f>COUNTIFS(CostLines!$A$2:$A$1055,$A50,CostLines!$I$2:$I$1055,README!$B$6)</f>
        <v/>
      </c>
      <c r="L50" s="13">
        <f>SUMIFS(CostLines!$L$2:$L$1055,CostLines!$A$2:$A$1055,$A50,CostLines!$P$2:$P$1055,1)</f>
        <v/>
      </c>
      <c r="M50" s="13">
        <f>SUMIFS(CostLines!$L$2:$L$1055,CostLines!$A$2:$A$1055,$A50)</f>
        <v/>
      </c>
      <c r="N50" s="17">
        <f>COUNTIFS(CostLines!$A$2:$A$1055,$A50)</f>
        <v/>
      </c>
    </row>
    <row r="51">
      <c r="A51" s="16" t="inlineStr">
        <is>
          <t>TN58BM3434</t>
        </is>
      </c>
      <c r="B51" s="16" t="inlineStr">
        <is>
          <t>WOVEN</t>
        </is>
      </c>
      <c r="C51" s="13">
        <f>SUMIFS(CostLines!$L$2:$L$1055,CostLines!$A$2:$A$1055,$A51,CostLines!$C$2:$C$1055,C$1,CostLines!$I$2:$I$1055,README!$B$6)</f>
        <v/>
      </c>
      <c r="D51" s="13">
        <f>SUMIFS(CostLines!$L$2:$L$1055,CostLines!$A$2:$A$1055,$A51,CostLines!$C$2:$C$1055,D$1,CostLines!$I$2:$I$1055,README!$B$6)</f>
        <v/>
      </c>
      <c r="E51" s="13">
        <f>SUMIFS(CostLines!$L$2:$L$1055,CostLines!$A$2:$A$1055,$A51,CostLines!$C$2:$C$1055,E$1,CostLines!$I$2:$I$1055,README!$B$6)</f>
        <v/>
      </c>
      <c r="F51" s="13">
        <f>SUMIFS(CostLines!$L$2:$L$1055,CostLines!$A$2:$A$1055,$A51,CostLines!$C$2:$C$1055,F$1,CostLines!$I$2:$I$1055,README!$B$6)</f>
        <v/>
      </c>
      <c r="G51" s="13">
        <f>SUMIFS(CostLines!$L$2:$L$1055,CostLines!$A$2:$A$1055,$A51,CostLines!$C$2:$C$1055,G$1,CostLines!$I$2:$I$1055,README!$B$6)</f>
        <v/>
      </c>
      <c r="H51" s="13">
        <f>SUMIFS(CostLines!$L$2:$L$1055,CostLines!$A$2:$A$1055,$A51,CostLines!$C$2:$C$1055,H$1,CostLines!$I$2:$I$1055,README!$B$6)</f>
        <v/>
      </c>
      <c r="I51" s="13">
        <f>SUMIFS(CostLines!$L$2:$L$1055,CostLines!$A$2:$A$1055,$A51,CostLines!$C$2:$C$1055,I$1,CostLines!$I$2:$I$1055,README!$B$6)</f>
        <v/>
      </c>
      <c r="J51" s="13">
        <f>SUM(C51:I51)</f>
        <v/>
      </c>
      <c r="K51" s="17">
        <f>COUNTIFS(CostLines!$A$2:$A$1055,$A51,CostLines!$I$2:$I$1055,README!$B$6)</f>
        <v/>
      </c>
      <c r="L51" s="13">
        <f>SUMIFS(CostLines!$L$2:$L$1055,CostLines!$A$2:$A$1055,$A51,CostLines!$P$2:$P$1055,1)</f>
        <v/>
      </c>
      <c r="M51" s="13">
        <f>SUMIFS(CostLines!$L$2:$L$1055,CostLines!$A$2:$A$1055,$A51)</f>
        <v/>
      </c>
      <c r="N51" s="17">
        <f>COUNTIFS(CostLines!$A$2:$A$1055,$A51)</f>
        <v/>
      </c>
    </row>
    <row r="52">
      <c r="A52" s="16" t="inlineStr">
        <is>
          <t>TN58BM3636</t>
        </is>
      </c>
      <c r="B52" s="16" t="inlineStr">
        <is>
          <t>SOCKS</t>
        </is>
      </c>
      <c r="C52" s="13">
        <f>SUMIFS(CostLines!$L$2:$L$1055,CostLines!$A$2:$A$1055,$A52,CostLines!$C$2:$C$1055,C$1,CostLines!$I$2:$I$1055,README!$B$6)</f>
        <v/>
      </c>
      <c r="D52" s="13">
        <f>SUMIFS(CostLines!$L$2:$L$1055,CostLines!$A$2:$A$1055,$A52,CostLines!$C$2:$C$1055,D$1,CostLines!$I$2:$I$1055,README!$B$6)</f>
        <v/>
      </c>
      <c r="E52" s="13">
        <f>SUMIFS(CostLines!$L$2:$L$1055,CostLines!$A$2:$A$1055,$A52,CostLines!$C$2:$C$1055,E$1,CostLines!$I$2:$I$1055,README!$B$6)</f>
        <v/>
      </c>
      <c r="F52" s="13">
        <f>SUMIFS(CostLines!$L$2:$L$1055,CostLines!$A$2:$A$1055,$A52,CostLines!$C$2:$C$1055,F$1,CostLines!$I$2:$I$1055,README!$B$6)</f>
        <v/>
      </c>
      <c r="G52" s="13">
        <f>SUMIFS(CostLines!$L$2:$L$1055,CostLines!$A$2:$A$1055,$A52,CostLines!$C$2:$C$1055,G$1,CostLines!$I$2:$I$1055,README!$B$6)</f>
        <v/>
      </c>
      <c r="H52" s="13">
        <f>SUMIFS(CostLines!$L$2:$L$1055,CostLines!$A$2:$A$1055,$A52,CostLines!$C$2:$C$1055,H$1,CostLines!$I$2:$I$1055,README!$B$6)</f>
        <v/>
      </c>
      <c r="I52" s="13">
        <f>SUMIFS(CostLines!$L$2:$L$1055,CostLines!$A$2:$A$1055,$A52,CostLines!$C$2:$C$1055,I$1,CostLines!$I$2:$I$1055,README!$B$6)</f>
        <v/>
      </c>
      <c r="J52" s="13">
        <f>SUM(C52:I52)</f>
        <v/>
      </c>
      <c r="K52" s="17">
        <f>COUNTIFS(CostLines!$A$2:$A$1055,$A52,CostLines!$I$2:$I$1055,README!$B$6)</f>
        <v/>
      </c>
      <c r="L52" s="13">
        <f>SUMIFS(CostLines!$L$2:$L$1055,CostLines!$A$2:$A$1055,$A52,CostLines!$P$2:$P$1055,1)</f>
        <v/>
      </c>
      <c r="M52" s="13">
        <f>SUMIFS(CostLines!$L$2:$L$1055,CostLines!$A$2:$A$1055,$A52)</f>
        <v/>
      </c>
      <c r="N52" s="17">
        <f>COUNTIFS(CostLines!$A$2:$A$1055,$A52)</f>
        <v/>
      </c>
    </row>
    <row r="53">
      <c r="A53" s="16" t="inlineStr">
        <is>
          <t>TN58BP3434</t>
        </is>
      </c>
      <c r="B53" s="16" t="inlineStr">
        <is>
          <t>WOVEN</t>
        </is>
      </c>
      <c r="C53" s="13">
        <f>SUMIFS(CostLines!$L$2:$L$1055,CostLines!$A$2:$A$1055,$A53,CostLines!$C$2:$C$1055,C$1,CostLines!$I$2:$I$1055,README!$B$6)</f>
        <v/>
      </c>
      <c r="D53" s="13">
        <f>SUMIFS(CostLines!$L$2:$L$1055,CostLines!$A$2:$A$1055,$A53,CostLines!$C$2:$C$1055,D$1,CostLines!$I$2:$I$1055,README!$B$6)</f>
        <v/>
      </c>
      <c r="E53" s="13">
        <f>SUMIFS(CostLines!$L$2:$L$1055,CostLines!$A$2:$A$1055,$A53,CostLines!$C$2:$C$1055,E$1,CostLines!$I$2:$I$1055,README!$B$6)</f>
        <v/>
      </c>
      <c r="F53" s="13">
        <f>SUMIFS(CostLines!$L$2:$L$1055,CostLines!$A$2:$A$1055,$A53,CostLines!$C$2:$C$1055,F$1,CostLines!$I$2:$I$1055,README!$B$6)</f>
        <v/>
      </c>
      <c r="G53" s="13">
        <f>SUMIFS(CostLines!$L$2:$L$1055,CostLines!$A$2:$A$1055,$A53,CostLines!$C$2:$C$1055,G$1,CostLines!$I$2:$I$1055,README!$B$6)</f>
        <v/>
      </c>
      <c r="H53" s="13">
        <f>SUMIFS(CostLines!$L$2:$L$1055,CostLines!$A$2:$A$1055,$A53,CostLines!$C$2:$C$1055,H$1,CostLines!$I$2:$I$1055,README!$B$6)</f>
        <v/>
      </c>
      <c r="I53" s="13">
        <f>SUMIFS(CostLines!$L$2:$L$1055,CostLines!$A$2:$A$1055,$A53,CostLines!$C$2:$C$1055,I$1,CostLines!$I$2:$I$1055,README!$B$6)</f>
        <v/>
      </c>
      <c r="J53" s="13">
        <f>SUM(C53:I53)</f>
        <v/>
      </c>
      <c r="K53" s="17">
        <f>COUNTIFS(CostLines!$A$2:$A$1055,$A53,CostLines!$I$2:$I$1055,README!$B$6)</f>
        <v/>
      </c>
      <c r="L53" s="13">
        <f>SUMIFS(CostLines!$L$2:$L$1055,CostLines!$A$2:$A$1055,$A53,CostLines!$P$2:$P$1055,1)</f>
        <v/>
      </c>
      <c r="M53" s="13">
        <f>SUMIFS(CostLines!$L$2:$L$1055,CostLines!$A$2:$A$1055,$A53)</f>
        <v/>
      </c>
      <c r="N53" s="17">
        <f>COUNTIFS(CostLines!$A$2:$A$1055,$A53)</f>
        <v/>
      </c>
    </row>
    <row r="54">
      <c r="A54" s="16" t="inlineStr">
        <is>
          <t>TN58BP3636</t>
        </is>
      </c>
      <c r="B54" s="16" t="inlineStr">
        <is>
          <t>WOVEN</t>
        </is>
      </c>
      <c r="C54" s="13">
        <f>SUMIFS(CostLines!$L$2:$L$1055,CostLines!$A$2:$A$1055,$A54,CostLines!$C$2:$C$1055,C$1,CostLines!$I$2:$I$1055,README!$B$6)</f>
        <v/>
      </c>
      <c r="D54" s="13">
        <f>SUMIFS(CostLines!$L$2:$L$1055,CostLines!$A$2:$A$1055,$A54,CostLines!$C$2:$C$1055,D$1,CostLines!$I$2:$I$1055,README!$B$6)</f>
        <v/>
      </c>
      <c r="E54" s="13">
        <f>SUMIFS(CostLines!$L$2:$L$1055,CostLines!$A$2:$A$1055,$A54,CostLines!$C$2:$C$1055,E$1,CostLines!$I$2:$I$1055,README!$B$6)</f>
        <v/>
      </c>
      <c r="F54" s="13">
        <f>SUMIFS(CostLines!$L$2:$L$1055,CostLines!$A$2:$A$1055,$A54,CostLines!$C$2:$C$1055,F$1,CostLines!$I$2:$I$1055,README!$B$6)</f>
        <v/>
      </c>
      <c r="G54" s="13">
        <f>SUMIFS(CostLines!$L$2:$L$1055,CostLines!$A$2:$A$1055,$A54,CostLines!$C$2:$C$1055,G$1,CostLines!$I$2:$I$1055,README!$B$6)</f>
        <v/>
      </c>
      <c r="H54" s="13">
        <f>SUMIFS(CostLines!$L$2:$L$1055,CostLines!$A$2:$A$1055,$A54,CostLines!$C$2:$C$1055,H$1,CostLines!$I$2:$I$1055,README!$B$6)</f>
        <v/>
      </c>
      <c r="I54" s="13">
        <f>SUMIFS(CostLines!$L$2:$L$1055,CostLines!$A$2:$A$1055,$A54,CostLines!$C$2:$C$1055,I$1,CostLines!$I$2:$I$1055,README!$B$6)</f>
        <v/>
      </c>
      <c r="J54" s="13">
        <f>SUM(C54:I54)</f>
        <v/>
      </c>
      <c r="K54" s="17">
        <f>COUNTIFS(CostLines!$A$2:$A$1055,$A54,CostLines!$I$2:$I$1055,README!$B$6)</f>
        <v/>
      </c>
      <c r="L54" s="13">
        <f>SUMIFS(CostLines!$L$2:$L$1055,CostLines!$A$2:$A$1055,$A54,CostLines!$P$2:$P$1055,1)</f>
        <v/>
      </c>
      <c r="M54" s="13">
        <f>SUMIFS(CostLines!$L$2:$L$1055,CostLines!$A$2:$A$1055,$A54)</f>
        <v/>
      </c>
      <c r="N54" s="17">
        <f>COUNTIFS(CostLines!$A$2:$A$1055,$A54)</f>
        <v/>
      </c>
    </row>
    <row r="55">
      <c r="A55" s="16" t="inlineStr">
        <is>
          <t>TN58BQ3434</t>
        </is>
      </c>
      <c r="B55" s="16" t="inlineStr">
        <is>
          <t>SOCKS</t>
        </is>
      </c>
      <c r="C55" s="13">
        <f>SUMIFS(CostLines!$L$2:$L$1055,CostLines!$A$2:$A$1055,$A55,CostLines!$C$2:$C$1055,C$1,CostLines!$I$2:$I$1055,README!$B$6)</f>
        <v/>
      </c>
      <c r="D55" s="13">
        <f>SUMIFS(CostLines!$L$2:$L$1055,CostLines!$A$2:$A$1055,$A55,CostLines!$C$2:$C$1055,D$1,CostLines!$I$2:$I$1055,README!$B$6)</f>
        <v/>
      </c>
      <c r="E55" s="13">
        <f>SUMIFS(CostLines!$L$2:$L$1055,CostLines!$A$2:$A$1055,$A55,CostLines!$C$2:$C$1055,E$1,CostLines!$I$2:$I$1055,README!$B$6)</f>
        <v/>
      </c>
      <c r="F55" s="13">
        <f>SUMIFS(CostLines!$L$2:$L$1055,CostLines!$A$2:$A$1055,$A55,CostLines!$C$2:$C$1055,F$1,CostLines!$I$2:$I$1055,README!$B$6)</f>
        <v/>
      </c>
      <c r="G55" s="13">
        <f>SUMIFS(CostLines!$L$2:$L$1055,CostLines!$A$2:$A$1055,$A55,CostLines!$C$2:$C$1055,G$1,CostLines!$I$2:$I$1055,README!$B$6)</f>
        <v/>
      </c>
      <c r="H55" s="13">
        <f>SUMIFS(CostLines!$L$2:$L$1055,CostLines!$A$2:$A$1055,$A55,CostLines!$C$2:$C$1055,H$1,CostLines!$I$2:$I$1055,README!$B$6)</f>
        <v/>
      </c>
      <c r="I55" s="13">
        <f>SUMIFS(CostLines!$L$2:$L$1055,CostLines!$A$2:$A$1055,$A55,CostLines!$C$2:$C$1055,I$1,CostLines!$I$2:$I$1055,README!$B$6)</f>
        <v/>
      </c>
      <c r="J55" s="13">
        <f>SUM(C55:I55)</f>
        <v/>
      </c>
      <c r="K55" s="17">
        <f>COUNTIFS(CostLines!$A$2:$A$1055,$A55,CostLines!$I$2:$I$1055,README!$B$6)</f>
        <v/>
      </c>
      <c r="L55" s="13">
        <f>SUMIFS(CostLines!$L$2:$L$1055,CostLines!$A$2:$A$1055,$A55,CostLines!$P$2:$P$1055,1)</f>
        <v/>
      </c>
      <c r="M55" s="13">
        <f>SUMIFS(CostLines!$L$2:$L$1055,CostLines!$A$2:$A$1055,$A55)</f>
        <v/>
      </c>
      <c r="N55" s="17">
        <f>COUNTIFS(CostLines!$A$2:$A$1055,$A55)</f>
        <v/>
      </c>
    </row>
    <row r="56">
      <c r="A56" s="16" t="inlineStr">
        <is>
          <t>TN58BQ3636</t>
        </is>
      </c>
      <c r="B56" s="16" t="inlineStr">
        <is>
          <t>WOVEN</t>
        </is>
      </c>
      <c r="C56" s="13">
        <f>SUMIFS(CostLines!$L$2:$L$1055,CostLines!$A$2:$A$1055,$A56,CostLines!$C$2:$C$1055,C$1,CostLines!$I$2:$I$1055,README!$B$6)</f>
        <v/>
      </c>
      <c r="D56" s="13">
        <f>SUMIFS(CostLines!$L$2:$L$1055,CostLines!$A$2:$A$1055,$A56,CostLines!$C$2:$C$1055,D$1,CostLines!$I$2:$I$1055,README!$B$6)</f>
        <v/>
      </c>
      <c r="E56" s="13">
        <f>SUMIFS(CostLines!$L$2:$L$1055,CostLines!$A$2:$A$1055,$A56,CostLines!$C$2:$C$1055,E$1,CostLines!$I$2:$I$1055,README!$B$6)</f>
        <v/>
      </c>
      <c r="F56" s="13">
        <f>SUMIFS(CostLines!$L$2:$L$1055,CostLines!$A$2:$A$1055,$A56,CostLines!$C$2:$C$1055,F$1,CostLines!$I$2:$I$1055,README!$B$6)</f>
        <v/>
      </c>
      <c r="G56" s="13">
        <f>SUMIFS(CostLines!$L$2:$L$1055,CostLines!$A$2:$A$1055,$A56,CostLines!$C$2:$C$1055,G$1,CostLines!$I$2:$I$1055,README!$B$6)</f>
        <v/>
      </c>
      <c r="H56" s="13">
        <f>SUMIFS(CostLines!$L$2:$L$1055,CostLines!$A$2:$A$1055,$A56,CostLines!$C$2:$C$1055,H$1,CostLines!$I$2:$I$1055,README!$B$6)</f>
        <v/>
      </c>
      <c r="I56" s="13">
        <f>SUMIFS(CostLines!$L$2:$L$1055,CostLines!$A$2:$A$1055,$A56,CostLines!$C$2:$C$1055,I$1,CostLines!$I$2:$I$1055,README!$B$6)</f>
        <v/>
      </c>
      <c r="J56" s="13">
        <f>SUM(C56:I56)</f>
        <v/>
      </c>
      <c r="K56" s="17">
        <f>COUNTIFS(CostLines!$A$2:$A$1055,$A56,CostLines!$I$2:$I$1055,README!$B$6)</f>
        <v/>
      </c>
      <c r="L56" s="13">
        <f>SUMIFS(CostLines!$L$2:$L$1055,CostLines!$A$2:$A$1055,$A56,CostLines!$P$2:$P$1055,1)</f>
        <v/>
      </c>
      <c r="M56" s="13">
        <f>SUMIFS(CostLines!$L$2:$L$1055,CostLines!$A$2:$A$1055,$A56)</f>
        <v/>
      </c>
      <c r="N56" s="17">
        <f>COUNTIFS(CostLines!$A$2:$A$1055,$A56)</f>
        <v/>
      </c>
    </row>
    <row r="57">
      <c r="A57" s="16" t="inlineStr">
        <is>
          <t>TN58BR3434</t>
        </is>
      </c>
      <c r="B57" s="16" t="inlineStr">
        <is>
          <t>SOCKS</t>
        </is>
      </c>
      <c r="C57" s="13">
        <f>SUMIFS(CostLines!$L$2:$L$1055,CostLines!$A$2:$A$1055,$A57,CostLines!$C$2:$C$1055,C$1,CostLines!$I$2:$I$1055,README!$B$6)</f>
        <v/>
      </c>
      <c r="D57" s="13">
        <f>SUMIFS(CostLines!$L$2:$L$1055,CostLines!$A$2:$A$1055,$A57,CostLines!$C$2:$C$1055,D$1,CostLines!$I$2:$I$1055,README!$B$6)</f>
        <v/>
      </c>
      <c r="E57" s="13">
        <f>SUMIFS(CostLines!$L$2:$L$1055,CostLines!$A$2:$A$1055,$A57,CostLines!$C$2:$C$1055,E$1,CostLines!$I$2:$I$1055,README!$B$6)</f>
        <v/>
      </c>
      <c r="F57" s="13">
        <f>SUMIFS(CostLines!$L$2:$L$1055,CostLines!$A$2:$A$1055,$A57,CostLines!$C$2:$C$1055,F$1,CostLines!$I$2:$I$1055,README!$B$6)</f>
        <v/>
      </c>
      <c r="G57" s="13">
        <f>SUMIFS(CostLines!$L$2:$L$1055,CostLines!$A$2:$A$1055,$A57,CostLines!$C$2:$C$1055,G$1,CostLines!$I$2:$I$1055,README!$B$6)</f>
        <v/>
      </c>
      <c r="H57" s="13">
        <f>SUMIFS(CostLines!$L$2:$L$1055,CostLines!$A$2:$A$1055,$A57,CostLines!$C$2:$C$1055,H$1,CostLines!$I$2:$I$1055,README!$B$6)</f>
        <v/>
      </c>
      <c r="I57" s="13">
        <f>SUMIFS(CostLines!$L$2:$L$1055,CostLines!$A$2:$A$1055,$A57,CostLines!$C$2:$C$1055,I$1,CostLines!$I$2:$I$1055,README!$B$6)</f>
        <v/>
      </c>
      <c r="J57" s="13">
        <f>SUM(C57:I57)</f>
        <v/>
      </c>
      <c r="K57" s="17">
        <f>COUNTIFS(CostLines!$A$2:$A$1055,$A57,CostLines!$I$2:$I$1055,README!$B$6)</f>
        <v/>
      </c>
      <c r="L57" s="13">
        <f>SUMIFS(CostLines!$L$2:$L$1055,CostLines!$A$2:$A$1055,$A57,CostLines!$P$2:$P$1055,1)</f>
        <v/>
      </c>
      <c r="M57" s="13">
        <f>SUMIFS(CostLines!$L$2:$L$1055,CostLines!$A$2:$A$1055,$A57)</f>
        <v/>
      </c>
      <c r="N57" s="17">
        <f>COUNTIFS(CostLines!$A$2:$A$1055,$A57)</f>
        <v/>
      </c>
    </row>
    <row r="58">
      <c r="A58" s="16" t="inlineStr">
        <is>
          <t>TN58BR3636</t>
        </is>
      </c>
      <c r="B58" s="16" t="inlineStr">
        <is>
          <t>WOVEN</t>
        </is>
      </c>
      <c r="C58" s="13">
        <f>SUMIFS(CostLines!$L$2:$L$1055,CostLines!$A$2:$A$1055,$A58,CostLines!$C$2:$C$1055,C$1,CostLines!$I$2:$I$1055,README!$B$6)</f>
        <v/>
      </c>
      <c r="D58" s="13">
        <f>SUMIFS(CostLines!$L$2:$L$1055,CostLines!$A$2:$A$1055,$A58,CostLines!$C$2:$C$1055,D$1,CostLines!$I$2:$I$1055,README!$B$6)</f>
        <v/>
      </c>
      <c r="E58" s="13">
        <f>SUMIFS(CostLines!$L$2:$L$1055,CostLines!$A$2:$A$1055,$A58,CostLines!$C$2:$C$1055,E$1,CostLines!$I$2:$I$1055,README!$B$6)</f>
        <v/>
      </c>
      <c r="F58" s="13">
        <f>SUMIFS(CostLines!$L$2:$L$1055,CostLines!$A$2:$A$1055,$A58,CostLines!$C$2:$C$1055,F$1,CostLines!$I$2:$I$1055,README!$B$6)</f>
        <v/>
      </c>
      <c r="G58" s="13">
        <f>SUMIFS(CostLines!$L$2:$L$1055,CostLines!$A$2:$A$1055,$A58,CostLines!$C$2:$C$1055,G$1,CostLines!$I$2:$I$1055,README!$B$6)</f>
        <v/>
      </c>
      <c r="H58" s="13">
        <f>SUMIFS(CostLines!$L$2:$L$1055,CostLines!$A$2:$A$1055,$A58,CostLines!$C$2:$C$1055,H$1,CostLines!$I$2:$I$1055,README!$B$6)</f>
        <v/>
      </c>
      <c r="I58" s="13">
        <f>SUMIFS(CostLines!$L$2:$L$1055,CostLines!$A$2:$A$1055,$A58,CostLines!$C$2:$C$1055,I$1,CostLines!$I$2:$I$1055,README!$B$6)</f>
        <v/>
      </c>
      <c r="J58" s="13">
        <f>SUM(C58:I58)</f>
        <v/>
      </c>
      <c r="K58" s="17">
        <f>COUNTIFS(CostLines!$A$2:$A$1055,$A58,CostLines!$I$2:$I$1055,README!$B$6)</f>
        <v/>
      </c>
      <c r="L58" s="13">
        <f>SUMIFS(CostLines!$L$2:$L$1055,CostLines!$A$2:$A$1055,$A58,CostLines!$P$2:$P$1055,1)</f>
        <v/>
      </c>
      <c r="M58" s="13">
        <f>SUMIFS(CostLines!$L$2:$L$1055,CostLines!$A$2:$A$1055,$A58)</f>
        <v/>
      </c>
      <c r="N58" s="17">
        <f>COUNTIFS(CostLines!$A$2:$A$1055,$A58)</f>
        <v/>
      </c>
    </row>
    <row r="59">
      <c r="A59" s="16" t="inlineStr">
        <is>
          <t>TN58BS3434</t>
        </is>
      </c>
      <c r="B59" s="16" t="inlineStr">
        <is>
          <t>SOCKS</t>
        </is>
      </c>
      <c r="C59" s="13">
        <f>SUMIFS(CostLines!$L$2:$L$1055,CostLines!$A$2:$A$1055,$A59,CostLines!$C$2:$C$1055,C$1,CostLines!$I$2:$I$1055,README!$B$6)</f>
        <v/>
      </c>
      <c r="D59" s="13">
        <f>SUMIFS(CostLines!$L$2:$L$1055,CostLines!$A$2:$A$1055,$A59,CostLines!$C$2:$C$1055,D$1,CostLines!$I$2:$I$1055,README!$B$6)</f>
        <v/>
      </c>
      <c r="E59" s="13">
        <f>SUMIFS(CostLines!$L$2:$L$1055,CostLines!$A$2:$A$1055,$A59,CostLines!$C$2:$C$1055,E$1,CostLines!$I$2:$I$1055,README!$B$6)</f>
        <v/>
      </c>
      <c r="F59" s="13">
        <f>SUMIFS(CostLines!$L$2:$L$1055,CostLines!$A$2:$A$1055,$A59,CostLines!$C$2:$C$1055,F$1,CostLines!$I$2:$I$1055,README!$B$6)</f>
        <v/>
      </c>
      <c r="G59" s="13">
        <f>SUMIFS(CostLines!$L$2:$L$1055,CostLines!$A$2:$A$1055,$A59,CostLines!$C$2:$C$1055,G$1,CostLines!$I$2:$I$1055,README!$B$6)</f>
        <v/>
      </c>
      <c r="H59" s="13">
        <f>SUMIFS(CostLines!$L$2:$L$1055,CostLines!$A$2:$A$1055,$A59,CostLines!$C$2:$C$1055,H$1,CostLines!$I$2:$I$1055,README!$B$6)</f>
        <v/>
      </c>
      <c r="I59" s="13">
        <f>SUMIFS(CostLines!$L$2:$L$1055,CostLines!$A$2:$A$1055,$A59,CostLines!$C$2:$C$1055,I$1,CostLines!$I$2:$I$1055,README!$B$6)</f>
        <v/>
      </c>
      <c r="J59" s="13">
        <f>SUM(C59:I59)</f>
        <v/>
      </c>
      <c r="K59" s="17">
        <f>COUNTIFS(CostLines!$A$2:$A$1055,$A59,CostLines!$I$2:$I$1055,README!$B$6)</f>
        <v/>
      </c>
      <c r="L59" s="13">
        <f>SUMIFS(CostLines!$L$2:$L$1055,CostLines!$A$2:$A$1055,$A59,CostLines!$P$2:$P$1055,1)</f>
        <v/>
      </c>
      <c r="M59" s="13">
        <f>SUMIFS(CostLines!$L$2:$L$1055,CostLines!$A$2:$A$1055,$A59)</f>
        <v/>
      </c>
      <c r="N59" s="17">
        <f>COUNTIFS(CostLines!$A$2:$A$1055,$A59)</f>
        <v/>
      </c>
    </row>
    <row r="60">
      <c r="A60" s="16" t="inlineStr">
        <is>
          <t>TN58BS3636</t>
        </is>
      </c>
      <c r="B60" s="16" t="inlineStr">
        <is>
          <t>SOCKS</t>
        </is>
      </c>
      <c r="C60" s="13">
        <f>SUMIFS(CostLines!$L$2:$L$1055,CostLines!$A$2:$A$1055,$A60,CostLines!$C$2:$C$1055,C$1,CostLines!$I$2:$I$1055,README!$B$6)</f>
        <v/>
      </c>
      <c r="D60" s="13">
        <f>SUMIFS(CostLines!$L$2:$L$1055,CostLines!$A$2:$A$1055,$A60,CostLines!$C$2:$C$1055,D$1,CostLines!$I$2:$I$1055,README!$B$6)</f>
        <v/>
      </c>
      <c r="E60" s="13">
        <f>SUMIFS(CostLines!$L$2:$L$1055,CostLines!$A$2:$A$1055,$A60,CostLines!$C$2:$C$1055,E$1,CostLines!$I$2:$I$1055,README!$B$6)</f>
        <v/>
      </c>
      <c r="F60" s="13">
        <f>SUMIFS(CostLines!$L$2:$L$1055,CostLines!$A$2:$A$1055,$A60,CostLines!$C$2:$C$1055,F$1,CostLines!$I$2:$I$1055,README!$B$6)</f>
        <v/>
      </c>
      <c r="G60" s="13">
        <f>SUMIFS(CostLines!$L$2:$L$1055,CostLines!$A$2:$A$1055,$A60,CostLines!$C$2:$C$1055,G$1,CostLines!$I$2:$I$1055,README!$B$6)</f>
        <v/>
      </c>
      <c r="H60" s="13">
        <f>SUMIFS(CostLines!$L$2:$L$1055,CostLines!$A$2:$A$1055,$A60,CostLines!$C$2:$C$1055,H$1,CostLines!$I$2:$I$1055,README!$B$6)</f>
        <v/>
      </c>
      <c r="I60" s="13">
        <f>SUMIFS(CostLines!$L$2:$L$1055,CostLines!$A$2:$A$1055,$A60,CostLines!$C$2:$C$1055,I$1,CostLines!$I$2:$I$1055,README!$B$6)</f>
        <v/>
      </c>
      <c r="J60" s="13">
        <f>SUM(C60:I60)</f>
        <v/>
      </c>
      <c r="K60" s="17">
        <f>COUNTIFS(CostLines!$A$2:$A$1055,$A60,CostLines!$I$2:$I$1055,README!$B$6)</f>
        <v/>
      </c>
      <c r="L60" s="13">
        <f>SUMIFS(CostLines!$L$2:$L$1055,CostLines!$A$2:$A$1055,$A60,CostLines!$P$2:$P$1055,1)</f>
        <v/>
      </c>
      <c r="M60" s="13">
        <f>SUMIFS(CostLines!$L$2:$L$1055,CostLines!$A$2:$A$1055,$A60)</f>
        <v/>
      </c>
      <c r="N60" s="17">
        <f>COUNTIFS(CostLines!$A$2:$A$1055,$A60)</f>
        <v/>
      </c>
    </row>
    <row r="61">
      <c r="A61" s="16" t="inlineStr">
        <is>
          <t>TN58CA3636</t>
        </is>
      </c>
      <c r="B61" s="16" t="inlineStr">
        <is>
          <t>SOCKS</t>
        </is>
      </c>
      <c r="C61" s="13">
        <f>SUMIFS(CostLines!$L$2:$L$1055,CostLines!$A$2:$A$1055,$A61,CostLines!$C$2:$C$1055,C$1,CostLines!$I$2:$I$1055,README!$B$6)</f>
        <v/>
      </c>
      <c r="D61" s="13">
        <f>SUMIFS(CostLines!$L$2:$L$1055,CostLines!$A$2:$A$1055,$A61,CostLines!$C$2:$C$1055,D$1,CostLines!$I$2:$I$1055,README!$B$6)</f>
        <v/>
      </c>
      <c r="E61" s="13">
        <f>SUMIFS(CostLines!$L$2:$L$1055,CostLines!$A$2:$A$1055,$A61,CostLines!$C$2:$C$1055,E$1,CostLines!$I$2:$I$1055,README!$B$6)</f>
        <v/>
      </c>
      <c r="F61" s="13">
        <f>SUMIFS(CostLines!$L$2:$L$1055,CostLines!$A$2:$A$1055,$A61,CostLines!$C$2:$C$1055,F$1,CostLines!$I$2:$I$1055,README!$B$6)</f>
        <v/>
      </c>
      <c r="G61" s="13">
        <f>SUMIFS(CostLines!$L$2:$L$1055,CostLines!$A$2:$A$1055,$A61,CostLines!$C$2:$C$1055,G$1,CostLines!$I$2:$I$1055,README!$B$6)</f>
        <v/>
      </c>
      <c r="H61" s="13">
        <f>SUMIFS(CostLines!$L$2:$L$1055,CostLines!$A$2:$A$1055,$A61,CostLines!$C$2:$C$1055,H$1,CostLines!$I$2:$I$1055,README!$B$6)</f>
        <v/>
      </c>
      <c r="I61" s="13">
        <f>SUMIFS(CostLines!$L$2:$L$1055,CostLines!$A$2:$A$1055,$A61,CostLines!$C$2:$C$1055,I$1,CostLines!$I$2:$I$1055,README!$B$6)</f>
        <v/>
      </c>
      <c r="J61" s="13">
        <f>SUM(C61:I61)</f>
        <v/>
      </c>
      <c r="K61" s="17">
        <f>COUNTIFS(CostLines!$A$2:$A$1055,$A61,CostLines!$I$2:$I$1055,README!$B$6)</f>
        <v/>
      </c>
      <c r="L61" s="13">
        <f>SUMIFS(CostLines!$L$2:$L$1055,CostLines!$A$2:$A$1055,$A61,CostLines!$P$2:$P$1055,1)</f>
        <v/>
      </c>
      <c r="M61" s="13">
        <f>SUMIFS(CostLines!$L$2:$L$1055,CostLines!$A$2:$A$1055,$A61)</f>
        <v/>
      </c>
      <c r="N61" s="17">
        <f>COUNTIFS(CostLines!$A$2:$A$1055,$A61)</f>
        <v/>
      </c>
    </row>
    <row r="62">
      <c r="A62" s="16" t="inlineStr">
        <is>
          <t>TN60AP3434</t>
        </is>
      </c>
      <c r="B62" s="16" t="inlineStr">
        <is>
          <t>WOVEN</t>
        </is>
      </c>
      <c r="C62" s="13">
        <f>SUMIFS(CostLines!$L$2:$L$1055,CostLines!$A$2:$A$1055,$A62,CostLines!$C$2:$C$1055,C$1,CostLines!$I$2:$I$1055,README!$B$6)</f>
        <v/>
      </c>
      <c r="D62" s="13">
        <f>SUMIFS(CostLines!$L$2:$L$1055,CostLines!$A$2:$A$1055,$A62,CostLines!$C$2:$C$1055,D$1,CostLines!$I$2:$I$1055,README!$B$6)</f>
        <v/>
      </c>
      <c r="E62" s="13">
        <f>SUMIFS(CostLines!$L$2:$L$1055,CostLines!$A$2:$A$1055,$A62,CostLines!$C$2:$C$1055,E$1,CostLines!$I$2:$I$1055,README!$B$6)</f>
        <v/>
      </c>
      <c r="F62" s="13">
        <f>SUMIFS(CostLines!$L$2:$L$1055,CostLines!$A$2:$A$1055,$A62,CostLines!$C$2:$C$1055,F$1,CostLines!$I$2:$I$1055,README!$B$6)</f>
        <v/>
      </c>
      <c r="G62" s="13">
        <f>SUMIFS(CostLines!$L$2:$L$1055,CostLines!$A$2:$A$1055,$A62,CostLines!$C$2:$C$1055,G$1,CostLines!$I$2:$I$1055,README!$B$6)</f>
        <v/>
      </c>
      <c r="H62" s="13">
        <f>SUMIFS(CostLines!$L$2:$L$1055,CostLines!$A$2:$A$1055,$A62,CostLines!$C$2:$C$1055,H$1,CostLines!$I$2:$I$1055,README!$B$6)</f>
        <v/>
      </c>
      <c r="I62" s="13">
        <f>SUMIFS(CostLines!$L$2:$L$1055,CostLines!$A$2:$A$1055,$A62,CostLines!$C$2:$C$1055,I$1,CostLines!$I$2:$I$1055,README!$B$6)</f>
        <v/>
      </c>
      <c r="J62" s="13">
        <f>SUM(C62:I62)</f>
        <v/>
      </c>
      <c r="K62" s="17">
        <f>COUNTIFS(CostLines!$A$2:$A$1055,$A62,CostLines!$I$2:$I$1055,README!$B$6)</f>
        <v/>
      </c>
      <c r="L62" s="13">
        <f>SUMIFS(CostLines!$L$2:$L$1055,CostLines!$A$2:$A$1055,$A62,CostLines!$P$2:$P$1055,1)</f>
        <v/>
      </c>
      <c r="M62" s="13">
        <f>SUMIFS(CostLines!$L$2:$L$1055,CostLines!$A$2:$A$1055,$A62)</f>
        <v/>
      </c>
      <c r="N62" s="17">
        <f>COUNTIFS(CostLines!$A$2:$A$1055,$A62)</f>
        <v/>
      </c>
    </row>
    <row r="63">
      <c r="A63" s="16" t="inlineStr">
        <is>
          <t>TN60AQ3434</t>
        </is>
      </c>
      <c r="B63" s="16" t="inlineStr">
        <is>
          <t>WOVEN</t>
        </is>
      </c>
      <c r="C63" s="13">
        <f>SUMIFS(CostLines!$L$2:$L$1055,CostLines!$A$2:$A$1055,$A63,CostLines!$C$2:$C$1055,C$1,CostLines!$I$2:$I$1055,README!$B$6)</f>
        <v/>
      </c>
      <c r="D63" s="13">
        <f>SUMIFS(CostLines!$L$2:$L$1055,CostLines!$A$2:$A$1055,$A63,CostLines!$C$2:$C$1055,D$1,CostLines!$I$2:$I$1055,README!$B$6)</f>
        <v/>
      </c>
      <c r="E63" s="13">
        <f>SUMIFS(CostLines!$L$2:$L$1055,CostLines!$A$2:$A$1055,$A63,CostLines!$C$2:$C$1055,E$1,CostLines!$I$2:$I$1055,README!$B$6)</f>
        <v/>
      </c>
      <c r="F63" s="13">
        <f>SUMIFS(CostLines!$L$2:$L$1055,CostLines!$A$2:$A$1055,$A63,CostLines!$C$2:$C$1055,F$1,CostLines!$I$2:$I$1055,README!$B$6)</f>
        <v/>
      </c>
      <c r="G63" s="13">
        <f>SUMIFS(CostLines!$L$2:$L$1055,CostLines!$A$2:$A$1055,$A63,CostLines!$C$2:$C$1055,G$1,CostLines!$I$2:$I$1055,README!$B$6)</f>
        <v/>
      </c>
      <c r="H63" s="13">
        <f>SUMIFS(CostLines!$L$2:$L$1055,CostLines!$A$2:$A$1055,$A63,CostLines!$C$2:$C$1055,H$1,CostLines!$I$2:$I$1055,README!$B$6)</f>
        <v/>
      </c>
      <c r="I63" s="13">
        <f>SUMIFS(CostLines!$L$2:$L$1055,CostLines!$A$2:$A$1055,$A63,CostLines!$C$2:$C$1055,I$1,CostLines!$I$2:$I$1055,README!$B$6)</f>
        <v/>
      </c>
      <c r="J63" s="13">
        <f>SUM(C63:I63)</f>
        <v/>
      </c>
      <c r="K63" s="17">
        <f>COUNTIFS(CostLines!$A$2:$A$1055,$A63,CostLines!$I$2:$I$1055,README!$B$6)</f>
        <v/>
      </c>
      <c r="L63" s="13">
        <f>SUMIFS(CostLines!$L$2:$L$1055,CostLines!$A$2:$A$1055,$A63,CostLines!$P$2:$P$1055,1)</f>
        <v/>
      </c>
      <c r="M63" s="13">
        <f>SUMIFS(CostLines!$L$2:$L$1055,CostLines!$A$2:$A$1055,$A63)</f>
        <v/>
      </c>
      <c r="N63" s="17">
        <f>COUNTIFS(CostLines!$A$2:$A$1055,$A63)</f>
        <v/>
      </c>
    </row>
    <row r="64">
      <c r="A64" s="16" t="inlineStr">
        <is>
          <t>TN60AS3434</t>
        </is>
      </c>
      <c r="B64" s="16" t="inlineStr">
        <is>
          <t>WOVEN</t>
        </is>
      </c>
      <c r="C64" s="13">
        <f>SUMIFS(CostLines!$L$2:$L$1055,CostLines!$A$2:$A$1055,$A64,CostLines!$C$2:$C$1055,C$1,CostLines!$I$2:$I$1055,README!$B$6)</f>
        <v/>
      </c>
      <c r="D64" s="13">
        <f>SUMIFS(CostLines!$L$2:$L$1055,CostLines!$A$2:$A$1055,$A64,CostLines!$C$2:$C$1055,D$1,CostLines!$I$2:$I$1055,README!$B$6)</f>
        <v/>
      </c>
      <c r="E64" s="13">
        <f>SUMIFS(CostLines!$L$2:$L$1055,CostLines!$A$2:$A$1055,$A64,CostLines!$C$2:$C$1055,E$1,CostLines!$I$2:$I$1055,README!$B$6)</f>
        <v/>
      </c>
      <c r="F64" s="13">
        <f>SUMIFS(CostLines!$L$2:$L$1055,CostLines!$A$2:$A$1055,$A64,CostLines!$C$2:$C$1055,F$1,CostLines!$I$2:$I$1055,README!$B$6)</f>
        <v/>
      </c>
      <c r="G64" s="13">
        <f>SUMIFS(CostLines!$L$2:$L$1055,CostLines!$A$2:$A$1055,$A64,CostLines!$C$2:$C$1055,G$1,CostLines!$I$2:$I$1055,README!$B$6)</f>
        <v/>
      </c>
      <c r="H64" s="13">
        <f>SUMIFS(CostLines!$L$2:$L$1055,CostLines!$A$2:$A$1055,$A64,CostLines!$C$2:$C$1055,H$1,CostLines!$I$2:$I$1055,README!$B$6)</f>
        <v/>
      </c>
      <c r="I64" s="13">
        <f>SUMIFS(CostLines!$L$2:$L$1055,CostLines!$A$2:$A$1055,$A64,CostLines!$C$2:$C$1055,I$1,CostLines!$I$2:$I$1055,README!$B$6)</f>
        <v/>
      </c>
      <c r="J64" s="13">
        <f>SUM(C64:I64)</f>
        <v/>
      </c>
      <c r="K64" s="17">
        <f>COUNTIFS(CostLines!$A$2:$A$1055,$A64,CostLines!$I$2:$I$1055,README!$B$6)</f>
        <v/>
      </c>
      <c r="L64" s="13">
        <f>SUMIFS(CostLines!$L$2:$L$1055,CostLines!$A$2:$A$1055,$A64,CostLines!$P$2:$P$1055,1)</f>
        <v/>
      </c>
      <c r="M64" s="13">
        <f>SUMIFS(CostLines!$L$2:$L$1055,CostLines!$A$2:$A$1055,$A64)</f>
        <v/>
      </c>
      <c r="N64" s="17">
        <f>COUNTIFS(CostLines!$A$2:$A$1055,$A64)</f>
        <v/>
      </c>
    </row>
    <row r="65">
      <c r="A65" s="16" t="inlineStr">
        <is>
          <t>TN60AS3636</t>
        </is>
      </c>
      <c r="B65" s="16" t="inlineStr">
        <is>
          <t>WOVEN</t>
        </is>
      </c>
      <c r="C65" s="13">
        <f>SUMIFS(CostLines!$L$2:$L$1055,CostLines!$A$2:$A$1055,$A65,CostLines!$C$2:$C$1055,C$1,CostLines!$I$2:$I$1055,README!$B$6)</f>
        <v/>
      </c>
      <c r="D65" s="13">
        <f>SUMIFS(CostLines!$L$2:$L$1055,CostLines!$A$2:$A$1055,$A65,CostLines!$C$2:$C$1055,D$1,CostLines!$I$2:$I$1055,README!$B$6)</f>
        <v/>
      </c>
      <c r="E65" s="13">
        <f>SUMIFS(CostLines!$L$2:$L$1055,CostLines!$A$2:$A$1055,$A65,CostLines!$C$2:$C$1055,E$1,CostLines!$I$2:$I$1055,README!$B$6)</f>
        <v/>
      </c>
      <c r="F65" s="13">
        <f>SUMIFS(CostLines!$L$2:$L$1055,CostLines!$A$2:$A$1055,$A65,CostLines!$C$2:$C$1055,F$1,CostLines!$I$2:$I$1055,README!$B$6)</f>
        <v/>
      </c>
      <c r="G65" s="13">
        <f>SUMIFS(CostLines!$L$2:$L$1055,CostLines!$A$2:$A$1055,$A65,CostLines!$C$2:$C$1055,G$1,CostLines!$I$2:$I$1055,README!$B$6)</f>
        <v/>
      </c>
      <c r="H65" s="13">
        <f>SUMIFS(CostLines!$L$2:$L$1055,CostLines!$A$2:$A$1055,$A65,CostLines!$C$2:$C$1055,H$1,CostLines!$I$2:$I$1055,README!$B$6)</f>
        <v/>
      </c>
      <c r="I65" s="13">
        <f>SUMIFS(CostLines!$L$2:$L$1055,CostLines!$A$2:$A$1055,$A65,CostLines!$C$2:$C$1055,I$1,CostLines!$I$2:$I$1055,README!$B$6)</f>
        <v/>
      </c>
      <c r="J65" s="13">
        <f>SUM(C65:I65)</f>
        <v/>
      </c>
      <c r="K65" s="17">
        <f>COUNTIFS(CostLines!$A$2:$A$1055,$A65,CostLines!$I$2:$I$1055,README!$B$6)</f>
        <v/>
      </c>
      <c r="L65" s="13">
        <f>SUMIFS(CostLines!$L$2:$L$1055,CostLines!$A$2:$A$1055,$A65,CostLines!$P$2:$P$1055,1)</f>
        <v/>
      </c>
      <c r="M65" s="13">
        <f>SUMIFS(CostLines!$L$2:$L$1055,CostLines!$A$2:$A$1055,$A65)</f>
        <v/>
      </c>
      <c r="N65" s="17">
        <f>COUNTIFS(CostLines!$A$2:$A$1055,$A65)</f>
        <v/>
      </c>
    </row>
    <row r="67">
      <c r="B67" s="3" t="inlineStr">
        <is>
          <t>Total</t>
        </is>
      </c>
      <c r="C67" s="15">
        <f>SUM(C2:C65)</f>
        <v/>
      </c>
      <c r="D67" s="15">
        <f>SUM(D2:D65)</f>
        <v/>
      </c>
      <c r="E67" s="15">
        <f>SUM(E2:E65)</f>
        <v/>
      </c>
      <c r="F67" s="15">
        <f>SUM(F2:F65)</f>
        <v/>
      </c>
      <c r="G67" s="15">
        <f>SUM(G2:G65)</f>
        <v/>
      </c>
      <c r="H67" s="15">
        <f>SUM(H2:H65)</f>
        <v/>
      </c>
      <c r="I67" s="15">
        <f>SUM(I2:I65)</f>
        <v/>
      </c>
      <c r="J67" s="15">
        <f>SUM(J2:J65)</f>
        <v/>
      </c>
      <c r="K67" s="18">
        <f>SUM(K2:K65)</f>
        <v/>
      </c>
      <c r="L67" s="15">
        <f>SUM(L2:L65)</f>
        <v/>
      </c>
      <c r="M67" s="15">
        <f>SUM(M2:M65)</f>
        <v/>
      </c>
      <c r="N67" s="18">
        <f>SUM(N2:N65)</f>
        <v/>
      </c>
    </row>
    <row r="69">
      <c r="A69" s="5" t="inlineStr">
        <is>
          <t>Every activity column is filtered to the financial year in README!B4:B6 — change the yellow cell and the whole grid moves. 'All-time' columns ignore it. Division is the vehicle's commonest division in the feed; a few buses appear under more than one.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9" customWidth="1" min="6" max="6"/>
    <col width="9" customWidth="1" min="7" max="7"/>
    <col width="10" customWidth="1" min="8" max="8"/>
  </cols>
  <sheetData>
    <row r="1">
      <c r="A1" s="9" t="inlineStr">
        <is>
          <t>Proj_Activity_Name</t>
        </is>
      </c>
      <c r="B1" s="9" t="inlineStr">
        <is>
          <t>2024-25</t>
        </is>
      </c>
      <c r="C1" s="9" t="inlineStr">
        <is>
          <t>2025-26</t>
        </is>
      </c>
      <c r="D1" s="9" t="inlineStr">
        <is>
          <t>2026-27</t>
        </is>
      </c>
      <c r="E1" s="9" t="inlineStr">
        <is>
          <t>Total</t>
        </is>
      </c>
      <c r="F1" s="9" t="inlineStr">
        <is>
          <t>Share</t>
        </is>
      </c>
      <c r="G1" s="9" t="inlineStr">
        <is>
          <t>Lines</t>
        </is>
      </c>
      <c r="H1" s="9" t="inlineStr">
        <is>
          <t>Vehicles</t>
        </is>
      </c>
    </row>
    <row r="2">
      <c r="A2" s="16" t="inlineStr">
        <is>
          <t>ADBLU</t>
        </is>
      </c>
      <c r="B2" s="13">
        <f>SUMIFS(CostLines!$L$2:$L$1055,CostLines!$C$2:$C$1055,$A2,CostLines!$I$2:$I$1055,B$1)</f>
        <v/>
      </c>
      <c r="C2" s="13">
        <f>SUMIFS(CostLines!$L$2:$L$1055,CostLines!$C$2:$C$1055,$A2,CostLines!$I$2:$I$1055,C$1)</f>
        <v/>
      </c>
      <c r="D2" s="13">
        <f>SUMIFS(CostLines!$L$2:$L$1055,CostLines!$C$2:$C$1055,$A2,CostLines!$I$2:$I$1055,D$1)</f>
        <v/>
      </c>
      <c r="E2" s="15">
        <f>SUM(B2:D2)</f>
        <v/>
      </c>
      <c r="F2" s="19">
        <f>IFERROR(E2/E$10,"")</f>
        <v/>
      </c>
      <c r="G2" s="16">
        <f>COUNTIFS(CostLines!$C$2:$C$1055,$A2)</f>
        <v/>
      </c>
      <c r="H2" s="16" t="n">
        <v>28</v>
      </c>
    </row>
    <row r="3">
      <c r="A3" s="16" t="inlineStr">
        <is>
          <t>FC WORK</t>
        </is>
      </c>
      <c r="B3" s="13">
        <f>SUMIFS(CostLines!$L$2:$L$1055,CostLines!$C$2:$C$1055,$A3,CostLines!$I$2:$I$1055,B$1)</f>
        <v/>
      </c>
      <c r="C3" s="13">
        <f>SUMIFS(CostLines!$L$2:$L$1055,CostLines!$C$2:$C$1055,$A3,CostLines!$I$2:$I$1055,C$1)</f>
        <v/>
      </c>
      <c r="D3" s="13">
        <f>SUMIFS(CostLines!$L$2:$L$1055,CostLines!$C$2:$C$1055,$A3,CostLines!$I$2:$I$1055,D$1)</f>
        <v/>
      </c>
      <c r="E3" s="15">
        <f>SUM(B3:D3)</f>
        <v/>
      </c>
      <c r="F3" s="19">
        <f>IFERROR(E3/E$10,"")</f>
        <v/>
      </c>
      <c r="G3" s="16">
        <f>COUNTIFS(CostLines!$C$2:$C$1055,$A3)</f>
        <v/>
      </c>
      <c r="H3" s="16" t="n">
        <v>41</v>
      </c>
    </row>
    <row r="4">
      <c r="A4" s="16" t="inlineStr">
        <is>
          <t>ROAD TAX</t>
        </is>
      </c>
      <c r="B4" s="13">
        <f>SUMIFS(CostLines!$L$2:$L$1055,CostLines!$C$2:$C$1055,$A4,CostLines!$I$2:$I$1055,B$1)</f>
        <v/>
      </c>
      <c r="C4" s="13">
        <f>SUMIFS(CostLines!$L$2:$L$1055,CostLines!$C$2:$C$1055,$A4,CostLines!$I$2:$I$1055,C$1)</f>
        <v/>
      </c>
      <c r="D4" s="13">
        <f>SUMIFS(CostLines!$L$2:$L$1055,CostLines!$C$2:$C$1055,$A4,CostLines!$I$2:$I$1055,D$1)</f>
        <v/>
      </c>
      <c r="E4" s="15">
        <f>SUM(B4:D4)</f>
        <v/>
      </c>
      <c r="F4" s="19">
        <f>IFERROR(E4/E$10,"")</f>
        <v/>
      </c>
      <c r="G4" s="16">
        <f>COUNTIFS(CostLines!$C$2:$C$1055,$A4)</f>
        <v/>
      </c>
      <c r="H4" s="16" t="n">
        <v>52</v>
      </c>
    </row>
    <row r="5">
      <c r="A5" s="16" t="inlineStr">
        <is>
          <t>RTO EXPENSE</t>
        </is>
      </c>
      <c r="B5" s="13">
        <f>SUMIFS(CostLines!$L$2:$L$1055,CostLines!$C$2:$C$1055,$A5,CostLines!$I$2:$I$1055,B$1)</f>
        <v/>
      </c>
      <c r="C5" s="13">
        <f>SUMIFS(CostLines!$L$2:$L$1055,CostLines!$C$2:$C$1055,$A5,CostLines!$I$2:$I$1055,C$1)</f>
        <v/>
      </c>
      <c r="D5" s="13">
        <f>SUMIFS(CostLines!$L$2:$L$1055,CostLines!$C$2:$C$1055,$A5,CostLines!$I$2:$I$1055,D$1)</f>
        <v/>
      </c>
      <c r="E5" s="15">
        <f>SUM(B5:D5)</f>
        <v/>
      </c>
      <c r="F5" s="19">
        <f>IFERROR(E5/E$10,"")</f>
        <v/>
      </c>
      <c r="G5" s="16">
        <f>COUNTIFS(CostLines!$C$2:$C$1055,$A5)</f>
        <v/>
      </c>
      <c r="H5" s="16" t="n">
        <v>44</v>
      </c>
    </row>
    <row r="6">
      <c r="A6" s="16" t="inlineStr">
        <is>
          <t>TYRE</t>
        </is>
      </c>
      <c r="B6" s="13">
        <f>SUMIFS(CostLines!$L$2:$L$1055,CostLines!$C$2:$C$1055,$A6,CostLines!$I$2:$I$1055,B$1)</f>
        <v/>
      </c>
      <c r="C6" s="13">
        <f>SUMIFS(CostLines!$L$2:$L$1055,CostLines!$C$2:$C$1055,$A6,CostLines!$I$2:$I$1055,C$1)</f>
        <v/>
      </c>
      <c r="D6" s="13">
        <f>SUMIFS(CostLines!$L$2:$L$1055,CostLines!$C$2:$C$1055,$A6,CostLines!$I$2:$I$1055,D$1)</f>
        <v/>
      </c>
      <c r="E6" s="15">
        <f>SUM(B6:D6)</f>
        <v/>
      </c>
      <c r="F6" s="19">
        <f>IFERROR(E6/E$10,"")</f>
        <v/>
      </c>
      <c r="G6" s="16">
        <f>COUNTIFS(CostLines!$C$2:$C$1055,$A6)</f>
        <v/>
      </c>
      <c r="H6" s="16" t="n">
        <v>44</v>
      </c>
    </row>
    <row r="7">
      <c r="A7" s="16" t="inlineStr">
        <is>
          <t>VEHICLE INSURANCE</t>
        </is>
      </c>
      <c r="B7" s="13">
        <f>SUMIFS(CostLines!$L$2:$L$1055,CostLines!$C$2:$C$1055,$A7,CostLines!$I$2:$I$1055,B$1)</f>
        <v/>
      </c>
      <c r="C7" s="13">
        <f>SUMIFS(CostLines!$L$2:$L$1055,CostLines!$C$2:$C$1055,$A7,CostLines!$I$2:$I$1055,C$1)</f>
        <v/>
      </c>
      <c r="D7" s="13">
        <f>SUMIFS(CostLines!$L$2:$L$1055,CostLines!$C$2:$C$1055,$A7,CostLines!$I$2:$I$1055,D$1)</f>
        <v/>
      </c>
      <c r="E7" s="15">
        <f>SUM(B7:D7)</f>
        <v/>
      </c>
      <c r="F7" s="19">
        <f>IFERROR(E7/E$10,"")</f>
        <v/>
      </c>
      <c r="G7" s="16">
        <f>COUNTIFS(CostLines!$C$2:$C$1055,$A7)</f>
        <v/>
      </c>
      <c r="H7" s="16" t="n">
        <v>57</v>
      </c>
    </row>
    <row r="8">
      <c r="A8" s="16" t="inlineStr">
        <is>
          <t>VEHICLE OUTSIDE SERVICES</t>
        </is>
      </c>
      <c r="B8" s="13">
        <f>SUMIFS(CostLines!$L$2:$L$1055,CostLines!$C$2:$C$1055,$A8,CostLines!$I$2:$I$1055,B$1)</f>
        <v/>
      </c>
      <c r="C8" s="13">
        <f>SUMIFS(CostLines!$L$2:$L$1055,CostLines!$C$2:$C$1055,$A8,CostLines!$I$2:$I$1055,C$1)</f>
        <v/>
      </c>
      <c r="D8" s="13">
        <f>SUMIFS(CostLines!$L$2:$L$1055,CostLines!$C$2:$C$1055,$A8,CostLines!$I$2:$I$1055,D$1)</f>
        <v/>
      </c>
      <c r="E8" s="15">
        <f>SUM(B8:D8)</f>
        <v/>
      </c>
      <c r="F8" s="19">
        <f>IFERROR(E8/E$10,"")</f>
        <v/>
      </c>
      <c r="G8" s="16">
        <f>COUNTIFS(CostLines!$C$2:$C$1055,$A8)</f>
        <v/>
      </c>
      <c r="H8" s="16" t="n">
        <v>57</v>
      </c>
    </row>
    <row r="10">
      <c r="A10" s="3" t="inlineStr">
        <is>
          <t>Total</t>
        </is>
      </c>
      <c r="B10" s="15">
        <f>SUM(B2:B8)</f>
        <v/>
      </c>
      <c r="C10" s="15">
        <f>SUM(C2:C8)</f>
        <v/>
      </c>
      <c r="D10" s="15">
        <f>SUM(D2:D8)</f>
        <v/>
      </c>
      <c r="E10" s="15">
        <f>SUM(E2:E8)</f>
        <v/>
      </c>
      <c r="G10" s="18">
        <f>SUM(G2:G8)</f>
        <v/>
      </c>
    </row>
    <row r="12">
      <c r="A12" s="5" t="inlineStr">
        <is>
          <t>Financial years run April-March, taken from each line's From_Date. The Vehicles column is a distinct count computed when this sheet was built, so it does not move with the other columns. The current financial year is still being planned — treat it as partial.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6" customWidth="1" min="4" max="4"/>
    <col width="26" customWidth="1" min="5" max="5"/>
    <col width="9" customWidth="1" min="6" max="6"/>
    <col width="11" customWidth="1" min="7" max="7"/>
    <col width="15" customWidth="1" min="8" max="8"/>
    <col width="16" customWidth="1" min="9" max="9"/>
  </cols>
  <sheetData>
    <row r="1">
      <c r="A1" s="9" t="inlineStr">
        <is>
          <t>Vehicle</t>
        </is>
      </c>
      <c r="B1" s="9" t="inlineStr">
        <is>
          <t>In live fleet</t>
        </is>
      </c>
      <c r="C1" s="9" t="inlineStr">
        <is>
          <t>Type (live)</t>
        </is>
      </c>
      <c r="D1" s="9" t="inlineStr">
        <is>
          <t>Seat</t>
        </is>
      </c>
      <c r="E1" s="9" t="inlineStr">
        <is>
          <t>Compname (live)</t>
        </is>
      </c>
      <c r="F1" s="9" t="inlineStr">
        <is>
          <t>Costed</t>
        </is>
      </c>
      <c r="G1" s="9" t="inlineStr">
        <is>
          <t>Cost lines</t>
        </is>
      </c>
      <c r="H1" s="9" t="inlineStr">
        <is>
          <t>FY total</t>
        </is>
      </c>
      <c r="I1" s="9" t="inlineStr">
        <is>
          <t>All-time total</t>
        </is>
      </c>
    </row>
    <row r="2">
      <c r="A2" s="16" t="inlineStr">
        <is>
          <t>TN02AB5688</t>
        </is>
      </c>
      <c r="B2" s="16" t="inlineStr">
        <is>
          <t>Yes</t>
        </is>
      </c>
      <c r="C2" s="16" t="inlineStr">
        <is>
          <t>RENT VEHICLE</t>
        </is>
      </c>
      <c r="D2" s="16" t="inlineStr">
        <is>
          <t>20</t>
        </is>
      </c>
      <c r="E2" s="16" t="inlineStr">
        <is>
          <t>TECHNOTEK - WOVEN - I</t>
        </is>
      </c>
      <c r="F2" s="16">
        <f>IF(G2&gt;0,"Yes","No")</f>
        <v/>
      </c>
      <c r="G2" s="16">
        <f>COUNTIFS(CostLines!$A$2:$A$1055,$A2)</f>
        <v/>
      </c>
      <c r="H2" s="13">
        <f>SUMIFS(CostLines!$L$2:$L$1055,CostLines!$A$2:$A$1055,$A2,CostLines!$I$2:$I$1055,README!$B$6)</f>
        <v/>
      </c>
      <c r="I2" s="13">
        <f>SUMIFS(CostLines!$L$2:$L$1055,CostLines!$A$2:$A$1055,$A2)</f>
        <v/>
      </c>
    </row>
    <row r="3">
      <c r="A3" s="16" t="inlineStr">
        <is>
          <t>TN030857</t>
        </is>
      </c>
      <c r="B3" s="16" t="inlineStr">
        <is>
          <t>Yes</t>
        </is>
      </c>
      <c r="C3" s="16" t="inlineStr">
        <is>
          <t>RENT VEHICLE</t>
        </is>
      </c>
      <c r="D3" s="16" t="inlineStr">
        <is>
          <t>20</t>
        </is>
      </c>
      <c r="E3" s="16" t="inlineStr">
        <is>
          <t>TECHNOTEK - GLOVES - I</t>
        </is>
      </c>
      <c r="F3" s="16">
        <f>IF(G3&gt;0,"Yes","No")</f>
        <v/>
      </c>
      <c r="G3" s="16">
        <f>COUNTIFS(CostLines!$A$2:$A$1055,$A3)</f>
        <v/>
      </c>
      <c r="H3" s="13">
        <f>SUMIFS(CostLines!$L$2:$L$1055,CostLines!$A$2:$A$1055,$A3,CostLines!$I$2:$I$1055,README!$B$6)</f>
        <v/>
      </c>
      <c r="I3" s="13">
        <f>SUMIFS(CostLines!$L$2:$L$1055,CostLines!$A$2:$A$1055,$A3)</f>
        <v/>
      </c>
    </row>
    <row r="4">
      <c r="A4" s="16" t="inlineStr">
        <is>
          <t>TN05V6697</t>
        </is>
      </c>
      <c r="B4" s="16" t="inlineStr">
        <is>
          <t>Yes</t>
        </is>
      </c>
      <c r="C4" s="16" t="inlineStr">
        <is>
          <t>RENT VEHICLE</t>
        </is>
      </c>
      <c r="D4" s="16" t="inlineStr">
        <is>
          <t>20</t>
        </is>
      </c>
      <c r="E4" s="16" t="inlineStr">
        <is>
          <t>TECHNOTEK - GLOVES - I</t>
        </is>
      </c>
      <c r="F4" s="16">
        <f>IF(G4&gt;0,"Yes","No")</f>
        <v/>
      </c>
      <c r="G4" s="16">
        <f>COUNTIFS(CostLines!$A$2:$A$1055,$A4)</f>
        <v/>
      </c>
      <c r="H4" s="13">
        <f>SUMIFS(CostLines!$L$2:$L$1055,CostLines!$A$2:$A$1055,$A4,CostLines!$I$2:$I$1055,README!$B$6)</f>
        <v/>
      </c>
      <c r="I4" s="13">
        <f>SUMIFS(CostLines!$L$2:$L$1055,CostLines!$A$2:$A$1055,$A4)</f>
        <v/>
      </c>
    </row>
    <row r="5">
      <c r="A5" s="16" t="inlineStr">
        <is>
          <t>TN20AJ3944</t>
        </is>
      </c>
      <c r="B5" s="16" t="inlineStr">
        <is>
          <t>Yes</t>
        </is>
      </c>
      <c r="C5" s="16" t="inlineStr">
        <is>
          <t>RENT VEHICLE</t>
        </is>
      </c>
      <c r="D5" s="16" t="inlineStr">
        <is>
          <t>20</t>
        </is>
      </c>
      <c r="E5" s="16" t="inlineStr">
        <is>
          <t>GAINUP - GARMENTS - II</t>
        </is>
      </c>
      <c r="F5" s="16">
        <f>IF(G5&gt;0,"Yes","No")</f>
        <v/>
      </c>
      <c r="G5" s="16">
        <f>COUNTIFS(CostLines!$A$2:$A$1055,$A5)</f>
        <v/>
      </c>
      <c r="H5" s="13">
        <f>SUMIFS(CostLines!$L$2:$L$1055,CostLines!$A$2:$A$1055,$A5,CostLines!$I$2:$I$1055,README!$B$6)</f>
        <v/>
      </c>
      <c r="I5" s="13">
        <f>SUMIFS(CostLines!$L$2:$L$1055,CostLines!$A$2:$A$1055,$A5)</f>
        <v/>
      </c>
    </row>
    <row r="6">
      <c r="A6" s="16" t="inlineStr">
        <is>
          <t>TN20AK5513</t>
        </is>
      </c>
      <c r="B6" s="16" t="inlineStr">
        <is>
          <t>Yes</t>
        </is>
      </c>
      <c r="C6" s="16" t="inlineStr">
        <is>
          <t>RENT VEHICLE</t>
        </is>
      </c>
      <c r="D6" s="16" t="inlineStr">
        <is>
          <t>20</t>
        </is>
      </c>
      <c r="E6" s="16" t="inlineStr">
        <is>
          <t>TECHNOTEK - WOVEN - I</t>
        </is>
      </c>
      <c r="F6" s="16">
        <f>IF(G6&gt;0,"Yes","No")</f>
        <v/>
      </c>
      <c r="G6" s="16">
        <f>COUNTIFS(CostLines!$A$2:$A$1055,$A6)</f>
        <v/>
      </c>
      <c r="H6" s="13">
        <f>SUMIFS(CostLines!$L$2:$L$1055,CostLines!$A$2:$A$1055,$A6,CostLines!$I$2:$I$1055,README!$B$6)</f>
        <v/>
      </c>
      <c r="I6" s="13">
        <f>SUMIFS(CostLines!$L$2:$L$1055,CostLines!$A$2:$A$1055,$A6)</f>
        <v/>
      </c>
    </row>
    <row r="7">
      <c r="A7" s="16" t="inlineStr">
        <is>
          <t>TN20AL3611</t>
        </is>
      </c>
      <c r="B7" s="16" t="inlineStr">
        <is>
          <t>Yes</t>
        </is>
      </c>
      <c r="C7" s="16" t="inlineStr">
        <is>
          <t>RENT VEHICLE</t>
        </is>
      </c>
      <c r="D7" s="16" t="inlineStr">
        <is>
          <t>20</t>
        </is>
      </c>
      <c r="E7" s="16" t="inlineStr">
        <is>
          <t>TECHNOTEK - WOVEN - I</t>
        </is>
      </c>
      <c r="F7" s="16">
        <f>IF(G7&gt;0,"Yes","No")</f>
        <v/>
      </c>
      <c r="G7" s="16">
        <f>COUNTIFS(CostLines!$A$2:$A$1055,$A7)</f>
        <v/>
      </c>
      <c r="H7" s="13">
        <f>SUMIFS(CostLines!$L$2:$L$1055,CostLines!$A$2:$A$1055,$A7,CostLines!$I$2:$I$1055,README!$B$6)</f>
        <v/>
      </c>
      <c r="I7" s="13">
        <f>SUMIFS(CostLines!$L$2:$L$1055,CostLines!$A$2:$A$1055,$A7)</f>
        <v/>
      </c>
    </row>
    <row r="8">
      <c r="A8" s="16" t="inlineStr">
        <is>
          <t>TN20AU6396</t>
        </is>
      </c>
      <c r="B8" s="16" t="inlineStr">
        <is>
          <t>Yes</t>
        </is>
      </c>
      <c r="C8" s="16" t="inlineStr">
        <is>
          <t>RENT VEHICLE</t>
        </is>
      </c>
      <c r="D8" s="16" t="inlineStr">
        <is>
          <t>20</t>
        </is>
      </c>
      <c r="E8" s="16" t="inlineStr">
        <is>
          <t>TECHNOTEK - WOVEN - I</t>
        </is>
      </c>
      <c r="F8" s="16">
        <f>IF(G8&gt;0,"Yes","No")</f>
        <v/>
      </c>
      <c r="G8" s="16">
        <f>COUNTIFS(CostLines!$A$2:$A$1055,$A8)</f>
        <v/>
      </c>
      <c r="H8" s="13">
        <f>SUMIFS(CostLines!$L$2:$L$1055,CostLines!$A$2:$A$1055,$A8,CostLines!$I$2:$I$1055,README!$B$6)</f>
        <v/>
      </c>
      <c r="I8" s="13">
        <f>SUMIFS(CostLines!$L$2:$L$1055,CostLines!$A$2:$A$1055,$A8)</f>
        <v/>
      </c>
    </row>
    <row r="9">
      <c r="A9" s="16" t="inlineStr">
        <is>
          <t>TN23AC2721</t>
        </is>
      </c>
      <c r="B9" s="16" t="inlineStr">
        <is>
          <t>Yes</t>
        </is>
      </c>
      <c r="C9" s="16" t="inlineStr">
        <is>
          <t>RENT VEHICLE</t>
        </is>
      </c>
      <c r="D9" s="16" t="inlineStr">
        <is>
          <t>20</t>
        </is>
      </c>
      <c r="E9" s="16" t="inlineStr">
        <is>
          <t>TECHNOTEK - WOVEN - I</t>
        </is>
      </c>
      <c r="F9" s="16">
        <f>IF(G9&gt;0,"Yes","No")</f>
        <v/>
      </c>
      <c r="G9" s="16">
        <f>COUNTIFS(CostLines!$A$2:$A$1055,$A9)</f>
        <v/>
      </c>
      <c r="H9" s="13">
        <f>SUMIFS(CostLines!$L$2:$L$1055,CostLines!$A$2:$A$1055,$A9,CostLines!$I$2:$I$1055,README!$B$6)</f>
        <v/>
      </c>
      <c r="I9" s="13">
        <f>SUMIFS(CostLines!$L$2:$L$1055,CostLines!$A$2:$A$1055,$A9)</f>
        <v/>
      </c>
    </row>
    <row r="10">
      <c r="A10" s="16" t="inlineStr">
        <is>
          <t>TN25M4073</t>
        </is>
      </c>
      <c r="B10" s="16" t="inlineStr">
        <is>
          <t>Yes</t>
        </is>
      </c>
      <c r="C10" s="16" t="inlineStr">
        <is>
          <t>RENT VEHICLE</t>
        </is>
      </c>
      <c r="D10" s="16" t="inlineStr">
        <is>
          <t>20</t>
        </is>
      </c>
      <c r="E10" s="16" t="inlineStr">
        <is>
          <t>TECHNOTEK - GLOVES - I</t>
        </is>
      </c>
      <c r="F10" s="16">
        <f>IF(G10&gt;0,"Yes","No")</f>
        <v/>
      </c>
      <c r="G10" s="16">
        <f>COUNTIFS(CostLines!$A$2:$A$1055,$A10)</f>
        <v/>
      </c>
      <c r="H10" s="13">
        <f>SUMIFS(CostLines!$L$2:$L$1055,CostLines!$A$2:$A$1055,$A10,CostLines!$I$2:$I$1055,README!$B$6)</f>
        <v/>
      </c>
      <c r="I10" s="13">
        <f>SUMIFS(CostLines!$L$2:$L$1055,CostLines!$A$2:$A$1055,$A10)</f>
        <v/>
      </c>
    </row>
    <row r="11">
      <c r="A11" s="16" t="inlineStr">
        <is>
          <t>TN25M4928</t>
        </is>
      </c>
      <c r="B11" s="16" t="inlineStr">
        <is>
          <t>Yes</t>
        </is>
      </c>
      <c r="C11" s="16" t="inlineStr">
        <is>
          <t>RENT VEHICLE</t>
        </is>
      </c>
      <c r="D11" s="16" t="inlineStr">
        <is>
          <t>20</t>
        </is>
      </c>
      <c r="E11" s="16" t="inlineStr">
        <is>
          <t>GAINUP - GARMENTS - II</t>
        </is>
      </c>
      <c r="F11" s="16">
        <f>IF(G11&gt;0,"Yes","No")</f>
        <v/>
      </c>
      <c r="G11" s="16">
        <f>COUNTIFS(CostLines!$A$2:$A$1055,$A11)</f>
        <v/>
      </c>
      <c r="H11" s="13">
        <f>SUMIFS(CostLines!$L$2:$L$1055,CostLines!$A$2:$A$1055,$A11,CostLines!$I$2:$I$1055,README!$B$6)</f>
        <v/>
      </c>
      <c r="I11" s="13">
        <f>SUMIFS(CostLines!$L$2:$L$1055,CostLines!$A$2:$A$1055,$A11)</f>
        <v/>
      </c>
    </row>
    <row r="12">
      <c r="A12" s="16" t="inlineStr">
        <is>
          <t>TN31AB3789</t>
        </is>
      </c>
      <c r="B12" s="16" t="inlineStr">
        <is>
          <t>Yes</t>
        </is>
      </c>
      <c r="C12" s="16" t="inlineStr">
        <is>
          <t>RENT VEHICLE</t>
        </is>
      </c>
      <c r="D12" s="16" t="inlineStr">
        <is>
          <t>20</t>
        </is>
      </c>
      <c r="E12" s="16" t="inlineStr">
        <is>
          <t>TECHNOTEK - GLOVES - I</t>
        </is>
      </c>
      <c r="F12" s="16">
        <f>IF(G12&gt;0,"Yes","No")</f>
        <v/>
      </c>
      <c r="G12" s="16">
        <f>COUNTIFS(CostLines!$A$2:$A$1055,$A12)</f>
        <v/>
      </c>
      <c r="H12" s="13">
        <f>SUMIFS(CostLines!$L$2:$L$1055,CostLines!$A$2:$A$1055,$A12,CostLines!$I$2:$I$1055,README!$B$6)</f>
        <v/>
      </c>
      <c r="I12" s="13">
        <f>SUMIFS(CostLines!$L$2:$L$1055,CostLines!$A$2:$A$1055,$A12)</f>
        <v/>
      </c>
    </row>
    <row r="13">
      <c r="A13" s="16" t="inlineStr">
        <is>
          <t>TN31AC0182</t>
        </is>
      </c>
      <c r="B13" s="16" t="inlineStr">
        <is>
          <t>Yes</t>
        </is>
      </c>
      <c r="C13" s="16" t="inlineStr">
        <is>
          <t>RENT VEHICLE</t>
        </is>
      </c>
      <c r="D13" s="16" t="inlineStr">
        <is>
          <t>20</t>
        </is>
      </c>
      <c r="E13" s="16" t="inlineStr">
        <is>
          <t>TECHNOTEK - WOVEN - I</t>
        </is>
      </c>
      <c r="F13" s="16">
        <f>IF(G13&gt;0,"Yes","No")</f>
        <v/>
      </c>
      <c r="G13" s="16">
        <f>COUNTIFS(CostLines!$A$2:$A$1055,$A13)</f>
        <v/>
      </c>
      <c r="H13" s="13">
        <f>SUMIFS(CostLines!$L$2:$L$1055,CostLines!$A$2:$A$1055,$A13,CostLines!$I$2:$I$1055,README!$B$6)</f>
        <v/>
      </c>
      <c r="I13" s="13">
        <f>SUMIFS(CostLines!$L$2:$L$1055,CostLines!$A$2:$A$1055,$A13)</f>
        <v/>
      </c>
    </row>
    <row r="14">
      <c r="A14" s="16" t="inlineStr">
        <is>
          <t>TN31AY8208</t>
        </is>
      </c>
      <c r="B14" s="16" t="inlineStr">
        <is>
          <t>Yes</t>
        </is>
      </c>
      <c r="C14" s="16" t="inlineStr">
        <is>
          <t>RENT VEHICLE</t>
        </is>
      </c>
      <c r="D14" s="16" t="inlineStr">
        <is>
          <t>20</t>
        </is>
      </c>
      <c r="E14" s="16" t="inlineStr">
        <is>
          <t>TECHNOTEK - WOVEN - I</t>
        </is>
      </c>
      <c r="F14" s="16">
        <f>IF(G14&gt;0,"Yes","No")</f>
        <v/>
      </c>
      <c r="G14" s="16">
        <f>COUNTIFS(CostLines!$A$2:$A$1055,$A14)</f>
        <v/>
      </c>
      <c r="H14" s="13">
        <f>SUMIFS(CostLines!$L$2:$L$1055,CostLines!$A$2:$A$1055,$A14,CostLines!$I$2:$I$1055,README!$B$6)</f>
        <v/>
      </c>
      <c r="I14" s="13">
        <f>SUMIFS(CostLines!$L$2:$L$1055,CostLines!$A$2:$A$1055,$A14)</f>
        <v/>
      </c>
    </row>
    <row r="15">
      <c r="A15" s="16" t="inlineStr">
        <is>
          <t>TN31CD6636</t>
        </is>
      </c>
      <c r="B15" s="16" t="inlineStr">
        <is>
          <t>Yes</t>
        </is>
      </c>
      <c r="C15" s="16" t="inlineStr">
        <is>
          <t>RENT VEHICLE</t>
        </is>
      </c>
      <c r="D15" s="16" t="inlineStr">
        <is>
          <t>20</t>
        </is>
      </c>
      <c r="E15" s="16" t="inlineStr">
        <is>
          <t>TECHNOTEK - GLOVES - I</t>
        </is>
      </c>
      <c r="F15" s="16">
        <f>IF(G15&gt;0,"Yes","No")</f>
        <v/>
      </c>
      <c r="G15" s="16">
        <f>COUNTIFS(CostLines!$A$2:$A$1055,$A15)</f>
        <v/>
      </c>
      <c r="H15" s="13">
        <f>SUMIFS(CostLines!$L$2:$L$1055,CostLines!$A$2:$A$1055,$A15,CostLines!$I$2:$I$1055,README!$B$6)</f>
        <v/>
      </c>
      <c r="I15" s="13">
        <f>SUMIFS(CostLines!$L$2:$L$1055,CostLines!$A$2:$A$1055,$A15)</f>
        <v/>
      </c>
    </row>
    <row r="16">
      <c r="A16" s="16" t="inlineStr">
        <is>
          <t>TN31J6001</t>
        </is>
      </c>
      <c r="B16" s="16" t="inlineStr">
        <is>
          <t>Yes</t>
        </is>
      </c>
      <c r="C16" s="16" t="inlineStr">
        <is>
          <t>RENT VEHICLE</t>
        </is>
      </c>
      <c r="D16" s="16" t="inlineStr">
        <is>
          <t>20</t>
        </is>
      </c>
      <c r="E16" s="16" t="inlineStr">
        <is>
          <t>TECHNOTEK - GLOVES - I</t>
        </is>
      </c>
      <c r="F16" s="16">
        <f>IF(G16&gt;0,"Yes","No")</f>
        <v/>
      </c>
      <c r="G16" s="16">
        <f>COUNTIFS(CostLines!$A$2:$A$1055,$A16)</f>
        <v/>
      </c>
      <c r="H16" s="13">
        <f>SUMIFS(CostLines!$L$2:$L$1055,CostLines!$A$2:$A$1055,$A16,CostLines!$I$2:$I$1055,README!$B$6)</f>
        <v/>
      </c>
      <c r="I16" s="13">
        <f>SUMIFS(CostLines!$L$2:$L$1055,CostLines!$A$2:$A$1055,$A16)</f>
        <v/>
      </c>
    </row>
    <row r="17">
      <c r="A17" s="16" t="inlineStr">
        <is>
          <t>TN32AA4015</t>
        </is>
      </c>
      <c r="B17" s="16" t="inlineStr">
        <is>
          <t>Yes</t>
        </is>
      </c>
      <c r="C17" s="16" t="inlineStr">
        <is>
          <t>RENT VEHICLE</t>
        </is>
      </c>
      <c r="D17" s="16" t="inlineStr">
        <is>
          <t>20</t>
        </is>
      </c>
      <c r="E17" s="16" t="inlineStr">
        <is>
          <t>TECHNOTEK - WOVEN - I</t>
        </is>
      </c>
      <c r="F17" s="16">
        <f>IF(G17&gt;0,"Yes","No")</f>
        <v/>
      </c>
      <c r="G17" s="16">
        <f>COUNTIFS(CostLines!$A$2:$A$1055,$A17)</f>
        <v/>
      </c>
      <c r="H17" s="13">
        <f>SUMIFS(CostLines!$L$2:$L$1055,CostLines!$A$2:$A$1055,$A17,CostLines!$I$2:$I$1055,README!$B$6)</f>
        <v/>
      </c>
      <c r="I17" s="13">
        <f>SUMIFS(CostLines!$L$2:$L$1055,CostLines!$A$2:$A$1055,$A17)</f>
        <v/>
      </c>
    </row>
    <row r="18">
      <c r="A18" s="16" t="inlineStr">
        <is>
          <t>TN32X3929</t>
        </is>
      </c>
      <c r="B18" s="16" t="inlineStr">
        <is>
          <t>Yes</t>
        </is>
      </c>
      <c r="C18" s="16" t="inlineStr">
        <is>
          <t>RENT VEHICLE</t>
        </is>
      </c>
      <c r="D18" s="16" t="inlineStr">
        <is>
          <t>20</t>
        </is>
      </c>
      <c r="E18" s="16" t="inlineStr">
        <is>
          <t>TECHNOTEK - WOVEN - I</t>
        </is>
      </c>
      <c r="F18" s="16">
        <f>IF(G18&gt;0,"Yes","No")</f>
        <v/>
      </c>
      <c r="G18" s="16">
        <f>COUNTIFS(CostLines!$A$2:$A$1055,$A18)</f>
        <v/>
      </c>
      <c r="H18" s="13">
        <f>SUMIFS(CostLines!$L$2:$L$1055,CostLines!$A$2:$A$1055,$A18,CostLines!$I$2:$I$1055,README!$B$6)</f>
        <v/>
      </c>
      <c r="I18" s="13">
        <f>SUMIFS(CostLines!$L$2:$L$1055,CostLines!$A$2:$A$1055,$A18)</f>
        <v/>
      </c>
    </row>
    <row r="19">
      <c r="A19" s="16" t="inlineStr">
        <is>
          <t>TN36L5458</t>
        </is>
      </c>
      <c r="B19" s="16" t="inlineStr">
        <is>
          <t>Yes</t>
        </is>
      </c>
      <c r="C19" s="16" t="inlineStr">
        <is>
          <t>RENT VEHICLE</t>
        </is>
      </c>
      <c r="D19" s="16" t="inlineStr">
        <is>
          <t>20</t>
        </is>
      </c>
      <c r="E19" s="16" t="inlineStr">
        <is>
          <t>TECHNOTEK - WOVEN - I</t>
        </is>
      </c>
      <c r="F19" s="16">
        <f>IF(G19&gt;0,"Yes","No")</f>
        <v/>
      </c>
      <c r="G19" s="16">
        <f>COUNTIFS(CostLines!$A$2:$A$1055,$A19)</f>
        <v/>
      </c>
      <c r="H19" s="13">
        <f>SUMIFS(CostLines!$L$2:$L$1055,CostLines!$A$2:$A$1055,$A19,CostLines!$I$2:$I$1055,README!$B$6)</f>
        <v/>
      </c>
      <c r="I19" s="13">
        <f>SUMIFS(CostLines!$L$2:$L$1055,CostLines!$A$2:$A$1055,$A19)</f>
        <v/>
      </c>
    </row>
    <row r="20">
      <c r="A20" s="16" t="inlineStr">
        <is>
          <t>TN39AP2287</t>
        </is>
      </c>
      <c r="B20" s="16" t="inlineStr">
        <is>
          <t>Yes</t>
        </is>
      </c>
      <c r="C20" s="16" t="inlineStr">
        <is>
          <t>RENT VEHICLE</t>
        </is>
      </c>
      <c r="D20" s="16" t="inlineStr">
        <is>
          <t>20</t>
        </is>
      </c>
      <c r="E20" s="16" t="inlineStr">
        <is>
          <t>GAINUP - GARMENTS - II</t>
        </is>
      </c>
      <c r="F20" s="16">
        <f>IF(G20&gt;0,"Yes","No")</f>
        <v/>
      </c>
      <c r="G20" s="16">
        <f>COUNTIFS(CostLines!$A$2:$A$1055,$A20)</f>
        <v/>
      </c>
      <c r="H20" s="13">
        <f>SUMIFS(CostLines!$L$2:$L$1055,CostLines!$A$2:$A$1055,$A20,CostLines!$I$2:$I$1055,README!$B$6)</f>
        <v/>
      </c>
      <c r="I20" s="13">
        <f>SUMIFS(CostLines!$L$2:$L$1055,CostLines!$A$2:$A$1055,$A20)</f>
        <v/>
      </c>
    </row>
    <row r="21">
      <c r="A21" s="16" t="inlineStr">
        <is>
          <t>TN39AZ4680</t>
        </is>
      </c>
      <c r="B21" s="16" t="inlineStr">
        <is>
          <t>Yes</t>
        </is>
      </c>
      <c r="C21" s="16" t="inlineStr">
        <is>
          <t>RENT VEHICLE</t>
        </is>
      </c>
      <c r="D21" s="16" t="inlineStr">
        <is>
          <t>20</t>
        </is>
      </c>
      <c r="E21" s="16" t="inlineStr">
        <is>
          <t>TECHNOTEK - WOVEN - I</t>
        </is>
      </c>
      <c r="F21" s="16">
        <f>IF(G21&gt;0,"Yes","No")</f>
        <v/>
      </c>
      <c r="G21" s="16">
        <f>COUNTIFS(CostLines!$A$2:$A$1055,$A21)</f>
        <v/>
      </c>
      <c r="H21" s="13">
        <f>SUMIFS(CostLines!$L$2:$L$1055,CostLines!$A$2:$A$1055,$A21,CostLines!$I$2:$I$1055,README!$B$6)</f>
        <v/>
      </c>
      <c r="I21" s="13">
        <f>SUMIFS(CostLines!$L$2:$L$1055,CostLines!$A$2:$A$1055,$A21)</f>
        <v/>
      </c>
    </row>
    <row r="22">
      <c r="A22" s="16" t="inlineStr">
        <is>
          <t>TN40W3708</t>
        </is>
      </c>
      <c r="B22" s="16" t="inlineStr">
        <is>
          <t>Yes</t>
        </is>
      </c>
      <c r="C22" s="16" t="inlineStr">
        <is>
          <t>RENT VEHICLE</t>
        </is>
      </c>
      <c r="D22" s="16" t="inlineStr">
        <is>
          <t>20</t>
        </is>
      </c>
      <c r="E22" s="16" t="inlineStr">
        <is>
          <t>TECHNOTEK - GLOVES - I</t>
        </is>
      </c>
      <c r="F22" s="16">
        <f>IF(G22&gt;0,"Yes","No")</f>
        <v/>
      </c>
      <c r="G22" s="16">
        <f>COUNTIFS(CostLines!$A$2:$A$1055,$A22)</f>
        <v/>
      </c>
      <c r="H22" s="13">
        <f>SUMIFS(CostLines!$L$2:$L$1055,CostLines!$A$2:$A$1055,$A22,CostLines!$I$2:$I$1055,README!$B$6)</f>
        <v/>
      </c>
      <c r="I22" s="13">
        <f>SUMIFS(CostLines!$L$2:$L$1055,CostLines!$A$2:$A$1055,$A22)</f>
        <v/>
      </c>
    </row>
    <row r="23">
      <c r="A23" s="16" t="inlineStr">
        <is>
          <t>TN41S5818</t>
        </is>
      </c>
      <c r="B23" s="16" t="inlineStr">
        <is>
          <t>Yes</t>
        </is>
      </c>
      <c r="C23" s="16" t="inlineStr">
        <is>
          <t>RENT VEHICLE</t>
        </is>
      </c>
      <c r="D23" s="16" t="inlineStr">
        <is>
          <t>20</t>
        </is>
      </c>
      <c r="E23" s="16" t="inlineStr">
        <is>
          <t>TECHNOTEK - WOVEN - I</t>
        </is>
      </c>
      <c r="F23" s="16">
        <f>IF(G23&gt;0,"Yes","No")</f>
        <v/>
      </c>
      <c r="G23" s="16">
        <f>COUNTIFS(CostLines!$A$2:$A$1055,$A23)</f>
        <v/>
      </c>
      <c r="H23" s="13">
        <f>SUMIFS(CostLines!$L$2:$L$1055,CostLines!$A$2:$A$1055,$A23,CostLines!$I$2:$I$1055,README!$B$6)</f>
        <v/>
      </c>
      <c r="I23" s="13">
        <f>SUMIFS(CostLines!$L$2:$L$1055,CostLines!$A$2:$A$1055,$A23)</f>
        <v/>
      </c>
    </row>
    <row r="24">
      <c r="A24" s="16" t="inlineStr">
        <is>
          <t>TN41T5270</t>
        </is>
      </c>
      <c r="B24" s="16" t="inlineStr">
        <is>
          <t>Yes</t>
        </is>
      </c>
      <c r="C24" s="16" t="inlineStr">
        <is>
          <t>RENT VEHICLE</t>
        </is>
      </c>
      <c r="D24" s="16" t="inlineStr">
        <is>
          <t>20</t>
        </is>
      </c>
      <c r="E24" s="16" t="inlineStr">
        <is>
          <t>TECHNOTEK - GLOVES - I</t>
        </is>
      </c>
      <c r="F24" s="16">
        <f>IF(G24&gt;0,"Yes","No")</f>
        <v/>
      </c>
      <c r="G24" s="16">
        <f>COUNTIFS(CostLines!$A$2:$A$1055,$A24)</f>
        <v/>
      </c>
      <c r="H24" s="13">
        <f>SUMIFS(CostLines!$L$2:$L$1055,CostLines!$A$2:$A$1055,$A24,CostLines!$I$2:$I$1055,README!$B$6)</f>
        <v/>
      </c>
      <c r="I24" s="13">
        <f>SUMIFS(CostLines!$L$2:$L$1055,CostLines!$A$2:$A$1055,$A24)</f>
        <v/>
      </c>
    </row>
    <row r="25">
      <c r="A25" s="16" t="inlineStr">
        <is>
          <t>TN41W8996</t>
        </is>
      </c>
      <c r="B25" s="16" t="inlineStr">
        <is>
          <t>Yes</t>
        </is>
      </c>
      <c r="C25" s="16" t="inlineStr">
        <is>
          <t>RENT VEHICLE</t>
        </is>
      </c>
      <c r="D25" s="16" t="inlineStr">
        <is>
          <t>20</t>
        </is>
      </c>
      <c r="E25" s="16" t="inlineStr">
        <is>
          <t>TECHNOTEK - GLOVES - I</t>
        </is>
      </c>
      <c r="F25" s="16">
        <f>IF(G25&gt;0,"Yes","No")</f>
        <v/>
      </c>
      <c r="G25" s="16">
        <f>COUNTIFS(CostLines!$A$2:$A$1055,$A25)</f>
        <v/>
      </c>
      <c r="H25" s="13">
        <f>SUMIFS(CostLines!$L$2:$L$1055,CostLines!$A$2:$A$1055,$A25,CostLines!$I$2:$I$1055,README!$B$6)</f>
        <v/>
      </c>
      <c r="I25" s="13">
        <f>SUMIFS(CostLines!$L$2:$L$1055,CostLines!$A$2:$A$1055,$A25)</f>
        <v/>
      </c>
    </row>
    <row r="26">
      <c r="A26" s="16" t="inlineStr">
        <is>
          <t>TN42A3533</t>
        </is>
      </c>
      <c r="B26" s="16" t="inlineStr">
        <is>
          <t>Yes</t>
        </is>
      </c>
      <c r="C26" s="16" t="inlineStr">
        <is>
          <t>RENT VEHICLE</t>
        </is>
      </c>
      <c r="D26" s="16" t="inlineStr">
        <is>
          <t>20</t>
        </is>
      </c>
      <c r="E26" s="16" t="inlineStr">
        <is>
          <t>TECHNOTEK - GLOVES - I</t>
        </is>
      </c>
      <c r="F26" s="16">
        <f>IF(G26&gt;0,"Yes","No")</f>
        <v/>
      </c>
      <c r="G26" s="16">
        <f>COUNTIFS(CostLines!$A$2:$A$1055,$A26)</f>
        <v/>
      </c>
      <c r="H26" s="13">
        <f>SUMIFS(CostLines!$L$2:$L$1055,CostLines!$A$2:$A$1055,$A26,CostLines!$I$2:$I$1055,README!$B$6)</f>
        <v/>
      </c>
      <c r="I26" s="13">
        <f>SUMIFS(CostLines!$L$2:$L$1055,CostLines!$A$2:$A$1055,$A26)</f>
        <v/>
      </c>
    </row>
    <row r="27">
      <c r="A27" s="16" t="inlineStr">
        <is>
          <t>TN45AP3948</t>
        </is>
      </c>
      <c r="B27" s="16" t="inlineStr">
        <is>
          <t>Yes</t>
        </is>
      </c>
      <c r="C27" s="16" t="inlineStr">
        <is>
          <t>RENT VEHICLE</t>
        </is>
      </c>
      <c r="D27" s="16" t="inlineStr">
        <is>
          <t>20</t>
        </is>
      </c>
      <c r="E27" s="16" t="inlineStr">
        <is>
          <t>GAINUP - GARMENTS - II</t>
        </is>
      </c>
      <c r="F27" s="16">
        <f>IF(G27&gt;0,"Yes","No")</f>
        <v/>
      </c>
      <c r="G27" s="16">
        <f>COUNTIFS(CostLines!$A$2:$A$1055,$A27)</f>
        <v/>
      </c>
      <c r="H27" s="13">
        <f>SUMIFS(CostLines!$L$2:$L$1055,CostLines!$A$2:$A$1055,$A27,CostLines!$I$2:$I$1055,README!$B$6)</f>
        <v/>
      </c>
      <c r="I27" s="13">
        <f>SUMIFS(CostLines!$L$2:$L$1055,CostLines!$A$2:$A$1055,$A27)</f>
        <v/>
      </c>
    </row>
    <row r="28">
      <c r="A28" s="16" t="inlineStr">
        <is>
          <t>TN46F3361</t>
        </is>
      </c>
      <c r="B28" s="16" t="inlineStr">
        <is>
          <t>Yes</t>
        </is>
      </c>
      <c r="C28" s="16" t="inlineStr">
        <is>
          <t>RENT VEHICLE</t>
        </is>
      </c>
      <c r="D28" s="16" t="inlineStr">
        <is>
          <t>20</t>
        </is>
      </c>
      <c r="E28" s="16" t="inlineStr">
        <is>
          <t>TECHNOTEK - WOVEN - I</t>
        </is>
      </c>
      <c r="F28" s="16">
        <f>IF(G28&gt;0,"Yes","No")</f>
        <v/>
      </c>
      <c r="G28" s="16">
        <f>COUNTIFS(CostLines!$A$2:$A$1055,$A28)</f>
        <v/>
      </c>
      <c r="H28" s="13">
        <f>SUMIFS(CostLines!$L$2:$L$1055,CostLines!$A$2:$A$1055,$A28,CostLines!$I$2:$I$1055,README!$B$6)</f>
        <v/>
      </c>
      <c r="I28" s="13">
        <f>SUMIFS(CostLines!$L$2:$L$1055,CostLines!$A$2:$A$1055,$A28)</f>
        <v/>
      </c>
    </row>
    <row r="29">
      <c r="A29" s="16" t="inlineStr">
        <is>
          <t>TN54T2368</t>
        </is>
      </c>
      <c r="B29" s="16" t="inlineStr">
        <is>
          <t>Yes</t>
        </is>
      </c>
      <c r="C29" s="16" t="inlineStr">
        <is>
          <t>RENT VEHICLE</t>
        </is>
      </c>
      <c r="D29" s="16" t="inlineStr">
        <is>
          <t>20</t>
        </is>
      </c>
      <c r="E29" s="16" t="inlineStr">
        <is>
          <t>TECHNOTEK - WOVEN - I</t>
        </is>
      </c>
      <c r="F29" s="16">
        <f>IF(G29&gt;0,"Yes","No")</f>
        <v/>
      </c>
      <c r="G29" s="16">
        <f>COUNTIFS(CostLines!$A$2:$A$1055,$A29)</f>
        <v/>
      </c>
      <c r="H29" s="13">
        <f>SUMIFS(CostLines!$L$2:$L$1055,CostLines!$A$2:$A$1055,$A29,CostLines!$I$2:$I$1055,README!$B$6)</f>
        <v/>
      </c>
      <c r="I29" s="13">
        <f>SUMIFS(CostLines!$L$2:$L$1055,CostLines!$A$2:$A$1055,$A29)</f>
        <v/>
      </c>
    </row>
    <row r="30">
      <c r="A30" s="16" t="inlineStr">
        <is>
          <t>TN57AC3636</t>
        </is>
      </c>
      <c r="B30" s="16" t="inlineStr">
        <is>
          <t>No</t>
        </is>
      </c>
      <c r="C30" s="16" t="n"/>
      <c r="D30" s="16" t="n"/>
      <c r="E30" s="16" t="n"/>
      <c r="F30" s="16">
        <f>IF(G30&gt;0,"Yes","No")</f>
        <v/>
      </c>
      <c r="G30" s="16">
        <f>COUNTIFS(CostLines!$A$2:$A$1055,$A30)</f>
        <v/>
      </c>
      <c r="H30" s="13">
        <f>SUMIFS(CostLines!$L$2:$L$1055,CostLines!$A$2:$A$1055,$A30,CostLines!$I$2:$I$1055,README!$B$6)</f>
        <v/>
      </c>
      <c r="I30" s="13">
        <f>SUMIFS(CostLines!$L$2:$L$1055,CostLines!$A$2:$A$1055,$A30)</f>
        <v/>
      </c>
    </row>
    <row r="31">
      <c r="A31" s="16" t="inlineStr">
        <is>
          <t>TN57AE3636</t>
        </is>
      </c>
      <c r="B31" s="16" t="inlineStr">
        <is>
          <t>Yes</t>
        </is>
      </c>
      <c r="C31" s="16" t="inlineStr">
        <is>
          <t>COMPANY VEHICLE</t>
        </is>
      </c>
      <c r="D31" s="16" t="inlineStr">
        <is>
          <t>41</t>
        </is>
      </c>
      <c r="E31" s="16" t="inlineStr">
        <is>
          <t>GAINUP - SPINNING</t>
        </is>
      </c>
      <c r="F31" s="16">
        <f>IF(G31&gt;0,"Yes","No")</f>
        <v/>
      </c>
      <c r="G31" s="16">
        <f>COUNTIFS(CostLines!$A$2:$A$1055,$A31)</f>
        <v/>
      </c>
      <c r="H31" s="13">
        <f>SUMIFS(CostLines!$L$2:$L$1055,CostLines!$A$2:$A$1055,$A31,CostLines!$I$2:$I$1055,README!$B$6)</f>
        <v/>
      </c>
      <c r="I31" s="13">
        <f>SUMIFS(CostLines!$L$2:$L$1055,CostLines!$A$2:$A$1055,$A31)</f>
        <v/>
      </c>
    </row>
    <row r="32">
      <c r="A32" s="16" t="inlineStr">
        <is>
          <t>TN57AE9806</t>
        </is>
      </c>
      <c r="B32" s="16" t="inlineStr">
        <is>
          <t>No</t>
        </is>
      </c>
      <c r="C32" s="16" t="n"/>
      <c r="D32" s="16" t="n"/>
      <c r="E32" s="16" t="n"/>
      <c r="F32" s="16">
        <f>IF(G32&gt;0,"Yes","No")</f>
        <v/>
      </c>
      <c r="G32" s="16">
        <f>COUNTIFS(CostLines!$A$2:$A$1055,$A32)</f>
        <v/>
      </c>
      <c r="H32" s="13">
        <f>SUMIFS(CostLines!$L$2:$L$1055,CostLines!$A$2:$A$1055,$A32,CostLines!$I$2:$I$1055,README!$B$6)</f>
        <v/>
      </c>
      <c r="I32" s="13">
        <f>SUMIFS(CostLines!$L$2:$L$1055,CostLines!$A$2:$A$1055,$A32)</f>
        <v/>
      </c>
    </row>
    <row r="33">
      <c r="A33" s="16" t="inlineStr">
        <is>
          <t>TN57AF3636</t>
        </is>
      </c>
      <c r="B33" s="16" t="inlineStr">
        <is>
          <t>No</t>
        </is>
      </c>
      <c r="C33" s="16" t="n"/>
      <c r="D33" s="16" t="n"/>
      <c r="E33" s="16" t="n"/>
      <c r="F33" s="16">
        <f>IF(G33&gt;0,"Yes","No")</f>
        <v/>
      </c>
      <c r="G33" s="16">
        <f>COUNTIFS(CostLines!$A$2:$A$1055,$A33)</f>
        <v/>
      </c>
      <c r="H33" s="13">
        <f>SUMIFS(CostLines!$L$2:$L$1055,CostLines!$A$2:$A$1055,$A33,CostLines!$I$2:$I$1055,README!$B$6)</f>
        <v/>
      </c>
      <c r="I33" s="13">
        <f>SUMIFS(CostLines!$L$2:$L$1055,CostLines!$A$2:$A$1055,$A33)</f>
        <v/>
      </c>
    </row>
    <row r="34">
      <c r="A34" s="16" t="inlineStr">
        <is>
          <t>TN57AH3636</t>
        </is>
      </c>
      <c r="B34" s="16" t="inlineStr">
        <is>
          <t>No</t>
        </is>
      </c>
      <c r="C34" s="16" t="n"/>
      <c r="D34" s="16" t="n"/>
      <c r="E34" s="16" t="n"/>
      <c r="F34" s="16">
        <f>IF(G34&gt;0,"Yes","No")</f>
        <v/>
      </c>
      <c r="G34" s="16">
        <f>COUNTIFS(CostLines!$A$2:$A$1055,$A34)</f>
        <v/>
      </c>
      <c r="H34" s="13">
        <f>SUMIFS(CostLines!$L$2:$L$1055,CostLines!$A$2:$A$1055,$A34,CostLines!$I$2:$I$1055,README!$B$6)</f>
        <v/>
      </c>
      <c r="I34" s="13">
        <f>SUMIFS(CostLines!$L$2:$L$1055,CostLines!$A$2:$A$1055,$A34)</f>
        <v/>
      </c>
    </row>
    <row r="35">
      <c r="A35" s="16" t="inlineStr">
        <is>
          <t>TN57AK3636</t>
        </is>
      </c>
      <c r="B35" s="16" t="inlineStr">
        <is>
          <t>No</t>
        </is>
      </c>
      <c r="C35" s="16" t="n"/>
      <c r="D35" s="16" t="n"/>
      <c r="E35" s="16" t="n"/>
      <c r="F35" s="16">
        <f>IF(G35&gt;0,"Yes","No")</f>
        <v/>
      </c>
      <c r="G35" s="16">
        <f>COUNTIFS(CostLines!$A$2:$A$1055,$A35)</f>
        <v/>
      </c>
      <c r="H35" s="13">
        <f>SUMIFS(CostLines!$L$2:$L$1055,CostLines!$A$2:$A$1055,$A35,CostLines!$I$2:$I$1055,README!$B$6)</f>
        <v/>
      </c>
      <c r="I35" s="13">
        <f>SUMIFS(CostLines!$L$2:$L$1055,CostLines!$A$2:$A$1055,$A35)</f>
        <v/>
      </c>
    </row>
    <row r="36">
      <c r="A36" s="16" t="inlineStr">
        <is>
          <t>TN57AM3636</t>
        </is>
      </c>
      <c r="B36" s="16" t="inlineStr">
        <is>
          <t>No</t>
        </is>
      </c>
      <c r="C36" s="16" t="n"/>
      <c r="D36" s="16" t="n"/>
      <c r="E36" s="16" t="n"/>
      <c r="F36" s="16">
        <f>IF(G36&gt;0,"Yes","No")</f>
        <v/>
      </c>
      <c r="G36" s="16">
        <f>COUNTIFS(CostLines!$A$2:$A$1055,$A36)</f>
        <v/>
      </c>
      <c r="H36" s="13">
        <f>SUMIFS(CostLines!$L$2:$L$1055,CostLines!$A$2:$A$1055,$A36,CostLines!$I$2:$I$1055,README!$B$6)</f>
        <v/>
      </c>
      <c r="I36" s="13">
        <f>SUMIFS(CostLines!$L$2:$L$1055,CostLines!$A$2:$A$1055,$A36)</f>
        <v/>
      </c>
    </row>
    <row r="37">
      <c r="A37" s="16" t="inlineStr">
        <is>
          <t>TN57AU3636</t>
        </is>
      </c>
      <c r="B37" s="16" t="inlineStr">
        <is>
          <t>Yes</t>
        </is>
      </c>
      <c r="C37" s="16" t="inlineStr">
        <is>
          <t>COMPANY VEHICLE</t>
        </is>
      </c>
      <c r="D37" s="16" t="inlineStr">
        <is>
          <t>41</t>
        </is>
      </c>
      <c r="E37" s="16" t="inlineStr">
        <is>
          <t>TECHNOTEK - WOVEN - I</t>
        </is>
      </c>
      <c r="F37" s="16">
        <f>IF(G37&gt;0,"Yes","No")</f>
        <v/>
      </c>
      <c r="G37" s="16">
        <f>COUNTIFS(CostLines!$A$2:$A$1055,$A37)</f>
        <v/>
      </c>
      <c r="H37" s="13">
        <f>SUMIFS(CostLines!$L$2:$L$1055,CostLines!$A$2:$A$1055,$A37,CostLines!$I$2:$I$1055,README!$B$6)</f>
        <v/>
      </c>
      <c r="I37" s="13">
        <f>SUMIFS(CostLines!$L$2:$L$1055,CostLines!$A$2:$A$1055,$A37)</f>
        <v/>
      </c>
    </row>
    <row r="38">
      <c r="A38" s="16" t="inlineStr">
        <is>
          <t>TN57BC3636</t>
        </is>
      </c>
      <c r="B38" s="16" t="inlineStr">
        <is>
          <t>Yes</t>
        </is>
      </c>
      <c r="C38" s="16" t="inlineStr">
        <is>
          <t>COMPANY VEHICLE</t>
        </is>
      </c>
      <c r="D38" s="16" t="inlineStr">
        <is>
          <t>49</t>
        </is>
      </c>
      <c r="E38" s="16" t="inlineStr">
        <is>
          <t>TECHNOTEK - WOVEN - I</t>
        </is>
      </c>
      <c r="F38" s="16">
        <f>IF(G38&gt;0,"Yes","No")</f>
        <v/>
      </c>
      <c r="G38" s="16">
        <f>COUNTIFS(CostLines!$A$2:$A$1055,$A38)</f>
        <v/>
      </c>
      <c r="H38" s="13">
        <f>SUMIFS(CostLines!$L$2:$L$1055,CostLines!$A$2:$A$1055,$A38,CostLines!$I$2:$I$1055,README!$B$6)</f>
        <v/>
      </c>
      <c r="I38" s="13">
        <f>SUMIFS(CostLines!$L$2:$L$1055,CostLines!$A$2:$A$1055,$A38)</f>
        <v/>
      </c>
    </row>
    <row r="39">
      <c r="A39" s="16" t="inlineStr">
        <is>
          <t>TN57BE3636</t>
        </is>
      </c>
      <c r="B39" s="16" t="inlineStr">
        <is>
          <t>No</t>
        </is>
      </c>
      <c r="C39" s="16" t="n"/>
      <c r="D39" s="16" t="n"/>
      <c r="E39" s="16" t="n"/>
      <c r="F39" s="16">
        <f>IF(G39&gt;0,"Yes","No")</f>
        <v/>
      </c>
      <c r="G39" s="16">
        <f>COUNTIFS(CostLines!$A$2:$A$1055,$A39)</f>
        <v/>
      </c>
      <c r="H39" s="13">
        <f>SUMIFS(CostLines!$L$2:$L$1055,CostLines!$A$2:$A$1055,$A39,CostLines!$I$2:$I$1055,README!$B$6)</f>
        <v/>
      </c>
      <c r="I39" s="13">
        <f>SUMIFS(CostLines!$L$2:$L$1055,CostLines!$A$2:$A$1055,$A39)</f>
        <v/>
      </c>
    </row>
    <row r="40">
      <c r="A40" s="16" t="inlineStr">
        <is>
          <t>TN57BH3636</t>
        </is>
      </c>
      <c r="B40" s="16" t="inlineStr">
        <is>
          <t>Yes</t>
        </is>
      </c>
      <c r="C40" s="16" t="inlineStr">
        <is>
          <t>COMPANY VEHICLE</t>
        </is>
      </c>
      <c r="D40" s="16" t="inlineStr">
        <is>
          <t>39</t>
        </is>
      </c>
      <c r="E40" s="16" t="inlineStr">
        <is>
          <t>GAINUP - SOCKS - II</t>
        </is>
      </c>
      <c r="F40" s="16">
        <f>IF(G40&gt;0,"Yes","No")</f>
        <v/>
      </c>
      <c r="G40" s="16">
        <f>COUNTIFS(CostLines!$A$2:$A$1055,$A40)</f>
        <v/>
      </c>
      <c r="H40" s="13">
        <f>SUMIFS(CostLines!$L$2:$L$1055,CostLines!$A$2:$A$1055,$A40,CostLines!$I$2:$I$1055,README!$B$6)</f>
        <v/>
      </c>
      <c r="I40" s="13">
        <f>SUMIFS(CostLines!$L$2:$L$1055,CostLines!$A$2:$A$1055,$A40)</f>
        <v/>
      </c>
    </row>
    <row r="41">
      <c r="A41" s="16" t="inlineStr">
        <is>
          <t>TN57BL3636</t>
        </is>
      </c>
      <c r="B41" s="16" t="inlineStr">
        <is>
          <t>No</t>
        </is>
      </c>
      <c r="C41" s="16" t="n"/>
      <c r="D41" s="16" t="n"/>
      <c r="E41" s="16" t="n"/>
      <c r="F41" s="16">
        <f>IF(G41&gt;0,"Yes","No")</f>
        <v/>
      </c>
      <c r="G41" s="16">
        <f>COUNTIFS(CostLines!$A$2:$A$1055,$A41)</f>
        <v/>
      </c>
      <c r="H41" s="13">
        <f>SUMIFS(CostLines!$L$2:$L$1055,CostLines!$A$2:$A$1055,$A41,CostLines!$I$2:$I$1055,README!$B$6)</f>
        <v/>
      </c>
      <c r="I41" s="13">
        <f>SUMIFS(CostLines!$L$2:$L$1055,CostLines!$A$2:$A$1055,$A41)</f>
        <v/>
      </c>
    </row>
    <row r="42">
      <c r="A42" s="16" t="inlineStr">
        <is>
          <t>TN57BM3636</t>
        </is>
      </c>
      <c r="B42" s="16" t="inlineStr">
        <is>
          <t>Yes</t>
        </is>
      </c>
      <c r="C42" s="16" t="inlineStr">
        <is>
          <t>COMPANY VEHICLE</t>
        </is>
      </c>
      <c r="D42" s="16" t="inlineStr">
        <is>
          <t>36</t>
        </is>
      </c>
      <c r="E42" s="16" t="inlineStr">
        <is>
          <t>GAINUP - SPINNING</t>
        </is>
      </c>
      <c r="F42" s="16">
        <f>IF(G42&gt;0,"Yes","No")</f>
        <v/>
      </c>
      <c r="G42" s="16">
        <f>COUNTIFS(CostLines!$A$2:$A$1055,$A42)</f>
        <v/>
      </c>
      <c r="H42" s="13">
        <f>SUMIFS(CostLines!$L$2:$L$1055,CostLines!$A$2:$A$1055,$A42,CostLines!$I$2:$I$1055,README!$B$6)</f>
        <v/>
      </c>
      <c r="I42" s="13">
        <f>SUMIFS(CostLines!$L$2:$L$1055,CostLines!$A$2:$A$1055,$A42)</f>
        <v/>
      </c>
    </row>
    <row r="43">
      <c r="A43" s="16" t="inlineStr">
        <is>
          <t>TN57BP3434</t>
        </is>
      </c>
      <c r="B43" s="16" t="inlineStr">
        <is>
          <t>Yes</t>
        </is>
      </c>
      <c r="C43" s="16" t="inlineStr">
        <is>
          <t>COMPANY VEHICLE</t>
        </is>
      </c>
      <c r="D43" s="16" t="inlineStr">
        <is>
          <t>54</t>
        </is>
      </c>
      <c r="E43" s="16" t="inlineStr">
        <is>
          <t>TECHNOTEK - WOVEN - I</t>
        </is>
      </c>
      <c r="F43" s="16">
        <f>IF(G43&gt;0,"Yes","No")</f>
        <v/>
      </c>
      <c r="G43" s="16">
        <f>COUNTIFS(CostLines!$A$2:$A$1055,$A43)</f>
        <v/>
      </c>
      <c r="H43" s="13">
        <f>SUMIFS(CostLines!$L$2:$L$1055,CostLines!$A$2:$A$1055,$A43,CostLines!$I$2:$I$1055,README!$B$6)</f>
        <v/>
      </c>
      <c r="I43" s="13">
        <f>SUMIFS(CostLines!$L$2:$L$1055,CostLines!$A$2:$A$1055,$A43)</f>
        <v/>
      </c>
    </row>
    <row r="44">
      <c r="A44" s="16" t="inlineStr">
        <is>
          <t>TN57BP3636</t>
        </is>
      </c>
      <c r="B44" s="16" t="inlineStr">
        <is>
          <t>No</t>
        </is>
      </c>
      <c r="C44" s="16" t="n"/>
      <c r="D44" s="16" t="n"/>
      <c r="E44" s="16" t="n"/>
      <c r="F44" s="16">
        <f>IF(G44&gt;0,"Yes","No")</f>
        <v/>
      </c>
      <c r="G44" s="16">
        <f>COUNTIFS(CostLines!$A$2:$A$1055,$A44)</f>
        <v/>
      </c>
      <c r="H44" s="13">
        <f>SUMIFS(CostLines!$L$2:$L$1055,CostLines!$A$2:$A$1055,$A44,CostLines!$I$2:$I$1055,README!$B$6)</f>
        <v/>
      </c>
      <c r="I44" s="13">
        <f>SUMIFS(CostLines!$L$2:$L$1055,CostLines!$A$2:$A$1055,$A44)</f>
        <v/>
      </c>
    </row>
    <row r="45">
      <c r="A45" s="16" t="inlineStr">
        <is>
          <t>TN57BP5356</t>
        </is>
      </c>
      <c r="B45" s="16" t="inlineStr">
        <is>
          <t>No</t>
        </is>
      </c>
      <c r="C45" s="16" t="n"/>
      <c r="D45" s="16" t="n"/>
      <c r="E45" s="16" t="n"/>
      <c r="F45" s="16">
        <f>IF(G45&gt;0,"Yes","No")</f>
        <v/>
      </c>
      <c r="G45" s="16">
        <f>COUNTIFS(CostLines!$A$2:$A$1055,$A45)</f>
        <v/>
      </c>
      <c r="H45" s="13">
        <f>SUMIFS(CostLines!$L$2:$L$1055,CostLines!$A$2:$A$1055,$A45,CostLines!$I$2:$I$1055,README!$B$6)</f>
        <v/>
      </c>
      <c r="I45" s="13">
        <f>SUMIFS(CostLines!$L$2:$L$1055,CostLines!$A$2:$A$1055,$A45)</f>
        <v/>
      </c>
    </row>
    <row r="46">
      <c r="A46" s="16" t="inlineStr">
        <is>
          <t>TN57BQ3434</t>
        </is>
      </c>
      <c r="B46" s="16" t="inlineStr">
        <is>
          <t>Yes</t>
        </is>
      </c>
      <c r="C46" s="16" t="inlineStr">
        <is>
          <t>COMPANY VEHICLE</t>
        </is>
      </c>
      <c r="D46" s="16" t="inlineStr">
        <is>
          <t>54</t>
        </is>
      </c>
      <c r="E46" s="16" t="inlineStr">
        <is>
          <t>TECHNOTEK - GLOVES - I</t>
        </is>
      </c>
      <c r="F46" s="16">
        <f>IF(G46&gt;0,"Yes","No")</f>
        <v/>
      </c>
      <c r="G46" s="16">
        <f>COUNTIFS(CostLines!$A$2:$A$1055,$A46)</f>
        <v/>
      </c>
      <c r="H46" s="13">
        <f>SUMIFS(CostLines!$L$2:$L$1055,CostLines!$A$2:$A$1055,$A46,CostLines!$I$2:$I$1055,README!$B$6)</f>
        <v/>
      </c>
      <c r="I46" s="13">
        <f>SUMIFS(CostLines!$L$2:$L$1055,CostLines!$A$2:$A$1055,$A46)</f>
        <v/>
      </c>
    </row>
    <row r="47">
      <c r="A47" s="16" t="inlineStr">
        <is>
          <t>TN57BQ3636</t>
        </is>
      </c>
      <c r="B47" s="16" t="inlineStr">
        <is>
          <t>Yes</t>
        </is>
      </c>
      <c r="C47" s="16" t="inlineStr">
        <is>
          <t>COMPANY VEHICLE</t>
        </is>
      </c>
      <c r="D47" s="16" t="inlineStr">
        <is>
          <t>36</t>
        </is>
      </c>
      <c r="E47" s="16" t="inlineStr">
        <is>
          <t>GAINUP - SOCKS - I</t>
        </is>
      </c>
      <c r="F47" s="16">
        <f>IF(G47&gt;0,"Yes","No")</f>
        <v/>
      </c>
      <c r="G47" s="16">
        <f>COUNTIFS(CostLines!$A$2:$A$1055,$A47)</f>
        <v/>
      </c>
      <c r="H47" s="13">
        <f>SUMIFS(CostLines!$L$2:$L$1055,CostLines!$A$2:$A$1055,$A47,CostLines!$I$2:$I$1055,README!$B$6)</f>
        <v/>
      </c>
      <c r="I47" s="13">
        <f>SUMIFS(CostLines!$L$2:$L$1055,CostLines!$A$2:$A$1055,$A47)</f>
        <v/>
      </c>
    </row>
    <row r="48">
      <c r="A48" s="16" t="inlineStr">
        <is>
          <t>TN57BR3434</t>
        </is>
      </c>
      <c r="B48" s="16" t="inlineStr">
        <is>
          <t>Yes</t>
        </is>
      </c>
      <c r="C48" s="16" t="inlineStr">
        <is>
          <t>COMPANY VEHICLE</t>
        </is>
      </c>
      <c r="D48" s="16" t="inlineStr">
        <is>
          <t>54</t>
        </is>
      </c>
      <c r="E48" s="16" t="inlineStr">
        <is>
          <t>GAINUP - SPINNING</t>
        </is>
      </c>
      <c r="F48" s="16">
        <f>IF(G48&gt;0,"Yes","No")</f>
        <v/>
      </c>
      <c r="G48" s="16">
        <f>COUNTIFS(CostLines!$A$2:$A$1055,$A48)</f>
        <v/>
      </c>
      <c r="H48" s="13">
        <f>SUMIFS(CostLines!$L$2:$L$1055,CostLines!$A$2:$A$1055,$A48,CostLines!$I$2:$I$1055,README!$B$6)</f>
        <v/>
      </c>
      <c r="I48" s="13">
        <f>SUMIFS(CostLines!$L$2:$L$1055,CostLines!$A$2:$A$1055,$A48)</f>
        <v/>
      </c>
    </row>
    <row r="49">
      <c r="A49" s="16" t="inlineStr">
        <is>
          <t>TN57BS3142</t>
        </is>
      </c>
      <c r="B49" s="16" t="inlineStr">
        <is>
          <t>No</t>
        </is>
      </c>
      <c r="C49" s="16" t="n"/>
      <c r="D49" s="16" t="n"/>
      <c r="E49" s="16" t="n"/>
      <c r="F49" s="16">
        <f>IF(G49&gt;0,"Yes","No")</f>
        <v/>
      </c>
      <c r="G49" s="16">
        <f>COUNTIFS(CostLines!$A$2:$A$1055,$A49)</f>
        <v/>
      </c>
      <c r="H49" s="13">
        <f>SUMIFS(CostLines!$L$2:$L$1055,CostLines!$A$2:$A$1055,$A49,CostLines!$I$2:$I$1055,README!$B$6)</f>
        <v/>
      </c>
      <c r="I49" s="13">
        <f>SUMIFS(CostLines!$L$2:$L$1055,CostLines!$A$2:$A$1055,$A49)</f>
        <v/>
      </c>
    </row>
    <row r="50">
      <c r="A50" s="16" t="inlineStr">
        <is>
          <t>TN57BS3434</t>
        </is>
      </c>
      <c r="B50" s="16" t="inlineStr">
        <is>
          <t>Yes</t>
        </is>
      </c>
      <c r="C50" s="16" t="inlineStr">
        <is>
          <t>COMPANY VEHICLE</t>
        </is>
      </c>
      <c r="D50" s="16" t="inlineStr">
        <is>
          <t>54</t>
        </is>
      </c>
      <c r="E50" s="16" t="inlineStr">
        <is>
          <t>TECHNOTEK - GLOVES - I</t>
        </is>
      </c>
      <c r="F50" s="16">
        <f>IF(G50&gt;0,"Yes","No")</f>
        <v/>
      </c>
      <c r="G50" s="16">
        <f>COUNTIFS(CostLines!$A$2:$A$1055,$A50)</f>
        <v/>
      </c>
      <c r="H50" s="13">
        <f>SUMIFS(CostLines!$L$2:$L$1055,CostLines!$A$2:$A$1055,$A50,CostLines!$I$2:$I$1055,README!$B$6)</f>
        <v/>
      </c>
      <c r="I50" s="13">
        <f>SUMIFS(CostLines!$L$2:$L$1055,CostLines!$A$2:$A$1055,$A50)</f>
        <v/>
      </c>
    </row>
    <row r="51">
      <c r="A51" s="16" t="inlineStr">
        <is>
          <t>TN57BS3636</t>
        </is>
      </c>
      <c r="B51" s="16" t="inlineStr">
        <is>
          <t>No</t>
        </is>
      </c>
      <c r="C51" s="16" t="n"/>
      <c r="D51" s="16" t="n"/>
      <c r="E51" s="16" t="n"/>
      <c r="F51" s="16">
        <f>IF(G51&gt;0,"Yes","No")</f>
        <v/>
      </c>
      <c r="G51" s="16">
        <f>COUNTIFS(CostLines!$A$2:$A$1055,$A51)</f>
        <v/>
      </c>
      <c r="H51" s="13">
        <f>SUMIFS(CostLines!$L$2:$L$1055,CostLines!$A$2:$A$1055,$A51,CostLines!$I$2:$I$1055,README!$B$6)</f>
        <v/>
      </c>
      <c r="I51" s="13">
        <f>SUMIFS(CostLines!$L$2:$L$1055,CostLines!$A$2:$A$1055,$A51)</f>
        <v/>
      </c>
    </row>
    <row r="52">
      <c r="A52" s="16" t="inlineStr">
        <is>
          <t>TN57BS8404</t>
        </is>
      </c>
      <c r="B52" s="16" t="inlineStr">
        <is>
          <t>No</t>
        </is>
      </c>
      <c r="C52" s="16" t="n"/>
      <c r="D52" s="16" t="n"/>
      <c r="E52" s="16" t="n"/>
      <c r="F52" s="16">
        <f>IF(G52&gt;0,"Yes","No")</f>
        <v/>
      </c>
      <c r="G52" s="16">
        <f>COUNTIFS(CostLines!$A$2:$A$1055,$A52)</f>
        <v/>
      </c>
      <c r="H52" s="13">
        <f>SUMIFS(CostLines!$L$2:$L$1055,CostLines!$A$2:$A$1055,$A52,CostLines!$I$2:$I$1055,README!$B$6)</f>
        <v/>
      </c>
      <c r="I52" s="13">
        <f>SUMIFS(CostLines!$L$2:$L$1055,CostLines!$A$2:$A$1055,$A52)</f>
        <v/>
      </c>
    </row>
    <row r="53">
      <c r="A53" s="16" t="inlineStr">
        <is>
          <t>TN57BX3636</t>
        </is>
      </c>
      <c r="B53" s="16" t="inlineStr">
        <is>
          <t>No</t>
        </is>
      </c>
      <c r="C53" s="16" t="n"/>
      <c r="D53" s="16" t="n"/>
      <c r="E53" s="16" t="n"/>
      <c r="F53" s="16">
        <f>IF(G53&gt;0,"Yes","No")</f>
        <v/>
      </c>
      <c r="G53" s="16">
        <f>COUNTIFS(CostLines!$A$2:$A$1055,$A53)</f>
        <v/>
      </c>
      <c r="H53" s="13">
        <f>SUMIFS(CostLines!$L$2:$L$1055,CostLines!$A$2:$A$1055,$A53,CostLines!$I$2:$I$1055,README!$B$6)</f>
        <v/>
      </c>
      <c r="I53" s="13">
        <f>SUMIFS(CostLines!$L$2:$L$1055,CostLines!$A$2:$A$1055,$A53)</f>
        <v/>
      </c>
    </row>
    <row r="54">
      <c r="A54" s="16" t="inlineStr">
        <is>
          <t>TN57CA3434</t>
        </is>
      </c>
      <c r="B54" s="16" t="inlineStr">
        <is>
          <t>Yes</t>
        </is>
      </c>
      <c r="C54" s="16" t="inlineStr">
        <is>
          <t>COMPANY VEHICLE</t>
        </is>
      </c>
      <c r="D54" s="16" t="inlineStr">
        <is>
          <t>54</t>
        </is>
      </c>
      <c r="E54" s="16" t="inlineStr">
        <is>
          <t>GAINUP - SPINNING</t>
        </is>
      </c>
      <c r="F54" s="16">
        <f>IF(G54&gt;0,"Yes","No")</f>
        <v/>
      </c>
      <c r="G54" s="16">
        <f>COUNTIFS(CostLines!$A$2:$A$1055,$A54)</f>
        <v/>
      </c>
      <c r="H54" s="13">
        <f>SUMIFS(CostLines!$L$2:$L$1055,CostLines!$A$2:$A$1055,$A54,CostLines!$I$2:$I$1055,README!$B$6)</f>
        <v/>
      </c>
      <c r="I54" s="13">
        <f>SUMIFS(CostLines!$L$2:$L$1055,CostLines!$A$2:$A$1055,$A54)</f>
        <v/>
      </c>
    </row>
    <row r="55">
      <c r="A55" s="16" t="inlineStr">
        <is>
          <t>TN57CA3636</t>
        </is>
      </c>
      <c r="B55" s="16" t="inlineStr">
        <is>
          <t>Yes</t>
        </is>
      </c>
      <c r="C55" s="16" t="inlineStr">
        <is>
          <t>COMPANY VEHICLE</t>
        </is>
      </c>
      <c r="D55" s="16" t="inlineStr">
        <is>
          <t>49</t>
        </is>
      </c>
      <c r="E55" s="16" t="inlineStr">
        <is>
          <t>GAINUP - GARMENTS - I</t>
        </is>
      </c>
      <c r="F55" s="16">
        <f>IF(G55&gt;0,"Yes","No")</f>
        <v/>
      </c>
      <c r="G55" s="16">
        <f>COUNTIFS(CostLines!$A$2:$A$1055,$A55)</f>
        <v/>
      </c>
      <c r="H55" s="13">
        <f>SUMIFS(CostLines!$L$2:$L$1055,CostLines!$A$2:$A$1055,$A55,CostLines!$I$2:$I$1055,README!$B$6)</f>
        <v/>
      </c>
      <c r="I55" s="13">
        <f>SUMIFS(CostLines!$L$2:$L$1055,CostLines!$A$2:$A$1055,$A55)</f>
        <v/>
      </c>
    </row>
    <row r="56">
      <c r="A56" s="16" t="inlineStr">
        <is>
          <t>TN57CB3434</t>
        </is>
      </c>
      <c r="B56" s="16" t="inlineStr">
        <is>
          <t>Yes</t>
        </is>
      </c>
      <c r="C56" s="16" t="inlineStr">
        <is>
          <t>COMPANY VEHICLE</t>
        </is>
      </c>
      <c r="D56" s="16" t="inlineStr">
        <is>
          <t>54</t>
        </is>
      </c>
      <c r="E56" s="16" t="inlineStr">
        <is>
          <t>GAINUP - GARMENTS - I</t>
        </is>
      </c>
      <c r="F56" s="16">
        <f>IF(G56&gt;0,"Yes","No")</f>
        <v/>
      </c>
      <c r="G56" s="16">
        <f>COUNTIFS(CostLines!$A$2:$A$1055,$A56)</f>
        <v/>
      </c>
      <c r="H56" s="13">
        <f>SUMIFS(CostLines!$L$2:$L$1055,CostLines!$A$2:$A$1055,$A56,CostLines!$I$2:$I$1055,README!$B$6)</f>
        <v/>
      </c>
      <c r="I56" s="13">
        <f>SUMIFS(CostLines!$L$2:$L$1055,CostLines!$A$2:$A$1055,$A56)</f>
        <v/>
      </c>
    </row>
    <row r="57">
      <c r="A57" s="16" t="inlineStr">
        <is>
          <t>TN57CB3636</t>
        </is>
      </c>
      <c r="B57" s="16" t="inlineStr">
        <is>
          <t>Yes</t>
        </is>
      </c>
      <c r="C57" s="16" t="inlineStr">
        <is>
          <t>COMPANY VEHICLE</t>
        </is>
      </c>
      <c r="D57" s="16" t="inlineStr">
        <is>
          <t>49</t>
        </is>
      </c>
      <c r="E57" s="16" t="inlineStr">
        <is>
          <t>GAINUP - SOCKS - II</t>
        </is>
      </c>
      <c r="F57" s="16">
        <f>IF(G57&gt;0,"Yes","No")</f>
        <v/>
      </c>
      <c r="G57" s="16">
        <f>COUNTIFS(CostLines!$A$2:$A$1055,$A57)</f>
        <v/>
      </c>
      <c r="H57" s="13">
        <f>SUMIFS(CostLines!$L$2:$L$1055,CostLines!$A$2:$A$1055,$A57,CostLines!$I$2:$I$1055,README!$B$6)</f>
        <v/>
      </c>
      <c r="I57" s="13">
        <f>SUMIFS(CostLines!$L$2:$L$1055,CostLines!$A$2:$A$1055,$A57)</f>
        <v/>
      </c>
    </row>
    <row r="58">
      <c r="A58" s="16" t="inlineStr">
        <is>
          <t>TN57CC3636</t>
        </is>
      </c>
      <c r="B58" s="16" t="inlineStr">
        <is>
          <t>Yes</t>
        </is>
      </c>
      <c r="C58" s="16" t="inlineStr">
        <is>
          <t>COMPANY VEHICLE</t>
        </is>
      </c>
      <c r="D58" s="16" t="inlineStr">
        <is>
          <t>49</t>
        </is>
      </c>
      <c r="E58" s="16" t="inlineStr">
        <is>
          <t>TECHNOTEK - WOVEN - I</t>
        </is>
      </c>
      <c r="F58" s="16">
        <f>IF(G58&gt;0,"Yes","No")</f>
        <v/>
      </c>
      <c r="G58" s="16">
        <f>COUNTIFS(CostLines!$A$2:$A$1055,$A58)</f>
        <v/>
      </c>
      <c r="H58" s="13">
        <f>SUMIFS(CostLines!$L$2:$L$1055,CostLines!$A$2:$A$1055,$A58,CostLines!$I$2:$I$1055,README!$B$6)</f>
        <v/>
      </c>
      <c r="I58" s="13">
        <f>SUMIFS(CostLines!$L$2:$L$1055,CostLines!$A$2:$A$1055,$A58)</f>
        <v/>
      </c>
    </row>
    <row r="59">
      <c r="A59" s="16" t="inlineStr">
        <is>
          <t>TN57CD3434</t>
        </is>
      </c>
      <c r="B59" s="16" t="inlineStr">
        <is>
          <t>Yes</t>
        </is>
      </c>
      <c r="C59" s="16" t="inlineStr">
        <is>
          <t>COMPANY VEHICLE</t>
        </is>
      </c>
      <c r="D59" s="16" t="inlineStr">
        <is>
          <t>54</t>
        </is>
      </c>
      <c r="E59" s="16" t="inlineStr">
        <is>
          <t>GAINUP - GARMENTS - I</t>
        </is>
      </c>
      <c r="F59" s="16">
        <f>IF(G59&gt;0,"Yes","No")</f>
        <v/>
      </c>
      <c r="G59" s="16">
        <f>COUNTIFS(CostLines!$A$2:$A$1055,$A59)</f>
        <v/>
      </c>
      <c r="H59" s="13">
        <f>SUMIFS(CostLines!$L$2:$L$1055,CostLines!$A$2:$A$1055,$A59,CostLines!$I$2:$I$1055,README!$B$6)</f>
        <v/>
      </c>
      <c r="I59" s="13">
        <f>SUMIFS(CostLines!$L$2:$L$1055,CostLines!$A$2:$A$1055,$A59)</f>
        <v/>
      </c>
    </row>
    <row r="60">
      <c r="A60" s="16" t="inlineStr">
        <is>
          <t>TN57CD3636</t>
        </is>
      </c>
      <c r="B60" s="16" t="inlineStr">
        <is>
          <t>No</t>
        </is>
      </c>
      <c r="C60" s="16" t="n"/>
      <c r="D60" s="16" t="n"/>
      <c r="E60" s="16" t="n"/>
      <c r="F60" s="16">
        <f>IF(G60&gt;0,"Yes","No")</f>
        <v/>
      </c>
      <c r="G60" s="16">
        <f>COUNTIFS(CostLines!$A$2:$A$1055,$A60)</f>
        <v/>
      </c>
      <c r="H60" s="13">
        <f>SUMIFS(CostLines!$L$2:$L$1055,CostLines!$A$2:$A$1055,$A60,CostLines!$I$2:$I$1055,README!$B$6)</f>
        <v/>
      </c>
      <c r="I60" s="13">
        <f>SUMIFS(CostLines!$L$2:$L$1055,CostLines!$A$2:$A$1055,$A60)</f>
        <v/>
      </c>
    </row>
    <row r="61">
      <c r="A61" s="16" t="inlineStr">
        <is>
          <t>TN57CE3434</t>
        </is>
      </c>
      <c r="B61" s="16" t="inlineStr">
        <is>
          <t>Yes</t>
        </is>
      </c>
      <c r="C61" s="16" t="inlineStr">
        <is>
          <t>COMPANY VEHICLE</t>
        </is>
      </c>
      <c r="D61" s="16" t="inlineStr">
        <is>
          <t>54</t>
        </is>
      </c>
      <c r="E61" s="16" t="inlineStr">
        <is>
          <t>TECHNOTEK - WOVEN - I</t>
        </is>
      </c>
      <c r="F61" s="16">
        <f>IF(G61&gt;0,"Yes","No")</f>
        <v/>
      </c>
      <c r="G61" s="16">
        <f>COUNTIFS(CostLines!$A$2:$A$1055,$A61)</f>
        <v/>
      </c>
      <c r="H61" s="13">
        <f>SUMIFS(CostLines!$L$2:$L$1055,CostLines!$A$2:$A$1055,$A61,CostLines!$I$2:$I$1055,README!$B$6)</f>
        <v/>
      </c>
      <c r="I61" s="13">
        <f>SUMIFS(CostLines!$L$2:$L$1055,CostLines!$A$2:$A$1055,$A61)</f>
        <v/>
      </c>
    </row>
    <row r="62">
      <c r="A62" s="16" t="inlineStr">
        <is>
          <t>TN57CE3636</t>
        </is>
      </c>
      <c r="B62" s="16" t="inlineStr">
        <is>
          <t>Yes</t>
        </is>
      </c>
      <c r="C62" s="16" t="inlineStr">
        <is>
          <t>COMPANY VEHICLE</t>
        </is>
      </c>
      <c r="D62" s="16" t="inlineStr">
        <is>
          <t>54</t>
        </is>
      </c>
      <c r="E62" s="16" t="inlineStr">
        <is>
          <t>GAINUP - SPINNING</t>
        </is>
      </c>
      <c r="F62" s="16">
        <f>IF(G62&gt;0,"Yes","No")</f>
        <v/>
      </c>
      <c r="G62" s="16">
        <f>COUNTIFS(CostLines!$A$2:$A$1055,$A62)</f>
        <v/>
      </c>
      <c r="H62" s="13">
        <f>SUMIFS(CostLines!$L$2:$L$1055,CostLines!$A$2:$A$1055,$A62,CostLines!$I$2:$I$1055,README!$B$6)</f>
        <v/>
      </c>
      <c r="I62" s="13">
        <f>SUMIFS(CostLines!$L$2:$L$1055,CostLines!$A$2:$A$1055,$A62)</f>
        <v/>
      </c>
    </row>
    <row r="63">
      <c r="A63" s="16" t="inlineStr">
        <is>
          <t>TN57CF3434</t>
        </is>
      </c>
      <c r="B63" s="16" t="inlineStr">
        <is>
          <t>Yes</t>
        </is>
      </c>
      <c r="C63" s="16" t="inlineStr">
        <is>
          <t>COMPANY VEHICLE</t>
        </is>
      </c>
      <c r="D63" s="16" t="inlineStr">
        <is>
          <t>54</t>
        </is>
      </c>
      <c r="E63" s="16" t="inlineStr">
        <is>
          <t>TECHNOTEK - GLOVES - I</t>
        </is>
      </c>
      <c r="F63" s="16">
        <f>IF(G63&gt;0,"Yes","No")</f>
        <v/>
      </c>
      <c r="G63" s="16">
        <f>COUNTIFS(CostLines!$A$2:$A$1055,$A63)</f>
        <v/>
      </c>
      <c r="H63" s="13">
        <f>SUMIFS(CostLines!$L$2:$L$1055,CostLines!$A$2:$A$1055,$A63,CostLines!$I$2:$I$1055,README!$B$6)</f>
        <v/>
      </c>
      <c r="I63" s="13">
        <f>SUMIFS(CostLines!$L$2:$L$1055,CostLines!$A$2:$A$1055,$A63)</f>
        <v/>
      </c>
    </row>
    <row r="64">
      <c r="A64" s="16" t="inlineStr">
        <is>
          <t>TN57CF3636</t>
        </is>
      </c>
      <c r="B64" s="16" t="inlineStr">
        <is>
          <t>Yes</t>
        </is>
      </c>
      <c r="C64" s="16" t="inlineStr">
        <is>
          <t>COMPANY VEHICLE</t>
        </is>
      </c>
      <c r="D64" s="16" t="inlineStr">
        <is>
          <t>54</t>
        </is>
      </c>
      <c r="E64" s="16" t="inlineStr">
        <is>
          <t>TECHNOTEK - GLOVES - I</t>
        </is>
      </c>
      <c r="F64" s="16">
        <f>IF(G64&gt;0,"Yes","No")</f>
        <v/>
      </c>
      <c r="G64" s="16">
        <f>COUNTIFS(CostLines!$A$2:$A$1055,$A64)</f>
        <v/>
      </c>
      <c r="H64" s="13">
        <f>SUMIFS(CostLines!$L$2:$L$1055,CostLines!$A$2:$A$1055,$A64,CostLines!$I$2:$I$1055,README!$B$6)</f>
        <v/>
      </c>
      <c r="I64" s="13">
        <f>SUMIFS(CostLines!$L$2:$L$1055,CostLines!$A$2:$A$1055,$A64)</f>
        <v/>
      </c>
    </row>
    <row r="65">
      <c r="A65" s="16" t="inlineStr">
        <is>
          <t>TN57CH3636</t>
        </is>
      </c>
      <c r="B65" s="16" t="inlineStr">
        <is>
          <t>Yes</t>
        </is>
      </c>
      <c r="C65" s="16" t="inlineStr">
        <is>
          <t>COMPANY VEHICLE</t>
        </is>
      </c>
      <c r="D65" s="16" t="inlineStr">
        <is>
          <t>54</t>
        </is>
      </c>
      <c r="E65" s="16" t="inlineStr">
        <is>
          <t>TECHNOTEK - WOVEN - I</t>
        </is>
      </c>
      <c r="F65" s="16">
        <f>IF(G65&gt;0,"Yes","No")</f>
        <v/>
      </c>
      <c r="G65" s="16">
        <f>COUNTIFS(CostLines!$A$2:$A$1055,$A65)</f>
        <v/>
      </c>
      <c r="H65" s="13">
        <f>SUMIFS(CostLines!$L$2:$L$1055,CostLines!$A$2:$A$1055,$A65,CostLines!$I$2:$I$1055,README!$B$6)</f>
        <v/>
      </c>
      <c r="I65" s="13">
        <f>SUMIFS(CostLines!$L$2:$L$1055,CostLines!$A$2:$A$1055,$A65)</f>
        <v/>
      </c>
    </row>
    <row r="66">
      <c r="A66" s="16" t="inlineStr">
        <is>
          <t>TN57CJ3434</t>
        </is>
      </c>
      <c r="B66" s="16" t="inlineStr">
        <is>
          <t>Yes</t>
        </is>
      </c>
      <c r="C66" s="16" t="inlineStr">
        <is>
          <t>COMPANY VEHICLE</t>
        </is>
      </c>
      <c r="D66" s="16" t="inlineStr">
        <is>
          <t>54</t>
        </is>
      </c>
      <c r="E66" s="16" t="inlineStr">
        <is>
          <t>GAINUP - GARMENTS - II</t>
        </is>
      </c>
      <c r="F66" s="16">
        <f>IF(G66&gt;0,"Yes","No")</f>
        <v/>
      </c>
      <c r="G66" s="16">
        <f>COUNTIFS(CostLines!$A$2:$A$1055,$A66)</f>
        <v/>
      </c>
      <c r="H66" s="13">
        <f>SUMIFS(CostLines!$L$2:$L$1055,CostLines!$A$2:$A$1055,$A66,CostLines!$I$2:$I$1055,README!$B$6)</f>
        <v/>
      </c>
      <c r="I66" s="13">
        <f>SUMIFS(CostLines!$L$2:$L$1055,CostLines!$A$2:$A$1055,$A66)</f>
        <v/>
      </c>
    </row>
    <row r="67">
      <c r="A67" s="16" t="inlineStr">
        <is>
          <t>TN57CJ3636</t>
        </is>
      </c>
      <c r="B67" s="16" t="inlineStr">
        <is>
          <t>Yes</t>
        </is>
      </c>
      <c r="C67" s="16" t="inlineStr">
        <is>
          <t>COMPANY VEHICLE</t>
        </is>
      </c>
      <c r="D67" s="16" t="inlineStr">
        <is>
          <t>54</t>
        </is>
      </c>
      <c r="E67" s="16" t="inlineStr">
        <is>
          <t>GAINUP - GARMENTS - II</t>
        </is>
      </c>
      <c r="F67" s="16">
        <f>IF(G67&gt;0,"Yes","No")</f>
        <v/>
      </c>
      <c r="G67" s="16">
        <f>COUNTIFS(CostLines!$A$2:$A$1055,$A67)</f>
        <v/>
      </c>
      <c r="H67" s="13">
        <f>SUMIFS(CostLines!$L$2:$L$1055,CostLines!$A$2:$A$1055,$A67,CostLines!$I$2:$I$1055,README!$B$6)</f>
        <v/>
      </c>
      <c r="I67" s="13">
        <f>SUMIFS(CostLines!$L$2:$L$1055,CostLines!$A$2:$A$1055,$A67)</f>
        <v/>
      </c>
    </row>
    <row r="68">
      <c r="A68" s="16" t="inlineStr">
        <is>
          <t>TN57CK3434</t>
        </is>
      </c>
      <c r="B68" s="16" t="inlineStr">
        <is>
          <t>Yes</t>
        </is>
      </c>
      <c r="C68" s="16" t="inlineStr">
        <is>
          <t>COMPANY VEHICLE</t>
        </is>
      </c>
      <c r="D68" s="16" t="inlineStr">
        <is>
          <t>54</t>
        </is>
      </c>
      <c r="E68" s="16" t="inlineStr">
        <is>
          <t>GAINUP - GARMENTS</t>
        </is>
      </c>
      <c r="F68" s="16">
        <f>IF(G68&gt;0,"Yes","No")</f>
        <v/>
      </c>
      <c r="G68" s="16">
        <f>COUNTIFS(CostLines!$A$2:$A$1055,$A68)</f>
        <v/>
      </c>
      <c r="H68" s="13">
        <f>SUMIFS(CostLines!$L$2:$L$1055,CostLines!$A$2:$A$1055,$A68,CostLines!$I$2:$I$1055,README!$B$6)</f>
        <v/>
      </c>
      <c r="I68" s="13">
        <f>SUMIFS(CostLines!$L$2:$L$1055,CostLines!$A$2:$A$1055,$A68)</f>
        <v/>
      </c>
    </row>
    <row r="69">
      <c r="A69" s="16" t="inlineStr">
        <is>
          <t>TN57CK3636</t>
        </is>
      </c>
      <c r="B69" s="16" t="inlineStr">
        <is>
          <t>Yes</t>
        </is>
      </c>
      <c r="C69" s="16" t="inlineStr">
        <is>
          <t>COMPANY VEHICLE</t>
        </is>
      </c>
      <c r="D69" s="16" t="inlineStr">
        <is>
          <t>54</t>
        </is>
      </c>
      <c r="E69" s="16" t="inlineStr">
        <is>
          <t>GAINUP - SOCKS - I</t>
        </is>
      </c>
      <c r="F69" s="16">
        <f>IF(G69&gt;0,"Yes","No")</f>
        <v/>
      </c>
      <c r="G69" s="16">
        <f>COUNTIFS(CostLines!$A$2:$A$1055,$A69)</f>
        <v/>
      </c>
      <c r="H69" s="13">
        <f>SUMIFS(CostLines!$L$2:$L$1055,CostLines!$A$2:$A$1055,$A69,CostLines!$I$2:$I$1055,README!$B$6)</f>
        <v/>
      </c>
      <c r="I69" s="13">
        <f>SUMIFS(CostLines!$L$2:$L$1055,CostLines!$A$2:$A$1055,$A69)</f>
        <v/>
      </c>
    </row>
    <row r="70">
      <c r="A70" s="16" t="inlineStr">
        <is>
          <t>TN57CL3434</t>
        </is>
      </c>
      <c r="B70" s="16" t="inlineStr">
        <is>
          <t>Yes</t>
        </is>
      </c>
      <c r="C70" s="16" t="inlineStr">
        <is>
          <t>COMPANY VEHICLE</t>
        </is>
      </c>
      <c r="D70" s="16" t="inlineStr">
        <is>
          <t>54</t>
        </is>
      </c>
      <c r="E70" s="16" t="inlineStr">
        <is>
          <t>TECHNOTEK - WOVEN - I</t>
        </is>
      </c>
      <c r="F70" s="16">
        <f>IF(G70&gt;0,"Yes","No")</f>
        <v/>
      </c>
      <c r="G70" s="16">
        <f>COUNTIFS(CostLines!$A$2:$A$1055,$A70)</f>
        <v/>
      </c>
      <c r="H70" s="13">
        <f>SUMIFS(CostLines!$L$2:$L$1055,CostLines!$A$2:$A$1055,$A70,CostLines!$I$2:$I$1055,README!$B$6)</f>
        <v/>
      </c>
      <c r="I70" s="13">
        <f>SUMIFS(CostLines!$L$2:$L$1055,CostLines!$A$2:$A$1055,$A70)</f>
        <v/>
      </c>
    </row>
    <row r="71">
      <c r="A71" s="16" t="inlineStr">
        <is>
          <t>TN57CL3636</t>
        </is>
      </c>
      <c r="B71" s="16" t="inlineStr">
        <is>
          <t>No</t>
        </is>
      </c>
      <c r="C71" s="16" t="n"/>
      <c r="D71" s="16" t="n"/>
      <c r="E71" s="16" t="n"/>
      <c r="F71" s="16">
        <f>IF(G71&gt;0,"Yes","No")</f>
        <v/>
      </c>
      <c r="G71" s="16">
        <f>COUNTIFS(CostLines!$A$2:$A$1055,$A71)</f>
        <v/>
      </c>
      <c r="H71" s="13">
        <f>SUMIFS(CostLines!$L$2:$L$1055,CostLines!$A$2:$A$1055,$A71,CostLines!$I$2:$I$1055,README!$B$6)</f>
        <v/>
      </c>
      <c r="I71" s="13">
        <f>SUMIFS(CostLines!$L$2:$L$1055,CostLines!$A$2:$A$1055,$A71)</f>
        <v/>
      </c>
    </row>
    <row r="72">
      <c r="A72" s="16" t="inlineStr">
        <is>
          <t>TN57CM3636</t>
        </is>
      </c>
      <c r="B72" s="16" t="inlineStr">
        <is>
          <t>No</t>
        </is>
      </c>
      <c r="C72" s="16" t="n"/>
      <c r="D72" s="16" t="n"/>
      <c r="E72" s="16" t="n"/>
      <c r="F72" s="16">
        <f>IF(G72&gt;0,"Yes","No")</f>
        <v/>
      </c>
      <c r="G72" s="16">
        <f>COUNTIFS(CostLines!$A$2:$A$1055,$A72)</f>
        <v/>
      </c>
      <c r="H72" s="13">
        <f>SUMIFS(CostLines!$L$2:$L$1055,CostLines!$A$2:$A$1055,$A72,CostLines!$I$2:$I$1055,README!$B$6)</f>
        <v/>
      </c>
      <c r="I72" s="13">
        <f>SUMIFS(CostLines!$L$2:$L$1055,CostLines!$A$2:$A$1055,$A72)</f>
        <v/>
      </c>
    </row>
    <row r="73">
      <c r="A73" s="16" t="inlineStr">
        <is>
          <t>TN57L8446</t>
        </is>
      </c>
      <c r="B73" s="16" t="inlineStr">
        <is>
          <t>Yes</t>
        </is>
      </c>
      <c r="C73" s="16" t="inlineStr">
        <is>
          <t>RENT VEHICLE</t>
        </is>
      </c>
      <c r="D73" s="16" t="inlineStr">
        <is>
          <t>20</t>
        </is>
      </c>
      <c r="E73" s="16" t="inlineStr">
        <is>
          <t>TECHNOTEK - WOVEN - I</t>
        </is>
      </c>
      <c r="F73" s="16">
        <f>IF(G73&gt;0,"Yes","No")</f>
        <v/>
      </c>
      <c r="G73" s="16">
        <f>COUNTIFS(CostLines!$A$2:$A$1055,$A73)</f>
        <v/>
      </c>
      <c r="H73" s="13">
        <f>SUMIFS(CostLines!$L$2:$L$1055,CostLines!$A$2:$A$1055,$A73,CostLines!$I$2:$I$1055,README!$B$6)</f>
        <v/>
      </c>
      <c r="I73" s="13">
        <f>SUMIFS(CostLines!$L$2:$L$1055,CostLines!$A$2:$A$1055,$A73)</f>
        <v/>
      </c>
    </row>
    <row r="74">
      <c r="A74" s="16" t="inlineStr">
        <is>
          <t>TN57P6909</t>
        </is>
      </c>
      <c r="B74" s="16" t="inlineStr">
        <is>
          <t>Yes</t>
        </is>
      </c>
      <c r="C74" s="16" t="inlineStr">
        <is>
          <t>RENT VEHICLE</t>
        </is>
      </c>
      <c r="D74" s="16" t="inlineStr">
        <is>
          <t>20</t>
        </is>
      </c>
      <c r="E74" s="16" t="inlineStr">
        <is>
          <t>GAINUP - GARMENTS - II</t>
        </is>
      </c>
      <c r="F74" s="16">
        <f>IF(G74&gt;0,"Yes","No")</f>
        <v/>
      </c>
      <c r="G74" s="16">
        <f>COUNTIFS(CostLines!$A$2:$A$1055,$A74)</f>
        <v/>
      </c>
      <c r="H74" s="13">
        <f>SUMIFS(CostLines!$L$2:$L$1055,CostLines!$A$2:$A$1055,$A74,CostLines!$I$2:$I$1055,README!$B$6)</f>
        <v/>
      </c>
      <c r="I74" s="13">
        <f>SUMIFS(CostLines!$L$2:$L$1055,CostLines!$A$2:$A$1055,$A74)</f>
        <v/>
      </c>
    </row>
    <row r="75">
      <c r="A75" s="16" t="inlineStr">
        <is>
          <t>TN58BC3494</t>
        </is>
      </c>
      <c r="B75" s="16" t="inlineStr">
        <is>
          <t>Yes</t>
        </is>
      </c>
      <c r="C75" s="16" t="inlineStr">
        <is>
          <t>RENT VEHICLE</t>
        </is>
      </c>
      <c r="D75" s="16" t="inlineStr">
        <is>
          <t>20</t>
        </is>
      </c>
      <c r="E75" s="16" t="inlineStr">
        <is>
          <t>TECHNOTEK - WOVEN - I</t>
        </is>
      </c>
      <c r="F75" s="16">
        <f>IF(G75&gt;0,"Yes","No")</f>
        <v/>
      </c>
      <c r="G75" s="16">
        <f>COUNTIFS(CostLines!$A$2:$A$1055,$A75)</f>
        <v/>
      </c>
      <c r="H75" s="13">
        <f>SUMIFS(CostLines!$L$2:$L$1055,CostLines!$A$2:$A$1055,$A75,CostLines!$I$2:$I$1055,README!$B$6)</f>
        <v/>
      </c>
      <c r="I75" s="13">
        <f>SUMIFS(CostLines!$L$2:$L$1055,CostLines!$A$2:$A$1055,$A75)</f>
        <v/>
      </c>
    </row>
    <row r="76">
      <c r="A76" s="16" t="inlineStr">
        <is>
          <t>TN58BJ3434</t>
        </is>
      </c>
      <c r="B76" s="16" t="inlineStr">
        <is>
          <t>No</t>
        </is>
      </c>
      <c r="C76" s="16" t="n"/>
      <c r="D76" s="16" t="n"/>
      <c r="E76" s="16" t="n"/>
      <c r="F76" s="16">
        <f>IF(G76&gt;0,"Yes","No")</f>
        <v/>
      </c>
      <c r="G76" s="16">
        <f>COUNTIFS(CostLines!$A$2:$A$1055,$A76)</f>
        <v/>
      </c>
      <c r="H76" s="13">
        <f>SUMIFS(CostLines!$L$2:$L$1055,CostLines!$A$2:$A$1055,$A76,CostLines!$I$2:$I$1055,README!$B$6)</f>
        <v/>
      </c>
      <c r="I76" s="13">
        <f>SUMIFS(CostLines!$L$2:$L$1055,CostLines!$A$2:$A$1055,$A76)</f>
        <v/>
      </c>
    </row>
    <row r="77">
      <c r="A77" s="16" t="inlineStr">
        <is>
          <t>TN58BJ3636</t>
        </is>
      </c>
      <c r="B77" s="16" t="inlineStr">
        <is>
          <t>No</t>
        </is>
      </c>
      <c r="C77" s="16" t="n"/>
      <c r="D77" s="16" t="n"/>
      <c r="E77" s="16" t="n"/>
      <c r="F77" s="16">
        <f>IF(G77&gt;0,"Yes","No")</f>
        <v/>
      </c>
      <c r="G77" s="16">
        <f>COUNTIFS(CostLines!$A$2:$A$1055,$A77)</f>
        <v/>
      </c>
      <c r="H77" s="13">
        <f>SUMIFS(CostLines!$L$2:$L$1055,CostLines!$A$2:$A$1055,$A77,CostLines!$I$2:$I$1055,README!$B$6)</f>
        <v/>
      </c>
      <c r="I77" s="13">
        <f>SUMIFS(CostLines!$L$2:$L$1055,CostLines!$A$2:$A$1055,$A77)</f>
        <v/>
      </c>
    </row>
    <row r="78">
      <c r="A78" s="16" t="inlineStr">
        <is>
          <t>TN58BK3434</t>
        </is>
      </c>
      <c r="B78" s="16" t="inlineStr">
        <is>
          <t>No</t>
        </is>
      </c>
      <c r="C78" s="16" t="n"/>
      <c r="D78" s="16" t="n"/>
      <c r="E78" s="16" t="n"/>
      <c r="F78" s="16">
        <f>IF(G78&gt;0,"Yes","No")</f>
        <v/>
      </c>
      <c r="G78" s="16">
        <f>COUNTIFS(CostLines!$A$2:$A$1055,$A78)</f>
        <v/>
      </c>
      <c r="H78" s="13">
        <f>SUMIFS(CostLines!$L$2:$L$1055,CostLines!$A$2:$A$1055,$A78,CostLines!$I$2:$I$1055,README!$B$6)</f>
        <v/>
      </c>
      <c r="I78" s="13">
        <f>SUMIFS(CostLines!$L$2:$L$1055,CostLines!$A$2:$A$1055,$A78)</f>
        <v/>
      </c>
    </row>
    <row r="79">
      <c r="A79" s="16" t="inlineStr">
        <is>
          <t>TN58BK3636</t>
        </is>
      </c>
      <c r="B79" s="16" t="inlineStr">
        <is>
          <t>Yes</t>
        </is>
      </c>
      <c r="C79" s="16" t="inlineStr">
        <is>
          <t>COMPANY VEHICLE</t>
        </is>
      </c>
      <c r="D79" s="16" t="inlineStr">
        <is>
          <t>54</t>
        </is>
      </c>
      <c r="E79" s="16" t="inlineStr">
        <is>
          <t>GAINUP - GARMENTS</t>
        </is>
      </c>
      <c r="F79" s="16">
        <f>IF(G79&gt;0,"Yes","No")</f>
        <v/>
      </c>
      <c r="G79" s="16">
        <f>COUNTIFS(CostLines!$A$2:$A$1055,$A79)</f>
        <v/>
      </c>
      <c r="H79" s="13">
        <f>SUMIFS(CostLines!$L$2:$L$1055,CostLines!$A$2:$A$1055,$A79,CostLines!$I$2:$I$1055,README!$B$6)</f>
        <v/>
      </c>
      <c r="I79" s="13">
        <f>SUMIFS(CostLines!$L$2:$L$1055,CostLines!$A$2:$A$1055,$A79)</f>
        <v/>
      </c>
    </row>
    <row r="80">
      <c r="A80" s="16" t="inlineStr">
        <is>
          <t>TN58BL3434</t>
        </is>
      </c>
      <c r="B80" s="16" t="inlineStr">
        <is>
          <t>Yes</t>
        </is>
      </c>
      <c r="C80" s="16" t="inlineStr">
        <is>
          <t>COMPANY VEHICLE</t>
        </is>
      </c>
      <c r="D80" s="16" t="inlineStr">
        <is>
          <t>54</t>
        </is>
      </c>
      <c r="E80" s="16" t="inlineStr">
        <is>
          <t>TECHNOTEK - WOVEN - I</t>
        </is>
      </c>
      <c r="F80" s="16">
        <f>IF(G80&gt;0,"Yes","No")</f>
        <v/>
      </c>
      <c r="G80" s="16">
        <f>COUNTIFS(CostLines!$A$2:$A$1055,$A80)</f>
        <v/>
      </c>
      <c r="H80" s="13">
        <f>SUMIFS(CostLines!$L$2:$L$1055,CostLines!$A$2:$A$1055,$A80,CostLines!$I$2:$I$1055,README!$B$6)</f>
        <v/>
      </c>
      <c r="I80" s="13">
        <f>SUMIFS(CostLines!$L$2:$L$1055,CostLines!$A$2:$A$1055,$A80)</f>
        <v/>
      </c>
    </row>
    <row r="81">
      <c r="A81" s="16" t="inlineStr">
        <is>
          <t>TN58BL3636</t>
        </is>
      </c>
      <c r="B81" s="16" t="inlineStr">
        <is>
          <t>Yes</t>
        </is>
      </c>
      <c r="C81" s="16" t="inlineStr">
        <is>
          <t>COMPANY VEHICLE</t>
        </is>
      </c>
      <c r="D81" s="16" t="inlineStr">
        <is>
          <t>54</t>
        </is>
      </c>
      <c r="E81" s="16" t="inlineStr">
        <is>
          <t>GAINUP - GARMENTS - I</t>
        </is>
      </c>
      <c r="F81" s="16">
        <f>IF(G81&gt;0,"Yes","No")</f>
        <v/>
      </c>
      <c r="G81" s="16">
        <f>COUNTIFS(CostLines!$A$2:$A$1055,$A81)</f>
        <v/>
      </c>
      <c r="H81" s="13">
        <f>SUMIFS(CostLines!$L$2:$L$1055,CostLines!$A$2:$A$1055,$A81,CostLines!$I$2:$I$1055,README!$B$6)</f>
        <v/>
      </c>
      <c r="I81" s="13">
        <f>SUMIFS(CostLines!$L$2:$L$1055,CostLines!$A$2:$A$1055,$A81)</f>
        <v/>
      </c>
    </row>
    <row r="82">
      <c r="A82" s="16" t="inlineStr">
        <is>
          <t>TN58BM3434</t>
        </is>
      </c>
      <c r="B82" s="16" t="inlineStr">
        <is>
          <t>Yes</t>
        </is>
      </c>
      <c r="C82" s="16" t="inlineStr">
        <is>
          <t>COMPANY VEHICLE</t>
        </is>
      </c>
      <c r="D82" s="16" t="inlineStr">
        <is>
          <t>54</t>
        </is>
      </c>
      <c r="E82" s="16" t="inlineStr">
        <is>
          <t>TECHNOTEK - WOVEN - I</t>
        </is>
      </c>
      <c r="F82" s="16">
        <f>IF(G82&gt;0,"Yes","No")</f>
        <v/>
      </c>
      <c r="G82" s="16">
        <f>COUNTIFS(CostLines!$A$2:$A$1055,$A82)</f>
        <v/>
      </c>
      <c r="H82" s="13">
        <f>SUMIFS(CostLines!$L$2:$L$1055,CostLines!$A$2:$A$1055,$A82,CostLines!$I$2:$I$1055,README!$B$6)</f>
        <v/>
      </c>
      <c r="I82" s="13">
        <f>SUMIFS(CostLines!$L$2:$L$1055,CostLines!$A$2:$A$1055,$A82)</f>
        <v/>
      </c>
    </row>
    <row r="83">
      <c r="A83" s="16" t="inlineStr">
        <is>
          <t>TN58BM3636</t>
        </is>
      </c>
      <c r="B83" s="16" t="inlineStr">
        <is>
          <t>Yes</t>
        </is>
      </c>
      <c r="C83" s="16" t="inlineStr">
        <is>
          <t>COMPANY VEHICLE</t>
        </is>
      </c>
      <c r="D83" s="16" t="inlineStr">
        <is>
          <t>54</t>
        </is>
      </c>
      <c r="E83" s="16" t="inlineStr">
        <is>
          <t>GAINUP - GARMENTS - I</t>
        </is>
      </c>
      <c r="F83" s="16">
        <f>IF(G83&gt;0,"Yes","No")</f>
        <v/>
      </c>
      <c r="G83" s="16">
        <f>COUNTIFS(CostLines!$A$2:$A$1055,$A83)</f>
        <v/>
      </c>
      <c r="H83" s="13">
        <f>SUMIFS(CostLines!$L$2:$L$1055,CostLines!$A$2:$A$1055,$A83,CostLines!$I$2:$I$1055,README!$B$6)</f>
        <v/>
      </c>
      <c r="I83" s="13">
        <f>SUMIFS(CostLines!$L$2:$L$1055,CostLines!$A$2:$A$1055,$A83)</f>
        <v/>
      </c>
    </row>
    <row r="84">
      <c r="A84" s="16" t="inlineStr">
        <is>
          <t>TN58BP3434</t>
        </is>
      </c>
      <c r="B84" s="16" t="inlineStr">
        <is>
          <t>Yes</t>
        </is>
      </c>
      <c r="C84" s="16" t="inlineStr">
        <is>
          <t>COMPANY VEHICLE</t>
        </is>
      </c>
      <c r="D84" s="16" t="inlineStr">
        <is>
          <t>54</t>
        </is>
      </c>
      <c r="E84" s="16" t="inlineStr">
        <is>
          <t>TECHNOTEK - GLOVES - I</t>
        </is>
      </c>
      <c r="F84" s="16">
        <f>IF(G84&gt;0,"Yes","No")</f>
        <v/>
      </c>
      <c r="G84" s="16">
        <f>COUNTIFS(CostLines!$A$2:$A$1055,$A84)</f>
        <v/>
      </c>
      <c r="H84" s="13">
        <f>SUMIFS(CostLines!$L$2:$L$1055,CostLines!$A$2:$A$1055,$A84,CostLines!$I$2:$I$1055,README!$B$6)</f>
        <v/>
      </c>
      <c r="I84" s="13">
        <f>SUMIFS(CostLines!$L$2:$L$1055,CostLines!$A$2:$A$1055,$A84)</f>
        <v/>
      </c>
    </row>
    <row r="85">
      <c r="A85" s="16" t="inlineStr">
        <is>
          <t>TN58BP3636</t>
        </is>
      </c>
      <c r="B85" s="16" t="inlineStr">
        <is>
          <t>No</t>
        </is>
      </c>
      <c r="C85" s="16" t="n"/>
      <c r="D85" s="16" t="n"/>
      <c r="E85" s="16" t="n"/>
      <c r="F85" s="16">
        <f>IF(G85&gt;0,"Yes","No")</f>
        <v/>
      </c>
      <c r="G85" s="16">
        <f>COUNTIFS(CostLines!$A$2:$A$1055,$A85)</f>
        <v/>
      </c>
      <c r="H85" s="13">
        <f>SUMIFS(CostLines!$L$2:$L$1055,CostLines!$A$2:$A$1055,$A85,CostLines!$I$2:$I$1055,README!$B$6)</f>
        <v/>
      </c>
      <c r="I85" s="13">
        <f>SUMIFS(CostLines!$L$2:$L$1055,CostLines!$A$2:$A$1055,$A85)</f>
        <v/>
      </c>
    </row>
    <row r="86">
      <c r="A86" s="16" t="inlineStr">
        <is>
          <t>TN58BQ3434</t>
        </is>
      </c>
      <c r="B86" s="16" t="inlineStr">
        <is>
          <t>No</t>
        </is>
      </c>
      <c r="C86" s="16" t="n"/>
      <c r="D86" s="16" t="n"/>
      <c r="E86" s="16" t="n"/>
      <c r="F86" s="16">
        <f>IF(G86&gt;0,"Yes","No")</f>
        <v/>
      </c>
      <c r="G86" s="16">
        <f>COUNTIFS(CostLines!$A$2:$A$1055,$A86)</f>
        <v/>
      </c>
      <c r="H86" s="13">
        <f>SUMIFS(CostLines!$L$2:$L$1055,CostLines!$A$2:$A$1055,$A86,CostLines!$I$2:$I$1055,README!$B$6)</f>
        <v/>
      </c>
      <c r="I86" s="13">
        <f>SUMIFS(CostLines!$L$2:$L$1055,CostLines!$A$2:$A$1055,$A86)</f>
        <v/>
      </c>
    </row>
    <row r="87">
      <c r="A87" s="16" t="inlineStr">
        <is>
          <t>TN58BQ3636</t>
        </is>
      </c>
      <c r="B87" s="16" t="inlineStr">
        <is>
          <t>No</t>
        </is>
      </c>
      <c r="C87" s="16" t="n"/>
      <c r="D87" s="16" t="n"/>
      <c r="E87" s="16" t="n"/>
      <c r="F87" s="16">
        <f>IF(G87&gt;0,"Yes","No")</f>
        <v/>
      </c>
      <c r="G87" s="16">
        <f>COUNTIFS(CostLines!$A$2:$A$1055,$A87)</f>
        <v/>
      </c>
      <c r="H87" s="13">
        <f>SUMIFS(CostLines!$L$2:$L$1055,CostLines!$A$2:$A$1055,$A87,CostLines!$I$2:$I$1055,README!$B$6)</f>
        <v/>
      </c>
      <c r="I87" s="13">
        <f>SUMIFS(CostLines!$L$2:$L$1055,CostLines!$A$2:$A$1055,$A87)</f>
        <v/>
      </c>
    </row>
    <row r="88">
      <c r="A88" s="16" t="inlineStr">
        <is>
          <t>TN58BR3434</t>
        </is>
      </c>
      <c r="B88" s="16" t="inlineStr">
        <is>
          <t>Yes</t>
        </is>
      </c>
      <c r="C88" s="16" t="inlineStr">
        <is>
          <t>COMPANY VEHICLE</t>
        </is>
      </c>
      <c r="D88" s="16" t="inlineStr">
        <is>
          <t>54</t>
        </is>
      </c>
      <c r="E88" s="16" t="inlineStr">
        <is>
          <t>GAINUP - SOCKS - I</t>
        </is>
      </c>
      <c r="F88" s="16">
        <f>IF(G88&gt;0,"Yes","No")</f>
        <v/>
      </c>
      <c r="G88" s="16">
        <f>COUNTIFS(CostLines!$A$2:$A$1055,$A88)</f>
        <v/>
      </c>
      <c r="H88" s="13">
        <f>SUMIFS(CostLines!$L$2:$L$1055,CostLines!$A$2:$A$1055,$A88,CostLines!$I$2:$I$1055,README!$B$6)</f>
        <v/>
      </c>
      <c r="I88" s="13">
        <f>SUMIFS(CostLines!$L$2:$L$1055,CostLines!$A$2:$A$1055,$A88)</f>
        <v/>
      </c>
    </row>
    <row r="89">
      <c r="A89" s="16" t="inlineStr">
        <is>
          <t>TN58BR3636</t>
        </is>
      </c>
      <c r="B89" s="16" t="inlineStr">
        <is>
          <t>No</t>
        </is>
      </c>
      <c r="C89" s="16" t="n"/>
      <c r="D89" s="16" t="n"/>
      <c r="E89" s="16" t="n"/>
      <c r="F89" s="16">
        <f>IF(G89&gt;0,"Yes","No")</f>
        <v/>
      </c>
      <c r="G89" s="16">
        <f>COUNTIFS(CostLines!$A$2:$A$1055,$A89)</f>
        <v/>
      </c>
      <c r="H89" s="13">
        <f>SUMIFS(CostLines!$L$2:$L$1055,CostLines!$A$2:$A$1055,$A89,CostLines!$I$2:$I$1055,README!$B$6)</f>
        <v/>
      </c>
      <c r="I89" s="13">
        <f>SUMIFS(CostLines!$L$2:$L$1055,CostLines!$A$2:$A$1055,$A89)</f>
        <v/>
      </c>
    </row>
    <row r="90">
      <c r="A90" s="16" t="inlineStr">
        <is>
          <t>TN58BS3434</t>
        </is>
      </c>
      <c r="B90" s="16" t="inlineStr">
        <is>
          <t>Yes</t>
        </is>
      </c>
      <c r="C90" s="16" t="inlineStr">
        <is>
          <t>COMPANY VEHICLE</t>
        </is>
      </c>
      <c r="D90" s="16" t="inlineStr">
        <is>
          <t>54</t>
        </is>
      </c>
      <c r="E90" s="16" t="inlineStr">
        <is>
          <t>GAINUP - GARMENTS - I</t>
        </is>
      </c>
      <c r="F90" s="16">
        <f>IF(G90&gt;0,"Yes","No")</f>
        <v/>
      </c>
      <c r="G90" s="16">
        <f>COUNTIFS(CostLines!$A$2:$A$1055,$A90)</f>
        <v/>
      </c>
      <c r="H90" s="13">
        <f>SUMIFS(CostLines!$L$2:$L$1055,CostLines!$A$2:$A$1055,$A90,CostLines!$I$2:$I$1055,README!$B$6)</f>
        <v/>
      </c>
      <c r="I90" s="13">
        <f>SUMIFS(CostLines!$L$2:$L$1055,CostLines!$A$2:$A$1055,$A90)</f>
        <v/>
      </c>
    </row>
    <row r="91">
      <c r="A91" s="16" t="inlineStr">
        <is>
          <t>TN58BS3636</t>
        </is>
      </c>
      <c r="B91" s="16" t="inlineStr">
        <is>
          <t>No</t>
        </is>
      </c>
      <c r="C91" s="16" t="n"/>
      <c r="D91" s="16" t="n"/>
      <c r="E91" s="16" t="n"/>
      <c r="F91" s="16">
        <f>IF(G91&gt;0,"Yes","No")</f>
        <v/>
      </c>
      <c r="G91" s="16">
        <f>COUNTIFS(CostLines!$A$2:$A$1055,$A91)</f>
        <v/>
      </c>
      <c r="H91" s="13">
        <f>SUMIFS(CostLines!$L$2:$L$1055,CostLines!$A$2:$A$1055,$A91,CostLines!$I$2:$I$1055,README!$B$6)</f>
        <v/>
      </c>
      <c r="I91" s="13">
        <f>SUMIFS(CostLines!$L$2:$L$1055,CostLines!$A$2:$A$1055,$A91)</f>
        <v/>
      </c>
    </row>
    <row r="92">
      <c r="A92" s="16" t="inlineStr">
        <is>
          <t>TN58CA3636</t>
        </is>
      </c>
      <c r="B92" s="16" t="inlineStr">
        <is>
          <t>No</t>
        </is>
      </c>
      <c r="C92" s="16" t="n"/>
      <c r="D92" s="16" t="n"/>
      <c r="E92" s="16" t="n"/>
      <c r="F92" s="16">
        <f>IF(G92&gt;0,"Yes","No")</f>
        <v/>
      </c>
      <c r="G92" s="16">
        <f>COUNTIFS(CostLines!$A$2:$A$1055,$A92)</f>
        <v/>
      </c>
      <c r="H92" s="13">
        <f>SUMIFS(CostLines!$L$2:$L$1055,CostLines!$A$2:$A$1055,$A92,CostLines!$I$2:$I$1055,README!$B$6)</f>
        <v/>
      </c>
      <c r="I92" s="13">
        <f>SUMIFS(CostLines!$L$2:$L$1055,CostLines!$A$2:$A$1055,$A92)</f>
        <v/>
      </c>
    </row>
    <row r="93">
      <c r="A93" s="16" t="inlineStr">
        <is>
          <t>TN58S5303</t>
        </is>
      </c>
      <c r="B93" s="16" t="inlineStr">
        <is>
          <t>Yes</t>
        </is>
      </c>
      <c r="C93" s="16" t="inlineStr">
        <is>
          <t>RENT VEHICLE</t>
        </is>
      </c>
      <c r="D93" s="16" t="inlineStr">
        <is>
          <t>20</t>
        </is>
      </c>
      <c r="E93" s="16" t="inlineStr">
        <is>
          <t>TECHNOTEK - HEADWEAR - I</t>
        </is>
      </c>
      <c r="F93" s="16">
        <f>IF(G93&gt;0,"Yes","No")</f>
        <v/>
      </c>
      <c r="G93" s="16">
        <f>COUNTIFS(CostLines!$A$2:$A$1055,$A93)</f>
        <v/>
      </c>
      <c r="H93" s="13">
        <f>SUMIFS(CostLines!$L$2:$L$1055,CostLines!$A$2:$A$1055,$A93,CostLines!$I$2:$I$1055,README!$B$6)</f>
        <v/>
      </c>
      <c r="I93" s="13">
        <f>SUMIFS(CostLines!$L$2:$L$1055,CostLines!$A$2:$A$1055,$A93)</f>
        <v/>
      </c>
    </row>
    <row r="94">
      <c r="A94" s="16" t="inlineStr">
        <is>
          <t>TN59AB3444</t>
        </is>
      </c>
      <c r="B94" s="16" t="inlineStr">
        <is>
          <t>Yes</t>
        </is>
      </c>
      <c r="C94" s="16" t="inlineStr">
        <is>
          <t>RENT VEHICLE</t>
        </is>
      </c>
      <c r="D94" s="16" t="inlineStr">
        <is>
          <t>20</t>
        </is>
      </c>
      <c r="E94" s="16" t="inlineStr">
        <is>
          <t>TECHNOTEK - HEADWEAR - I</t>
        </is>
      </c>
      <c r="F94" s="16">
        <f>IF(G94&gt;0,"Yes","No")</f>
        <v/>
      </c>
      <c r="G94" s="16">
        <f>COUNTIFS(CostLines!$A$2:$A$1055,$A94)</f>
        <v/>
      </c>
      <c r="H94" s="13">
        <f>SUMIFS(CostLines!$L$2:$L$1055,CostLines!$A$2:$A$1055,$A94,CostLines!$I$2:$I$1055,README!$B$6)</f>
        <v/>
      </c>
      <c r="I94" s="13">
        <f>SUMIFS(CostLines!$L$2:$L$1055,CostLines!$A$2:$A$1055,$A94)</f>
        <v/>
      </c>
    </row>
    <row r="95">
      <c r="A95" s="16" t="inlineStr">
        <is>
          <t>TN59AH9703</t>
        </is>
      </c>
      <c r="B95" s="16" t="inlineStr">
        <is>
          <t>Yes</t>
        </is>
      </c>
      <c r="C95" s="16" t="inlineStr">
        <is>
          <t>RENT VEHICLE</t>
        </is>
      </c>
      <c r="D95" s="16" t="inlineStr">
        <is>
          <t>20</t>
        </is>
      </c>
      <c r="E95" s="16" t="inlineStr">
        <is>
          <t>TECHNOTEK - WOVEN - I</t>
        </is>
      </c>
      <c r="F95" s="16">
        <f>IF(G95&gt;0,"Yes","No")</f>
        <v/>
      </c>
      <c r="G95" s="16">
        <f>COUNTIFS(CostLines!$A$2:$A$1055,$A95)</f>
        <v/>
      </c>
      <c r="H95" s="13">
        <f>SUMIFS(CostLines!$L$2:$L$1055,CostLines!$A$2:$A$1055,$A95,CostLines!$I$2:$I$1055,README!$B$6)</f>
        <v/>
      </c>
      <c r="I95" s="13">
        <f>SUMIFS(CostLines!$L$2:$L$1055,CostLines!$A$2:$A$1055,$A95)</f>
        <v/>
      </c>
    </row>
    <row r="96">
      <c r="A96" s="16" t="inlineStr">
        <is>
          <t>TN60AP3434</t>
        </is>
      </c>
      <c r="B96" s="16" t="inlineStr">
        <is>
          <t>Yes</t>
        </is>
      </c>
      <c r="C96" s="16" t="inlineStr">
        <is>
          <t>COMPANY VEHICLE</t>
        </is>
      </c>
      <c r="D96" s="16" t="inlineStr">
        <is>
          <t>54</t>
        </is>
      </c>
      <c r="E96" s="16" t="inlineStr">
        <is>
          <t>TECHNOTEK - WOVEN - I</t>
        </is>
      </c>
      <c r="F96" s="16">
        <f>IF(G96&gt;0,"Yes","No")</f>
        <v/>
      </c>
      <c r="G96" s="16">
        <f>COUNTIFS(CostLines!$A$2:$A$1055,$A96)</f>
        <v/>
      </c>
      <c r="H96" s="13">
        <f>SUMIFS(CostLines!$L$2:$L$1055,CostLines!$A$2:$A$1055,$A96,CostLines!$I$2:$I$1055,README!$B$6)</f>
        <v/>
      </c>
      <c r="I96" s="13">
        <f>SUMIFS(CostLines!$L$2:$L$1055,CostLines!$A$2:$A$1055,$A96)</f>
        <v/>
      </c>
    </row>
    <row r="97">
      <c r="A97" s="16" t="inlineStr">
        <is>
          <t>TN60AQ3434</t>
        </is>
      </c>
      <c r="B97" s="16" t="inlineStr">
        <is>
          <t>Yes</t>
        </is>
      </c>
      <c r="C97" s="16" t="inlineStr">
        <is>
          <t>COMPANY VEHICLE</t>
        </is>
      </c>
      <c r="D97" s="16" t="inlineStr">
        <is>
          <t>54</t>
        </is>
      </c>
      <c r="E97" s="16" t="inlineStr">
        <is>
          <t>TECHNOTEK - WOVEN - I</t>
        </is>
      </c>
      <c r="F97" s="16">
        <f>IF(G97&gt;0,"Yes","No")</f>
        <v/>
      </c>
      <c r="G97" s="16">
        <f>COUNTIFS(CostLines!$A$2:$A$1055,$A97)</f>
        <v/>
      </c>
      <c r="H97" s="13">
        <f>SUMIFS(CostLines!$L$2:$L$1055,CostLines!$A$2:$A$1055,$A97,CostLines!$I$2:$I$1055,README!$B$6)</f>
        <v/>
      </c>
      <c r="I97" s="13">
        <f>SUMIFS(CostLines!$L$2:$L$1055,CostLines!$A$2:$A$1055,$A97)</f>
        <v/>
      </c>
    </row>
    <row r="98">
      <c r="A98" s="16" t="inlineStr">
        <is>
          <t>TN60AS3434</t>
        </is>
      </c>
      <c r="B98" s="16" t="inlineStr">
        <is>
          <t>Yes</t>
        </is>
      </c>
      <c r="C98" s="16" t="inlineStr">
        <is>
          <t>COMPANY VEHICLE</t>
        </is>
      </c>
      <c r="D98" s="16" t="inlineStr">
        <is>
          <t>54</t>
        </is>
      </c>
      <c r="E98" s="16" t="inlineStr">
        <is>
          <t>TECHNOTEK - WOVEN - I</t>
        </is>
      </c>
      <c r="F98" s="16">
        <f>IF(G98&gt;0,"Yes","No")</f>
        <v/>
      </c>
      <c r="G98" s="16">
        <f>COUNTIFS(CostLines!$A$2:$A$1055,$A98)</f>
        <v/>
      </c>
      <c r="H98" s="13">
        <f>SUMIFS(CostLines!$L$2:$L$1055,CostLines!$A$2:$A$1055,$A98,CostLines!$I$2:$I$1055,README!$B$6)</f>
        <v/>
      </c>
      <c r="I98" s="13">
        <f>SUMIFS(CostLines!$L$2:$L$1055,CostLines!$A$2:$A$1055,$A98)</f>
        <v/>
      </c>
    </row>
    <row r="99">
      <c r="A99" s="16" t="inlineStr">
        <is>
          <t>TN60AS3636</t>
        </is>
      </c>
      <c r="B99" s="16" t="inlineStr">
        <is>
          <t>Yes</t>
        </is>
      </c>
      <c r="C99" s="16" t="inlineStr">
        <is>
          <t>COMPANY VEHICLE</t>
        </is>
      </c>
      <c r="D99" s="16" t="inlineStr">
        <is>
          <t>54</t>
        </is>
      </c>
      <c r="E99" s="16" t="inlineStr">
        <is>
          <t>GAINUP - PRINTING &amp; EMBROIDERY</t>
        </is>
      </c>
      <c r="F99" s="16">
        <f>IF(G99&gt;0,"Yes","No")</f>
        <v/>
      </c>
      <c r="G99" s="16">
        <f>COUNTIFS(CostLines!$A$2:$A$1055,$A99)</f>
        <v/>
      </c>
      <c r="H99" s="13">
        <f>SUMIFS(CostLines!$L$2:$L$1055,CostLines!$A$2:$A$1055,$A99,CostLines!$I$2:$I$1055,README!$B$6)</f>
        <v/>
      </c>
      <c r="I99" s="13">
        <f>SUMIFS(CostLines!$L$2:$L$1055,CostLines!$A$2:$A$1055,$A99)</f>
        <v/>
      </c>
    </row>
    <row r="100">
      <c r="A100" s="16" t="inlineStr">
        <is>
          <t>TN63E9861</t>
        </is>
      </c>
      <c r="B100" s="16" t="inlineStr">
        <is>
          <t>Yes</t>
        </is>
      </c>
      <c r="C100" s="16" t="inlineStr">
        <is>
          <t>RENT VEHICLE</t>
        </is>
      </c>
      <c r="D100" s="16" t="inlineStr">
        <is>
          <t>20</t>
        </is>
      </c>
      <c r="E100" s="16" t="inlineStr">
        <is>
          <t>TECHNOTEK - WOVEN - I</t>
        </is>
      </c>
      <c r="F100" s="16">
        <f>IF(G100&gt;0,"Yes","No")</f>
        <v/>
      </c>
      <c r="G100" s="16">
        <f>COUNTIFS(CostLines!$A$2:$A$1055,$A100)</f>
        <v/>
      </c>
      <c r="H100" s="13">
        <f>SUMIFS(CostLines!$L$2:$L$1055,CostLines!$A$2:$A$1055,$A100,CostLines!$I$2:$I$1055,README!$B$6)</f>
        <v/>
      </c>
      <c r="I100" s="13">
        <f>SUMIFS(CostLines!$L$2:$L$1055,CostLines!$A$2:$A$1055,$A100)</f>
        <v/>
      </c>
    </row>
    <row r="101">
      <c r="A101" s="16" t="inlineStr">
        <is>
          <t>TN63U4754</t>
        </is>
      </c>
      <c r="B101" s="16" t="inlineStr">
        <is>
          <t>Yes</t>
        </is>
      </c>
      <c r="C101" s="16" t="inlineStr">
        <is>
          <t>RENT VEHICLE</t>
        </is>
      </c>
      <c r="D101" s="16" t="inlineStr">
        <is>
          <t>20</t>
        </is>
      </c>
      <c r="E101" s="16" t="inlineStr">
        <is>
          <t>GAINUP - GARMENTS - I</t>
        </is>
      </c>
      <c r="F101" s="16">
        <f>IF(G101&gt;0,"Yes","No")</f>
        <v/>
      </c>
      <c r="G101" s="16">
        <f>COUNTIFS(CostLines!$A$2:$A$1055,$A101)</f>
        <v/>
      </c>
      <c r="H101" s="13">
        <f>SUMIFS(CostLines!$L$2:$L$1055,CostLines!$A$2:$A$1055,$A101,CostLines!$I$2:$I$1055,README!$B$6)</f>
        <v/>
      </c>
      <c r="I101" s="13">
        <f>SUMIFS(CostLines!$L$2:$L$1055,CostLines!$A$2:$A$1055,$A101)</f>
        <v/>
      </c>
    </row>
    <row r="102">
      <c r="A102" s="16" t="inlineStr">
        <is>
          <t>TN69M1957</t>
        </is>
      </c>
      <c r="B102" s="16" t="inlineStr">
        <is>
          <t>Yes</t>
        </is>
      </c>
      <c r="C102" s="16" t="inlineStr">
        <is>
          <t>RENT VEHICLE</t>
        </is>
      </c>
      <c r="D102" s="16" t="inlineStr">
        <is>
          <t>20</t>
        </is>
      </c>
      <c r="E102" s="16" t="inlineStr">
        <is>
          <t>TECHNOTEK - GLOVES - I</t>
        </is>
      </c>
      <c r="F102" s="16">
        <f>IF(G102&gt;0,"Yes","No")</f>
        <v/>
      </c>
      <c r="G102" s="16">
        <f>COUNTIFS(CostLines!$A$2:$A$1055,$A102)</f>
        <v/>
      </c>
      <c r="H102" s="13">
        <f>SUMIFS(CostLines!$L$2:$L$1055,CostLines!$A$2:$A$1055,$A102,CostLines!$I$2:$I$1055,README!$B$6)</f>
        <v/>
      </c>
      <c r="I102" s="13">
        <f>SUMIFS(CostLines!$L$2:$L$1055,CostLines!$A$2:$A$1055,$A102)</f>
        <v/>
      </c>
    </row>
    <row r="103">
      <c r="A103" s="16" t="inlineStr">
        <is>
          <t>TN74AW0645</t>
        </is>
      </c>
      <c r="B103" s="16" t="inlineStr">
        <is>
          <t>Yes</t>
        </is>
      </c>
      <c r="C103" s="16" t="inlineStr">
        <is>
          <t>RENT VEHICLE</t>
        </is>
      </c>
      <c r="D103" s="16" t="inlineStr">
        <is>
          <t>20</t>
        </is>
      </c>
      <c r="E103" s="16" t="inlineStr">
        <is>
          <t>TECHNOTEK - GLOVES - I</t>
        </is>
      </c>
      <c r="F103" s="16">
        <f>IF(G103&gt;0,"Yes","No")</f>
        <v/>
      </c>
      <c r="G103" s="16">
        <f>COUNTIFS(CostLines!$A$2:$A$1055,$A103)</f>
        <v/>
      </c>
      <c r="H103" s="13">
        <f>SUMIFS(CostLines!$L$2:$L$1055,CostLines!$A$2:$A$1055,$A103,CostLines!$I$2:$I$1055,README!$B$6)</f>
        <v/>
      </c>
      <c r="I103" s="13">
        <f>SUMIFS(CostLines!$L$2:$L$1055,CostLines!$A$2:$A$1055,$A103)</f>
        <v/>
      </c>
    </row>
    <row r="104">
      <c r="A104" s="16" t="inlineStr">
        <is>
          <t>TN74AY1634</t>
        </is>
      </c>
      <c r="B104" s="16" t="inlineStr">
        <is>
          <t>Yes</t>
        </is>
      </c>
      <c r="C104" s="16" t="inlineStr">
        <is>
          <t>RENT VEHICLE</t>
        </is>
      </c>
      <c r="D104" s="16" t="inlineStr">
        <is>
          <t>20</t>
        </is>
      </c>
      <c r="E104" s="16" t="inlineStr">
        <is>
          <t>GAINUP - GARMENTS - I</t>
        </is>
      </c>
      <c r="F104" s="16">
        <f>IF(G104&gt;0,"Yes","No")</f>
        <v/>
      </c>
      <c r="G104" s="16">
        <f>COUNTIFS(CostLines!$A$2:$A$1055,$A104)</f>
        <v/>
      </c>
      <c r="H104" s="13">
        <f>SUMIFS(CostLines!$L$2:$L$1055,CostLines!$A$2:$A$1055,$A104,CostLines!$I$2:$I$1055,README!$B$6)</f>
        <v/>
      </c>
      <c r="I104" s="13">
        <f>SUMIFS(CostLines!$L$2:$L$1055,CostLines!$A$2:$A$1055,$A104)</f>
        <v/>
      </c>
    </row>
    <row r="106">
      <c r="E106" s="3" t="inlineStr">
        <is>
          <t>Total</t>
        </is>
      </c>
      <c r="G106" s="18">
        <f>SUM(G2:G104)</f>
        <v/>
      </c>
      <c r="H106" s="15">
        <f>SUM(H2:H104)</f>
        <v/>
      </c>
      <c r="I106" s="15">
        <f>SUM(I2:I104)</f>
        <v/>
      </c>
    </row>
    <row r="108">
      <c r="A108" s="5" t="inlineStr">
        <is>
          <t>Live fleet from data/erp_live.json (the employee feed). A RENT VEHICLE has no costing line here and a COMPANY VEHICLE always has one — the split is exact. Vehicles marked 'No' in column B are costed but no longer carry employees: retired or non-transport.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200" customWidth="1" min="1" max="1"/>
  </cols>
  <sheetData>
    <row r="1">
      <c r="A1" s="20" t="inlineStr">
        <is>
          <t>Verbatim rows from the feed — exactly as the ERP returns them</t>
        </is>
      </c>
    </row>
    <row r="2">
      <c r="A2" s="5" t="inlineStr">
        <is>
          <t>Field names and date format are the ERP's, unchanged. Dates arrive as dd-mm-yyyy strings with a 00:00:00 tail.</t>
        </is>
      </c>
    </row>
    <row r="4">
      <c r="A4" s="21" t="inlineStr">
        <is>
          <t>{"Order_No": "GUP-VEH0009", "Order_Date": "02-07-2024 00:00:00", "Project_Type": "VEHICLE", "Proj_Activity_Name": "FC WORK", "Plan_Entry_No": "546", "Description": "FC WORK", "Testing": "T", "Veh_Name": "TN57AC3636", "Rate": "56950.0000", "Grs_Amount": "56950.00", "Pur_Amount": "56950.00", "Period_Name": "YEARLY", "From_Date": "01-04-2024 00:00:00", "To_Date": "31-03-2025 00:00:00", "Division": "SOCKS", "Employee": "VIVEK B", "Approved_Date": "27-12-2024 00:00:00"}</t>
        </is>
      </c>
    </row>
    <row r="5">
      <c r="A5" s="21" t="inlineStr">
        <is>
          <t>{"Order_No": "GUP-VEH0011", "Order_Date": "04-07-2024 00:00:00", "Project_Type": "VEHICLE", "Proj_Activity_Name": "ROAD TAX", "Plan_Entry_No": "548", "Description": "ROAD TAX", "Testing": "T", "Veh_Name": "TN57AC3636", "Rate": "24846.0000", "Grs_Amount": "24846.00", "Pur_Amount": "24846.00", "Period_Name": "YEARLY", "From_Date": "01-04-2024 00:00:00", "To_Date": "31-03-2025 00:00:00", "Division": "SOCKS", "Employee": "VIVEK B", "Approved_Date": "04-10-2024 00:00:00"}</t>
        </is>
      </c>
    </row>
    <row r="6">
      <c r="A6" s="21" t="inlineStr">
        <is>
          <t>{"Order_No": "GUP-VEH0011", "Order_Date": "04-07-2024 00:00:00", "Project_Type": "VEHICLE", "Proj_Activity_Name": "ROAD TAX", "Plan_Entry_No": "548", "Description": "ROAD TAX", "Testing": "T", "Veh_Name": "TN57AC3636", "Rate": "24846.0000", "Grs_Amount": "24846.00", "Pur_Amount": "24846.00", "Period_Name": "YEARLY", "From_Date": "01-04-2024 00:00:00", "To_Date": "31-03-2025 00:00:00", "Division": "SOCKS", "Employee": "VIVEK B", "Approved_Date": "23-12-2024 00:00:00"}</t>
        </is>
      </c>
    </row>
    <row r="7">
      <c r="A7" s="21" t="inlineStr">
        <is>
          <t>{"Order_No": "GUP-VEH0011", "Order_Date": "04-07-2024 00:00:00", "Project_Type": "VEHICLE", "Proj_Activity_Name": "ROAD TAX", "Plan_Entry_No": "548", "Description": "GREEN TAX", "Testing": "T", "Veh_Name": "TN57AC3636", "Rate": "190.0000", "Grs_Amount": "190.00", "Pur_Amount": "190.00", "Period_Name": "YEARLY", "From_Date": "01-04-2024 00:00:00", "To_Date": "31-03-2025 00:00:00", "Division": "SOCKS", "Employee": "VIVEK B", "Approved_Date": "23-12-2024 00:00:00"}</t>
        </is>
      </c>
    </row>
    <row r="8">
      <c r="A8" s="21" t="inlineStr">
        <is>
          <t>{"Order_No": "GUP-VEH0011", "Order_Date": "04-07-2024 00:00:00", "Project_Type": "VEHICLE", "Proj_Activity_Name": "ROAD TAX", "Plan_Entry_No": "548", "Description": "GREEN TAX", "Testing": "T", "Veh_Name": "TN57AC3636", "Rate": "190.0000", "Grs_Amount": "190.00", "Pur_Amount": "190.00", "Period_Name": "YEARLY", "From_Date": "01-04-2024 00:00:00", "To_Date": "31-03-2025 00:00:00", "Division": "SOCKS", "Employee": "VIVEK B", "Approved_Date": "04-10-2024 00:00:00"}</t>
        </is>
      </c>
    </row>
    <row r="9">
      <c r="A9" s="21" t="inlineStr">
        <is>
          <t>{"Order_No": "GUP-VEH0011", "Order_Date": "04-07-2024 00:00:00", "Project_Type": "VEHICLE", "Proj_Activity_Name": "ROAD TAX", "Plan_Entry_No": "548", "Description": "GREEN TAX", "Testing": "T", "Veh_Name": "TN57AC3636", "Rate": "190.0000", "Grs_Amount": "190.00", "Pur_Amount": "190.00", "Period_Name": "YEARLY", "From_Date": "01-04-2024 00:00:00", "To_Date": "31-03-2025 00:00:00", "Division": "SOCKS", "Employee": "VIVEK B", "Approved_Date": "08-07-2024 00:00:00"}</t>
        </is>
      </c>
    </row>
    <row r="10">
      <c r="A10" s="21" t="inlineStr">
        <is>
          <t>{"Order_No": "GUP-VEH0011", "Order_Date": "04-07-2024 00:00:00", "Project_Type": "VEHICLE", "Proj_Activity_Name": "ROAD TAX", "Plan_Entry_No": "548", "Description": "ROAD TAX", "Testing": "T", "Veh_Name": "TN57AC3636", "Rate": "24846.0000", "Grs_Amount": "24846.00", "Pur_Amount": "24846.00", "Period_Name": "YEARLY", "From_Date": "01-04-2024 00:00:00", "To_Date": "31-03-2025 00:00:00", "Division": "SOCKS", "Employee": "VIVEK B", "Approved_Date": "08-07-2024 00:00:00"}</t>
        </is>
      </c>
    </row>
    <row r="11">
      <c r="A11" s="21" t="inlineStr">
        <is>
          <t>{"Order_No": "GUP-VEH0010", "Order_Date": "02-07-2024 00:00:00", "Project_Type": "VEHICLE", "Proj_Activity_Name": "RTO EXPENSE", "Plan_Entry_No": "547", "Description": "RTO EXPENSE", "Testing": "T", "Veh_Name": "TN57AC3636", "Rate": "7500.0000", "Grs_Amount": "7500.00", "Pur_Amount": "7500.00", "Period_Name": "YEARLY", "From_Date": "01-04-2024 00:00:00", "To_Date": "31-03-2025 00:00:00", "Division": "SOCKS", "Employee": "VIVEK B", "Approved_Date": "12-12-2024 00:00:00"}</t>
        </is>
      </c>
    </row>
    <row r="12">
      <c r="A12" s="21" t="inlineStr">
        <is>
          <t>{"Order_No": "GUP-VEH0006", "Order_Date": "30-05-2024 00:00:00", "Project_Type": "VEHICLE", "Proj_Activity_Name": "TYRE", "Plan_Entry_No": "522", "Description": "TYRE", "Testing": "T", "Veh_Name": "TN57AC3636", "Rate": "19200.0000", "Grs_Amount": "19200.00", "Pur_Amount": "19200.00", "Period_Name": "YEARLY", "From_Date": "01-04-2024 00:00:00", "To_Date": "31-03-2025 00:00:00", "Division": "SOCKS", "Employee": "VIVEK B", "Approved_Date": "31-05-2024 00:00:00"}</t>
        </is>
      </c>
    </row>
    <row r="13">
      <c r="A13" s="21" t="inlineStr">
        <is>
          <t>{"Order_No": "GUP-VEH0013", "Order_Date": "05-07-2024 00:00:00", "Project_Type": "VEHICLE", "Proj_Activity_Name": "VEHICLE INSURANCE", "Plan_Entry_No": "550", "Description": "VEHICLE INSURANCE", "Testing": "T", "Veh_Name": "TN57AC3636", "Rate": "59316.0000", "Grs_Amount": "59316.00", "Pur_Amount": "59316.00", "Period_Name": "YEARLY", "From_Date": "01-04-2024 00:00:00", "To_Date": "31-03-2025 00:00:00", "Division": "SOCKS", "Employee": "VIVEK B", "Approved_Date": "06-12-2024 00:00:00"}</t>
        </is>
      </c>
    </row>
    <row r="14">
      <c r="A14" s="21" t="inlineStr">
        <is>
          <t>{"Order_No": "GUP-VEH0021", "Order_Date": "24-06-2025 00:00:00", "Project_Type": "VEHICLE", "Proj_Activity_Name": "FC WORK", "Plan_Entry_No": "654", "Description": "FC WORK", "Testing": "T", "Veh_Name": "TN57AC3636", "Rate": "40020.0000", "Grs_Amount": "40020.00", "Pur_Amount": "40020.00", "Period_Name": "YEARLY", "From_Date": "01-04-2025 00:00:00", "To_Date": "31-03-2026 00:00:00", "Division": "SOCKS", "Employee": "VIVEK B", "Approved_Date": "06-01-2026 00:00:00"}</t>
        </is>
      </c>
    </row>
    <row r="15">
      <c r="A15" s="21" t="inlineStr">
        <is>
          <t>{"Order_No": "GUP-VEH0014", "Order_Date": "01-04-2025 00:00:00", "Project_Type": "VEHICLE", "Proj_Activity_Name": "ROAD TAX", "Plan_Entry_No": "609", "Description": "GREEN TAX", "Testing": "T", "Veh_Name": "TN57AC3636", "Rate": "190.0000", "Grs_Amount": "190.00", "Pur_Amount": "190.00", "Period_Name": "QUARTER - I", "From_Date": "01-04-2025 00:00:00", "To_Date": "30-06-2025 00:00:00", "Division": "SOCKS", "Employee": "VIVEK B", "Approved_Date": "08-01-2026 00:00:00"}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2026-07-31T06:01:55Z</dcterms:created>
  <dcterms:modified xsi:type="dcterms:W3CDTF">2026-07-31T06:01:55Z</dcterms:modified>
</cp:coreProperties>
</file>